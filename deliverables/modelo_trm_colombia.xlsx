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3.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4.xml" ContentType="application/vnd.openxmlformats-officedocument.spreadsheetml.table+xml"/>
  <Override PartName="/xl/worksheets/sheet4.xml" ContentType="application/vnd.openxmlformats-officedocument.spreadsheetml.worksheet+xml"/>
  <Override PartName="/xl/drawings/drawing2.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10.xml" ContentType="application/vnd.openxmlformats-officedocument.spreadsheetml.table+xml"/>
  <Override PartName="/xl/worksheets/sheet7.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worksheets/sheet9.xml" ContentType="application/vnd.openxmlformats-officedocument.spreadsheetml.worksheet+xml"/>
  <Override PartName="/xl/drawings/drawing5.xml" ContentType="application/vnd.openxmlformats-officedocument.drawing+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10.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worksheets/sheet11.xml" ContentType="application/vnd.openxmlformats-officedocument.spreadsheetml.worksheet+xml"/>
  <Override PartName="/xl/tables/table28.xml" ContentType="application/vnd.openxmlformats-officedocument.spreadsheetml.table+xml"/>
  <Override PartName="/xl/tables/table29.xml" ContentType="application/vnd.openxmlformats-officedocument.spreadsheetml.table+xml"/>
  <Override PartName="/xl/worksheets/sheet12.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worksheets/sheet13.xml" ContentType="application/vnd.openxmlformats-officedocument.spreadsheetml.worksheet+xml"/>
  <Override PartName="/xl/tables/table34.xml" ContentType="application/vnd.openxmlformats-officedocument.spreadsheetml.table+xml"/>
  <Override PartName="/xl/worksheets/sheet14.xml" ContentType="application/vnd.openxmlformats-officedocument.spreadsheetml.worksheet+xml"/>
  <Override PartName="/xl/tables/table35.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sumen" sheetId="1" state="visible" r:id="rId1"/>
    <sheet name="Datos_fuente" sheetId="2" state="visible" r:id="rId2"/>
    <sheet name="Transformaciones" sheetId="3" state="visible" r:id="rId3"/>
    <sheet name="Modelo_principal" sheetId="4" state="visible" r:id="rId4"/>
    <sheet name="Modelo_ampliado" sheetId="5" state="visible" r:id="rId5"/>
    <sheet name="Pesos_explicativos" sheetId="6" state="visible" r:id="rId6"/>
    <sheet name="Robustez" sheetId="7" state="visible" r:id="rId7"/>
    <sheet name="BEI_robustez" sheetId="8" state="visible" r:id="rId8"/>
    <sheet name="Validacion" sheetId="9" state="visible" r:id="rId9"/>
    <sheet name="Pronostico" sheetId="10" state="visible" r:id="rId10"/>
    <sheet name="ECM_exploratorio" sheetId="11" state="visible" r:id="rId11"/>
    <sheet name="Diagnosticos" sheetId="12" state="visible" r:id="rId12"/>
    <sheet name="Variables" sheetId="13" state="visible" r:id="rId13"/>
    <sheet name="Fuentes" sheetId="14" state="visible" r:id="rId14"/>
  </sheets>
  <definedNames/>
</workbook>
</file>

<file path=xl/styles.xml><?xml version="1.0" encoding="utf-8"?>
<styleSheet xmlns="http://schemas.openxmlformats.org/spreadsheetml/2006/main">
  <numFmts count="8">
    <numFmt numFmtId="164" formatCode="0.0000"/>
    <numFmt numFmtId="165" formatCode="0.0%"/>
    <numFmt numFmtId="166" formatCode="#,##0.00;[Red]-#,##0.00"/>
    <numFmt numFmtId="167" formatCode="#,##0.0000"/>
    <numFmt numFmtId="168" formatCode="0.000000"/>
    <numFmt numFmtId="169" formatCode="0.0000%"/>
    <numFmt numFmtId="170" formatCode="0.000"/>
    <numFmt numFmtId="171" formatCode="0.00 &quot;p.p.&quot;"/>
  </numFmts>
  <fonts count="5">
    <font>
      <name val="Carlito"/>
      <sz val="11"/>
    </font>
    <font>
      <name val="Aptos"/>
      <color rgb="FF1F2937"/>
      <sz val="11"/>
    </font>
    <font>
      <name val="Aptos"/>
      <b val="1"/>
      <color rgb="FFFFFFFF"/>
      <sz val="11"/>
    </font>
    <font>
      <name val="Aptos"/>
      <b val="1"/>
      <color rgb="FF17365D"/>
      <sz val="11"/>
    </font>
    <font>
      <name val="Aptos"/>
      <b val="1"/>
      <color rgb="FF1F2937"/>
      <sz val="11"/>
    </font>
  </fonts>
  <fills count="10">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E2F0D9"/>
      </patternFill>
    </fill>
    <fill>
      <patternFill patternType="solid">
        <fgColor rgb="FFFFF2CC"/>
      </patternFill>
    </fill>
    <fill>
      <patternFill patternType="solid">
        <fgColor rgb="FFFCE4D6"/>
      </patternFill>
    </fill>
    <fill>
      <patternFill patternType="solid">
        <fgColor rgb="FF2F75B5"/>
      </patternFill>
    </fill>
    <fill>
      <patternFill patternType="solid">
        <fgColor rgb="FFF2F2F2"/>
      </patternFill>
    </fill>
  </fills>
  <borders count="26">
    <border/>
    <border>
      <left style="thin">
        <color rgb="FF2F75B5"/>
      </left>
      <top style="thin">
        <color rgb="FF2F75B5"/>
      </top>
      <bottom style="thin">
        <color rgb="FF2F75B5"/>
      </bottom>
    </border>
    <border>
      <right style="thin">
        <color rgb="FF2F75B5"/>
      </right>
      <top style="thin">
        <color rgb="FF2F75B5"/>
      </top>
      <bottom style="thin">
        <color rgb="FF2F75B5"/>
      </bottom>
    </border>
    <border>
      <left style="thin">
        <color rgb="FF2F75B5"/>
      </left>
      <top style="thin">
        <color rgb="FF2F75B5"/>
      </top>
    </border>
    <border>
      <right style="thin">
        <color rgb="FF2F75B5"/>
      </right>
      <top style="thin">
        <color rgb="FF2F75B5"/>
      </top>
    </border>
    <border>
      <left style="thin">
        <color rgb="FF2F75B5"/>
      </left>
      <bottom style="thin">
        <color rgb="FF2F75B5"/>
      </bottom>
    </border>
    <border>
      <right style="thin">
        <color rgb="FF2F75B5"/>
      </right>
      <bottom style="thin">
        <color rgb="FF2F75B5"/>
      </bottom>
    </border>
    <border>
      <left style="thin">
        <color rgb="FFB4C6E7"/>
      </left>
      <right style="thin">
        <color rgb="FFB4C6E7"/>
      </right>
      <top style="thin">
        <color rgb="FFB4C6E7"/>
      </top>
      <bottom style="thin">
        <color rgb="FFB4C6E7"/>
      </bottom>
    </border>
    <border>
      <left style="thin">
        <color rgb="FFD9E1F2"/>
      </left>
      <right style="thin">
        <color rgb="FFD9E1F2"/>
      </right>
      <top style="thin">
        <color rgb="FFD9E1F2"/>
      </top>
      <bottom style="thin">
        <color rgb="FFD9E1F2"/>
      </bottom>
    </border>
    <border>
      <left style="thin">
        <color rgb="FFE6B800"/>
      </left>
      <right style="thin">
        <color rgb="FFE6B800"/>
      </right>
      <top style="thin">
        <color rgb="FFE6B800"/>
      </top>
      <bottom style="thin">
        <color rgb="FFE6B800"/>
      </bottom>
    </border>
    <border>
      <left style="thin">
        <color rgb="FF2F75B5"/>
      </left>
      <right style="thin">
        <color rgb="FF2F75B5"/>
      </right>
      <top style="thin">
        <color rgb="FF2F75B5"/>
      </top>
      <bottom style="thin">
        <color rgb="FF2F75B5"/>
      </bottom>
    </border>
    <border>
      <top style="thin">
        <color rgb="FF2F75B5"/>
      </top>
    </border>
    <border>
      <left style="thin">
        <color rgb="FF2F75B5"/>
      </left>
    </border>
    <border>
      <right style="thin">
        <color rgb="FF2F75B5"/>
      </right>
    </border>
    <border>
      <top style="thin">
        <color rgb="FFE6B800"/>
      </top>
    </border>
    <border>
      <right style="thin">
        <color rgb="FFE6B800"/>
      </right>
      <top style="thin">
        <color rgb="FFE6B800"/>
      </top>
    </border>
    <border>
      <top style="thin">
        <color rgb="FFE6B800"/>
      </top>
      <bottom style="thin">
        <color rgb="FFE6B800"/>
      </bottom>
    </border>
    <border>
      <right style="thin">
        <color rgb="FFE6B800"/>
      </right>
      <top style="thin">
        <color rgb="FFE6B800"/>
      </top>
      <bottom style="thin">
        <color rgb="FFE6B800"/>
      </bottom>
    </border>
    <border>
      <top style="thin">
        <color rgb="FFB4C6E7"/>
      </top>
    </border>
    <border>
      <right style="thin">
        <color rgb="FFB4C6E7"/>
      </right>
      <top style="thin">
        <color rgb="FFB4C6E7"/>
      </top>
    </border>
    <border>
      <right style="thin">
        <color rgb="FFB4C6E7"/>
      </right>
      <top style="thin">
        <color rgb="FFB4C6E7"/>
      </top>
      <bottom style="thin">
        <color rgb="FFB4C6E7"/>
      </bottom>
    </border>
    <border>
      <top style="thin">
        <color rgb="FFB4C6E7"/>
      </top>
      <bottom style="thin">
        <color rgb="FFB4C6E7"/>
      </bottom>
    </border>
    <border>
      <top style="thin">
        <color rgb="FFD9E1F2"/>
      </top>
    </border>
    <border>
      <right style="thin">
        <color rgb="FFD9E1F2"/>
      </right>
      <top style="thin">
        <color rgb="FFD9E1F2"/>
      </top>
    </border>
    <border>
      <right style="thin">
        <color rgb="FFD9E1F2"/>
      </right>
      <top style="thin">
        <color rgb="FFD9E1F2"/>
      </top>
      <bottom style="thin">
        <color rgb="FFD9E1F2"/>
      </bottom>
    </border>
    <border>
      <top style="thin">
        <color rgb="FFD9E1F2"/>
      </top>
      <bottom style="thin">
        <color rgb="FFD9E1F2"/>
      </bottom>
    </border>
  </borders>
  <cellStyleXfs count="1">
    <xf numFmtId="0" fontId="0" fillId="0" borderId="0"/>
  </cellStyleXfs>
  <cellXfs count="196">
    <xf numFmtId="0" fontId="0" fillId="0" borderId="0" pivotButton="0" quotePrefix="0" xfId="0"/>
    <xf numFmtId="0" fontId="1" fillId="0" borderId="0" pivotButton="0" quotePrefix="0" xfId="0"/>
    <xf numFmtId="0" fontId="1" fillId="2" borderId="0" pivotButton="0" quotePrefix="0" xfId="0"/>
    <xf numFmtId="0" fontId="2" fillId="2" borderId="0" pivotButton="0" quotePrefix="0" xfId="0"/>
    <xf numFmtId="0" fontId="2" fillId="2" borderId="0" applyAlignment="1" pivotButton="0" quotePrefix="0" xfId="0">
      <alignment vertical="center"/>
    </xf>
    <xf numFmtId="0" fontId="1" fillId="3" borderId="0" pivotButton="0" quotePrefix="0" xfId="0"/>
    <xf numFmtId="0" fontId="1" fillId="3" borderId="0" applyAlignment="1" pivotButton="0" quotePrefix="0" xfId="0">
      <alignment wrapText="1"/>
    </xf>
    <xf numFmtId="0" fontId="1" fillId="3" borderId="0" applyAlignment="1" pivotButton="0" quotePrefix="0" xfId="0">
      <alignment vertical="center" wrapText="1"/>
    </xf>
    <xf numFmtId="0" fontId="3" fillId="3" borderId="0" pivotButton="0" quotePrefix="0" xfId="0"/>
    <xf numFmtId="0" fontId="3" fillId="3" borderId="1" pivotButton="0" quotePrefix="0" xfId="0"/>
    <xf numFmtId="0" fontId="3" fillId="3" borderId="2" pivotButton="0" quotePrefix="0" xfId="0"/>
    <xf numFmtId="0" fontId="3" fillId="3" borderId="1" applyAlignment="1" pivotButton="0" quotePrefix="0" xfId="0">
      <alignment horizontal="center"/>
    </xf>
    <xf numFmtId="0" fontId="3" fillId="3" borderId="2" applyAlignment="1" pivotButton="0" quotePrefix="0" xfId="0">
      <alignment horizontal="center"/>
    </xf>
    <xf numFmtId="0" fontId="3" fillId="3" borderId="1" applyAlignment="1" pivotButton="0" quotePrefix="0" xfId="0">
      <alignment horizontal="center" vertical="center"/>
    </xf>
    <xf numFmtId="0" fontId="3" fillId="3" borderId="2" applyAlignment="1" pivotButton="0" quotePrefix="0" xfId="0">
      <alignment horizontal="center" vertical="center"/>
    </xf>
    <xf numFmtId="0" fontId="1" fillId="4" borderId="0" pivotButton="0" quotePrefix="0" xfId="0"/>
    <xf numFmtId="0" fontId="3" fillId="4" borderId="0" pivotButton="0" quotePrefix="0" xfId="0"/>
    <xf numFmtId="0" fontId="3" fillId="4" borderId="3" pivotButton="0" quotePrefix="0" xfId="0"/>
    <xf numFmtId="0" fontId="3" fillId="4" borderId="4" pivotButton="0" quotePrefix="0" xfId="0"/>
    <xf numFmtId="0" fontId="3" fillId="4" borderId="5" pivotButton="0" quotePrefix="0" xfId="0"/>
    <xf numFmtId="0" fontId="3" fillId="4" borderId="6" pivotButton="0" quotePrefix="0" xfId="0"/>
    <xf numFmtId="0" fontId="3" fillId="4" borderId="3" applyAlignment="1" pivotButton="0" quotePrefix="0" xfId="0">
      <alignment horizontal="center"/>
    </xf>
    <xf numFmtId="0" fontId="3" fillId="4" borderId="4" applyAlignment="1" pivotButton="0" quotePrefix="0" xfId="0">
      <alignment horizontal="center"/>
    </xf>
    <xf numFmtId="0" fontId="3" fillId="4" borderId="5" applyAlignment="1" pivotButton="0" quotePrefix="0" xfId="0">
      <alignment horizontal="center"/>
    </xf>
    <xf numFmtId="0" fontId="3" fillId="4" borderId="6" applyAlignment="1" pivotButton="0" quotePrefix="0" xfId="0">
      <alignment horizontal="center"/>
    </xf>
    <xf numFmtId="0" fontId="3" fillId="4" borderId="3" applyAlignment="1" pivotButton="0" quotePrefix="0" xfId="0">
      <alignment horizontal="center" vertical="center"/>
    </xf>
    <xf numFmtId="0" fontId="3" fillId="4" borderId="4" applyAlignment="1" pivotButton="0" quotePrefix="0" xfId="0">
      <alignment horizontal="center" vertical="center"/>
    </xf>
    <xf numFmtId="0" fontId="3" fillId="4" borderId="5" applyAlignment="1" pivotButton="0" quotePrefix="0" xfId="0">
      <alignment horizontal="center" vertical="center"/>
    </xf>
    <xf numFmtId="0" fontId="3" fillId="4" borderId="6" applyAlignment="1" pivotButton="0" quotePrefix="0" xfId="0">
      <alignment horizontal="center" vertical="center"/>
    </xf>
    <xf numFmtId="0" fontId="1" fillId="5" borderId="0" pivotButton="0" quotePrefix="0" xfId="0"/>
    <xf numFmtId="0" fontId="3" fillId="5" borderId="0" pivotButton="0" quotePrefix="0" xfId="0"/>
    <xf numFmtId="0" fontId="3" fillId="5" borderId="1" pivotButton="0" quotePrefix="0" xfId="0"/>
    <xf numFmtId="0" fontId="3" fillId="5" borderId="2" pivotButton="0" quotePrefix="0" xfId="0"/>
    <xf numFmtId="0" fontId="3" fillId="5" borderId="1" applyAlignment="1" pivotButton="0" quotePrefix="0" xfId="0">
      <alignment horizontal="center"/>
    </xf>
    <xf numFmtId="0" fontId="3" fillId="5" borderId="2" applyAlignment="1" pivotButton="0" quotePrefix="0" xfId="0">
      <alignment horizontal="center"/>
    </xf>
    <xf numFmtId="0" fontId="3" fillId="5" borderId="1" applyAlignment="1" pivotButton="0" quotePrefix="0" xfId="0">
      <alignment horizontal="center" vertical="center"/>
    </xf>
    <xf numFmtId="0" fontId="3" fillId="5" borderId="2" applyAlignment="1" pivotButton="0" quotePrefix="0" xfId="0">
      <alignment horizontal="center" vertical="center"/>
    </xf>
    <xf numFmtId="0" fontId="1" fillId="6" borderId="0" pivotButton="0" quotePrefix="0" xfId="0"/>
    <xf numFmtId="0" fontId="3" fillId="6" borderId="0" pivotButton="0" quotePrefix="0" xfId="0"/>
    <xf numFmtId="0" fontId="3" fillId="6" borderId="1" pivotButton="0" quotePrefix="0" xfId="0"/>
    <xf numFmtId="0" fontId="3" fillId="6" borderId="2" pivotButton="0" quotePrefix="0" xfId="0"/>
    <xf numFmtId="0" fontId="3" fillId="6" borderId="1" applyAlignment="1" pivotButton="0" quotePrefix="0" xfId="0">
      <alignment horizontal="center"/>
    </xf>
    <xf numFmtId="0" fontId="3" fillId="6" borderId="2" applyAlignment="1" pivotButton="0" quotePrefix="0" xfId="0">
      <alignment horizont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1" fillId="7" borderId="0" pivotButton="0" quotePrefix="0" xfId="0"/>
    <xf numFmtId="0" fontId="3" fillId="7" borderId="0" pivotButton="0" quotePrefix="0" xfId="0"/>
    <xf numFmtId="0" fontId="3" fillId="7" borderId="1" pivotButton="0" quotePrefix="0" xfId="0"/>
    <xf numFmtId="0" fontId="3" fillId="7" borderId="2" pivotButton="0" quotePrefix="0" xfId="0"/>
    <xf numFmtId="0" fontId="3" fillId="7" borderId="1" applyAlignment="1" pivotButton="0" quotePrefix="0" xfId="0">
      <alignment horizontal="center"/>
    </xf>
    <xf numFmtId="0" fontId="3" fillId="7" borderId="2" applyAlignment="1" pivotButton="0" quotePrefix="0" xfId="0">
      <alignment horizontal="center"/>
    </xf>
    <xf numFmtId="0" fontId="3" fillId="7" borderId="1" applyAlignment="1" pivotButton="0" quotePrefix="0" xfId="0">
      <alignment horizontal="center" vertical="center"/>
    </xf>
    <xf numFmtId="0" fontId="3" fillId="7" borderId="2" applyAlignment="1" pivotButton="0" quotePrefix="0" xfId="0">
      <alignment horizontal="center" vertical="center"/>
    </xf>
    <xf numFmtId="0" fontId="1" fillId="8" borderId="0" pivotButton="0" quotePrefix="0" xfId="0"/>
    <xf numFmtId="0" fontId="2" fillId="8" borderId="0" pivotButton="0" quotePrefix="0" xfId="0"/>
    <xf numFmtId="0" fontId="2" fillId="8" borderId="0" applyAlignment="1" pivotButton="0" quotePrefix="0" xfId="0">
      <alignment vertical="center"/>
    </xf>
    <xf numFmtId="0" fontId="1" fillId="9" borderId="0" pivotButton="0" quotePrefix="0" xfId="0"/>
    <xf numFmtId="0" fontId="1" fillId="9" borderId="0" applyAlignment="1" pivotButton="0" quotePrefix="0" xfId="0">
      <alignment wrapText="1"/>
    </xf>
    <xf numFmtId="0" fontId="1" fillId="9" borderId="0" applyAlignment="1" pivotButton="0" quotePrefix="0" xfId="0">
      <alignment vertical="center" wrapText="1"/>
    </xf>
    <xf numFmtId="0" fontId="2" fillId="2" borderId="7" pivotButton="0" quotePrefix="0" xfId="0"/>
    <xf numFmtId="0" fontId="2" fillId="2" borderId="7" applyAlignment="1" pivotButton="0" quotePrefix="0" xfId="0">
      <alignment wrapText="1"/>
    </xf>
    <xf numFmtId="0" fontId="2" fillId="2" borderId="7" applyAlignment="1" pivotButton="0" quotePrefix="0" xfId="0">
      <alignment horizontal="center" wrapText="1"/>
    </xf>
    <xf numFmtId="0" fontId="2" fillId="2" borderId="7" applyAlignment="1" pivotButton="0" quotePrefix="0" xfId="0">
      <alignment horizontal="center" vertical="center" wrapText="1"/>
    </xf>
    <xf numFmtId="164" fontId="1" fillId="0" borderId="0" pivotButton="0" quotePrefix="0" xfId="0"/>
    <xf numFmtId="0" fontId="1" fillId="0" borderId="0" applyAlignment="1" pivotButton="0" quotePrefix="0" xfId="0">
      <alignment wrapText="1"/>
    </xf>
    <xf numFmtId="164" fontId="1" fillId="0" borderId="0" applyAlignment="1" pivotButton="0" quotePrefix="0" xfId="0">
      <alignment wrapText="1"/>
    </xf>
    <xf numFmtId="0" fontId="2" fillId="2" borderId="8" applyAlignment="1" pivotButton="0" quotePrefix="0" xfId="0">
      <alignment horizontal="center" vertical="center" wrapText="1"/>
    </xf>
    <xf numFmtId="0" fontId="1" fillId="0" borderId="8" applyAlignment="1" pivotButton="0" quotePrefix="0" xfId="0">
      <alignment wrapText="1"/>
    </xf>
    <xf numFmtId="164" fontId="1" fillId="0" borderId="8" applyAlignment="1" pivotButton="0" quotePrefix="0" xfId="0">
      <alignment wrapText="1"/>
    </xf>
    <xf numFmtId="0" fontId="1" fillId="5" borderId="8" applyAlignment="1" pivotButton="0" quotePrefix="0" xfId="0">
      <alignment wrapText="1"/>
    </xf>
    <xf numFmtId="164" fontId="1" fillId="5" borderId="8" applyAlignment="1" pivotButton="0" quotePrefix="0" xfId="0">
      <alignment wrapText="1"/>
    </xf>
    <xf numFmtId="0" fontId="4" fillId="5" borderId="8" applyAlignment="1" pivotButton="0" quotePrefix="0" xfId="0">
      <alignment wrapText="1"/>
    </xf>
    <xf numFmtId="164" fontId="4" fillId="5" borderId="8" applyAlignment="1" pivotButton="0" quotePrefix="0" xfId="0">
      <alignment wrapText="1"/>
    </xf>
    <xf numFmtId="0" fontId="1" fillId="6" borderId="9" pivotButton="0" quotePrefix="0" xfId="0"/>
    <xf numFmtId="0" fontId="1" fillId="6" borderId="9" applyAlignment="1" pivotButton="0" quotePrefix="0" xfId="0">
      <alignment wrapText="1"/>
    </xf>
    <xf numFmtId="0" fontId="1" fillId="2" borderId="9" applyAlignment="1" pivotButton="0" quotePrefix="0" xfId="0">
      <alignment wrapText="1"/>
    </xf>
    <xf numFmtId="0" fontId="2" fillId="2" borderId="9" applyAlignment="1" pivotButton="0" quotePrefix="0" xfId="0">
      <alignment wrapText="1"/>
    </xf>
    <xf numFmtId="0" fontId="2" fillId="2" borderId="9" applyAlignment="1" pivotButton="0" quotePrefix="0" xfId="0">
      <alignment horizontal="center" wrapText="1"/>
    </xf>
    <xf numFmtId="0" fontId="2" fillId="2" borderId="9" applyAlignment="1" pivotButton="0" quotePrefix="0" xfId="0">
      <alignment horizontal="center" vertical="center" wrapText="1"/>
    </xf>
    <xf numFmtId="165" fontId="1" fillId="0" borderId="0" pivotButton="0" quotePrefix="0" xfId="0"/>
    <xf numFmtId="2" fontId="1" fillId="0" borderId="0" pivotButton="0" quotePrefix="0" xfId="0"/>
    <xf numFmtId="165" fontId="1" fillId="0" borderId="0" applyAlignment="1" pivotButton="0" quotePrefix="0" xfId="0">
      <alignment wrapText="1"/>
    </xf>
    <xf numFmtId="3" fontId="1" fillId="0" borderId="0" pivotButton="0" quotePrefix="0" xfId="0"/>
    <xf numFmtId="0" fontId="1" fillId="0" borderId="0" applyAlignment="1" pivotButton="0" quotePrefix="0" xfId="0">
      <alignment vertical="center"/>
    </xf>
    <xf numFmtId="0" fontId="1" fillId="0" borderId="8" applyAlignment="1" pivotButton="0" quotePrefix="0" xfId="0">
      <alignment vertical="center" wrapText="1"/>
    </xf>
    <xf numFmtId="164" fontId="1" fillId="0" borderId="8" applyAlignment="1" pivotButton="0" quotePrefix="0" xfId="0">
      <alignment vertical="center" wrapText="1"/>
    </xf>
    <xf numFmtId="0" fontId="4" fillId="5" borderId="8" applyAlignment="1" pivotButton="0" quotePrefix="0" xfId="0">
      <alignment vertical="center" wrapText="1"/>
    </xf>
    <xf numFmtId="164" fontId="4" fillId="5" borderId="8" applyAlignment="1" pivotButton="0" quotePrefix="0" xfId="0">
      <alignment vertical="center" wrapText="1"/>
    </xf>
    <xf numFmtId="0" fontId="1" fillId="6" borderId="9" applyAlignment="1" pivotButton="0" quotePrefix="0" xfId="0">
      <alignment vertical="center" wrapText="1"/>
    </xf>
    <xf numFmtId="165" fontId="1" fillId="0" borderId="0" applyAlignment="1" pivotButton="0" quotePrefix="0" xfId="0">
      <alignment vertical="center"/>
    </xf>
    <xf numFmtId="2" fontId="1" fillId="0" borderId="0" applyAlignment="1" pivotButton="0" quotePrefix="0" xfId="0">
      <alignment vertical="center"/>
    </xf>
    <xf numFmtId="3" fontId="1" fillId="0" borderId="0" applyAlignment="1" pivotButton="0" quotePrefix="0" xfId="0">
      <alignment vertical="center"/>
    </xf>
    <xf numFmtId="0" fontId="1" fillId="0" borderId="0" applyAlignment="1" pivotButton="0" quotePrefix="0" xfId="0">
      <alignment vertical="center" wrapText="1"/>
    </xf>
    <xf numFmtId="165" fontId="1" fillId="0" borderId="0" applyAlignment="1" pivotButton="0" quotePrefix="0" xfId="0">
      <alignment vertical="center" wrapText="1"/>
    </xf>
    <xf numFmtId="4" fontId="1" fillId="0" borderId="0" pivotButton="0" quotePrefix="0" xfId="0"/>
    <xf numFmtId="166" fontId="1" fillId="0" borderId="0" pivotButton="0" quotePrefix="0" xfId="0"/>
    <xf numFmtId="1" fontId="1" fillId="0" borderId="0" pivotButton="0" quotePrefix="0" xfId="0"/>
    <xf numFmtId="167" fontId="1" fillId="0" borderId="0" pivotButton="0" quotePrefix="0" xfId="0"/>
    <xf numFmtId="168" fontId="1" fillId="0" borderId="0" pivotButton="0" quotePrefix="0" xfId="0"/>
    <xf numFmtId="4" fontId="1" fillId="0" borderId="0" applyAlignment="1" pivotButton="0" quotePrefix="0" xfId="0">
      <alignment vertical="center"/>
    </xf>
    <xf numFmtId="166" fontId="1" fillId="0" borderId="0" applyAlignment="1" pivotButton="0" quotePrefix="0" xfId="0">
      <alignment vertical="center"/>
    </xf>
    <xf numFmtId="1" fontId="1" fillId="0" borderId="0" applyAlignment="1" pivotButton="0" quotePrefix="0" xfId="0">
      <alignment vertical="center"/>
    </xf>
    <xf numFmtId="167" fontId="1" fillId="0" borderId="0" applyAlignment="1" pivotButton="0" quotePrefix="0" xfId="0">
      <alignment vertical="center"/>
    </xf>
    <xf numFmtId="168" fontId="1" fillId="0" borderId="0" applyAlignment="1" pivotButton="0" quotePrefix="0" xfId="0">
      <alignment vertical="center"/>
    </xf>
    <xf numFmtId="0" fontId="1" fillId="0" borderId="8" pivotButton="0" quotePrefix="0" xfId="0"/>
    <xf numFmtId="165" fontId="1" fillId="0" borderId="8" pivotButton="0" quotePrefix="0" xfId="0"/>
    <xf numFmtId="2" fontId="1" fillId="0" borderId="8" pivotButton="0" quotePrefix="0" xfId="0"/>
    <xf numFmtId="165" fontId="1" fillId="0" borderId="8" applyAlignment="1" pivotButton="0" quotePrefix="0" xfId="0">
      <alignment wrapText="1"/>
    </xf>
    <xf numFmtId="2" fontId="1" fillId="0" borderId="8" applyAlignment="1" pivotButton="0" quotePrefix="0" xfId="0">
      <alignment wrapText="1"/>
    </xf>
    <xf numFmtId="168" fontId="1" fillId="3" borderId="0" pivotButton="0" quotePrefix="0" xfId="0"/>
    <xf numFmtId="168" fontId="1" fillId="0" borderId="0" applyAlignment="1" pivotButton="0" quotePrefix="0" xfId="0">
      <alignment wrapText="1"/>
    </xf>
    <xf numFmtId="0" fontId="2" fillId="8" borderId="0" applyAlignment="1" pivotButton="0" quotePrefix="0" xfId="0">
      <alignment vertical="center" wrapText="1"/>
    </xf>
    <xf numFmtId="4" fontId="1" fillId="0" borderId="0" applyAlignment="1" pivotButton="0" quotePrefix="0" xfId="0">
      <alignment wrapText="1"/>
    </xf>
    <xf numFmtId="168" fontId="1" fillId="3" borderId="0" applyAlignment="1" pivotButton="0" quotePrefix="0" xfId="0">
      <alignment wrapText="1"/>
    </xf>
    <xf numFmtId="0" fontId="1" fillId="6" borderId="0" applyAlignment="1" pivotButton="0" quotePrefix="0" xfId="0">
      <alignment wrapText="1"/>
    </xf>
    <xf numFmtId="0" fontId="1" fillId="6" borderId="0" applyAlignment="1" pivotButton="0" quotePrefix="0" xfId="0">
      <alignment vertical="center" wrapText="1"/>
    </xf>
    <xf numFmtId="169" fontId="1" fillId="0" borderId="8" applyAlignment="1" pivotButton="0" quotePrefix="0" xfId="0">
      <alignment wrapText="1"/>
    </xf>
    <xf numFmtId="165" fontId="1" fillId="6" borderId="0" pivotButton="0" quotePrefix="0" xfId="0"/>
    <xf numFmtId="165" fontId="1" fillId="6" borderId="0" applyAlignment="1" pivotButton="0" quotePrefix="0" xfId="0">
      <alignment wrapText="1"/>
    </xf>
    <xf numFmtId="170" fontId="1" fillId="0" borderId="0" pivotButton="0" quotePrefix="0" xfId="0"/>
    <xf numFmtId="10" fontId="1" fillId="0" borderId="0" pivotButton="0" quotePrefix="0" xfId="0"/>
    <xf numFmtId="0" fontId="2" fillId="2" borderId="0" applyAlignment="1" pivotButton="0" quotePrefix="0" xfId="0">
      <alignment vertical="center" wrapText="1"/>
    </xf>
    <xf numFmtId="170" fontId="1" fillId="0" borderId="0" applyAlignment="1" pivotButton="0" quotePrefix="0" xfId="0">
      <alignment wrapText="1"/>
    </xf>
    <xf numFmtId="10" fontId="1" fillId="0" borderId="0" applyAlignment="1" pivotButton="0" quotePrefix="0" xfId="0">
      <alignment wrapText="1"/>
    </xf>
    <xf numFmtId="1" fontId="1" fillId="0" borderId="0" applyAlignment="1" pivotButton="0" quotePrefix="0" xfId="0">
      <alignment wrapText="1"/>
    </xf>
    <xf numFmtId="164" fontId="1" fillId="3" borderId="0" pivotButton="0" quotePrefix="0" xfId="0"/>
    <xf numFmtId="165" fontId="1" fillId="3" borderId="0" pivotButton="0" quotePrefix="0" xfId="0"/>
    <xf numFmtId="164" fontId="1" fillId="5" borderId="0" pivotButton="0" quotePrefix="0" xfId="0"/>
    <xf numFmtId="165" fontId="1" fillId="5" borderId="0" pivotButton="0" quotePrefix="0" xfId="0"/>
    <xf numFmtId="171" fontId="1" fillId="0" borderId="8" pivotButton="0" quotePrefix="0" xfId="0"/>
    <xf numFmtId="171" fontId="1" fillId="0" borderId="8" applyAlignment="1" pivotButton="0" quotePrefix="0" xfId="0">
      <alignment wrapText="1"/>
    </xf>
    <xf numFmtId="164" fontId="1" fillId="6" borderId="0" pivotButton="0" quotePrefix="0" xfId="0"/>
    <xf numFmtId="164" fontId="1" fillId="0" borderId="8" pivotButton="0" quotePrefix="0" xfId="0"/>
    <xf numFmtId="0" fontId="1" fillId="6" borderId="8" pivotButton="0" quotePrefix="0" xfId="0"/>
    <xf numFmtId="164" fontId="1" fillId="7" borderId="0" pivotButton="0" quotePrefix="0" xfId="0"/>
    <xf numFmtId="2" fontId="1" fillId="5" borderId="0" pivotButton="0" quotePrefix="0" xfId="0"/>
    <xf numFmtId="0" fontId="1" fillId="6" borderId="8" applyAlignment="1" pivotButton="0" quotePrefix="0" xfId="0">
      <alignment wrapText="1"/>
    </xf>
    <xf numFmtId="0" fontId="1" fillId="5" borderId="0" applyAlignment="1" pivotButton="0" quotePrefix="0" xfId="0">
      <alignment wrapText="1"/>
    </xf>
    <xf numFmtId="0" fontId="3" fillId="3" borderId="10" applyAlignment="1" pivotButton="0" quotePrefix="0" xfId="0">
      <alignment horizontal="center" vertical="center"/>
    </xf>
    <xf numFmtId="0" fontId="0" fillId="0" borderId="2" pivotButton="0" quotePrefix="0" xfId="0"/>
    <xf numFmtId="0" fontId="3" fillId="5" borderId="10" applyAlignment="1" pivotButton="0" quotePrefix="0" xfId="0">
      <alignment horizontal="center" vertical="center"/>
    </xf>
    <xf numFmtId="0" fontId="3" fillId="4" borderId="10" applyAlignment="1" pivotButton="0" quotePrefix="0" xfId="0">
      <alignment horizontal="center" vertical="center"/>
    </xf>
    <xf numFmtId="0" fontId="0" fillId="0" borderId="4" pivotButton="0" quotePrefix="0" xfId="0"/>
    <xf numFmtId="0" fontId="0" fillId="0" borderId="5" pivotButton="0" quotePrefix="0" xfId="0"/>
    <xf numFmtId="0" fontId="0" fillId="0" borderId="6" pivotButton="0" quotePrefix="0" xfId="0"/>
    <xf numFmtId="0" fontId="3" fillId="6" borderId="10" applyAlignment="1" pivotButton="0" quotePrefix="0" xfId="0">
      <alignment horizontal="center" vertical="center"/>
    </xf>
    <xf numFmtId="0" fontId="3" fillId="7" borderId="10" applyAlignment="1" pivotButton="0" quotePrefix="0" xfId="0">
      <alignment horizontal="center" vertical="center"/>
    </xf>
    <xf numFmtId="164" fontId="1" fillId="0" borderId="8" applyAlignment="1" pivotButton="0" quotePrefix="0" xfId="0">
      <alignment vertical="center" wrapText="1"/>
    </xf>
    <xf numFmtId="164" fontId="4" fillId="5" borderId="8" applyAlignment="1" pivotButton="0" quotePrefix="0" xfId="0">
      <alignment vertical="center" wrapText="1"/>
    </xf>
    <xf numFmtId="0" fontId="0" fillId="0" borderId="16" pivotButton="0" quotePrefix="0" xfId="0"/>
    <xf numFmtId="0" fontId="0" fillId="0" borderId="17" pivotButton="0" quotePrefix="0" xfId="0"/>
    <xf numFmtId="165" fontId="1" fillId="0" borderId="0" applyAlignment="1" pivotButton="0" quotePrefix="0" xfId="0">
      <alignment vertical="center"/>
    </xf>
    <xf numFmtId="2" fontId="1" fillId="0" borderId="0" applyAlignment="1" pivotButton="0" quotePrefix="0" xfId="0">
      <alignment vertical="center"/>
    </xf>
    <xf numFmtId="3" fontId="1" fillId="0" borderId="0" applyAlignment="1" pivotButton="0" quotePrefix="0" xfId="0">
      <alignment vertical="center"/>
    </xf>
    <xf numFmtId="165" fontId="1" fillId="0" borderId="0" applyAlignment="1" pivotButton="0" quotePrefix="0" xfId="0">
      <alignment vertical="center" wrapText="1"/>
    </xf>
    <xf numFmtId="4" fontId="1" fillId="0" borderId="0" applyAlignment="1" pivotButton="0" quotePrefix="0" xfId="0">
      <alignment vertical="center"/>
    </xf>
    <xf numFmtId="166" fontId="1" fillId="0" borderId="0" applyAlignment="1" pivotButton="0" quotePrefix="0" xfId="0">
      <alignment vertical="center"/>
    </xf>
    <xf numFmtId="1" fontId="1" fillId="0" borderId="0" applyAlignment="1" pivotButton="0" quotePrefix="0" xfId="0">
      <alignment vertical="center"/>
    </xf>
    <xf numFmtId="167" fontId="1" fillId="0" borderId="0" applyAlignment="1" pivotButton="0" quotePrefix="0" xfId="0">
      <alignment vertical="center"/>
    </xf>
    <xf numFmtId="168" fontId="1" fillId="0" borderId="0" applyAlignment="1" pivotButton="0" quotePrefix="0" xfId="0">
      <alignment vertical="center"/>
    </xf>
    <xf numFmtId="168" fontId="1" fillId="0" borderId="0" pivotButton="0" quotePrefix="0" xfId="0"/>
    <xf numFmtId="164" fontId="1" fillId="0" borderId="0" pivotButton="0" quotePrefix="0" xfId="0"/>
    <xf numFmtId="1" fontId="1" fillId="0" borderId="0" pivotButton="0" quotePrefix="0" xfId="0"/>
    <xf numFmtId="168" fontId="1" fillId="0" borderId="0" applyAlignment="1" pivotButton="0" quotePrefix="0" xfId="0">
      <alignment wrapText="1"/>
    </xf>
    <xf numFmtId="165" fontId="1" fillId="0" borderId="8" applyAlignment="1" pivotButton="0" quotePrefix="0" xfId="0">
      <alignment wrapText="1"/>
    </xf>
    <xf numFmtId="2" fontId="1" fillId="0" borderId="8" applyAlignment="1" pivotButton="0" quotePrefix="0" xfId="0">
      <alignment wrapText="1"/>
    </xf>
    <xf numFmtId="168" fontId="1" fillId="3" borderId="0" pivotButton="0" quotePrefix="0" xfId="0"/>
    <xf numFmtId="4" fontId="1" fillId="0" borderId="0" pivotButton="0" quotePrefix="0" xfId="0"/>
    <xf numFmtId="3" fontId="1" fillId="0" borderId="0" pivotButton="0" quotePrefix="0" xfId="0"/>
    <xf numFmtId="164" fontId="1" fillId="0" borderId="0" applyAlignment="1" pivotButton="0" quotePrefix="0" xfId="0">
      <alignment wrapText="1"/>
    </xf>
    <xf numFmtId="4" fontId="1" fillId="0" borderId="0" applyAlignment="1" pivotButton="0" quotePrefix="0" xfId="0">
      <alignment wrapText="1"/>
    </xf>
    <xf numFmtId="168" fontId="1" fillId="3" borderId="0" applyAlignment="1" pivotButton="0" quotePrefix="0" xfId="0">
      <alignment wrapText="1"/>
    </xf>
    <xf numFmtId="169" fontId="1" fillId="0" borderId="8" applyAlignment="1" pivotButton="0" quotePrefix="0" xfId="0">
      <alignment wrapText="1"/>
    </xf>
    <xf numFmtId="165" fontId="1" fillId="0" borderId="0" applyAlignment="1" pivotButton="0" quotePrefix="0" xfId="0">
      <alignment wrapText="1"/>
    </xf>
    <xf numFmtId="165" fontId="1" fillId="6" borderId="0" applyAlignment="1" pivotButton="0" quotePrefix="0" xfId="0">
      <alignment wrapText="1"/>
    </xf>
    <xf numFmtId="170" fontId="1" fillId="0" borderId="0" applyAlignment="1" pivotButton="0" quotePrefix="0" xfId="0">
      <alignment wrapText="1"/>
    </xf>
    <xf numFmtId="10" fontId="1" fillId="0" borderId="0" applyAlignment="1" pivotButton="0" quotePrefix="0" xfId="0">
      <alignment wrapText="1"/>
    </xf>
    <xf numFmtId="1" fontId="1" fillId="0" borderId="0" applyAlignment="1" pivotButton="0" quotePrefix="0" xfId="0">
      <alignment wrapText="1"/>
    </xf>
    <xf numFmtId="164" fontId="1" fillId="3" borderId="0" pivotButton="0" quotePrefix="0" xfId="0"/>
    <xf numFmtId="165" fontId="1" fillId="3" borderId="0" pivotButton="0" quotePrefix="0" xfId="0"/>
    <xf numFmtId="164" fontId="1" fillId="5" borderId="0" pivotButton="0" quotePrefix="0" xfId="0"/>
    <xf numFmtId="165" fontId="1" fillId="5" borderId="0" pivotButton="0" quotePrefix="0" xfId="0"/>
    <xf numFmtId="165" fontId="1" fillId="0" borderId="0" pivotButton="0" quotePrefix="0" xfId="0"/>
    <xf numFmtId="171" fontId="1" fillId="0" borderId="8" applyAlignment="1" pivotButton="0" quotePrefix="0" xfId="0">
      <alignment wrapText="1"/>
    </xf>
    <xf numFmtId="0" fontId="0" fillId="0" borderId="20" pivotButton="0" quotePrefix="0" xfId="0"/>
    <xf numFmtId="0" fontId="0" fillId="0" borderId="21" pivotButton="0" quotePrefix="0" xfId="0"/>
    <xf numFmtId="164" fontId="1" fillId="6" borderId="0" pivotButton="0" quotePrefix="0" xfId="0"/>
    <xf numFmtId="165" fontId="1" fillId="6" borderId="0" pivotButton="0" quotePrefix="0" xfId="0"/>
    <xf numFmtId="0" fontId="0" fillId="0" borderId="24" pivotButton="0" quotePrefix="0" xfId="0"/>
    <xf numFmtId="0" fontId="0" fillId="0" borderId="25" pivotButton="0" quotePrefix="0" xfId="0"/>
    <xf numFmtId="2" fontId="1" fillId="0" borderId="0" pivotButton="0" quotePrefix="0" xfId="0"/>
    <xf numFmtId="164" fontId="1" fillId="0" borderId="8" pivotButton="0" quotePrefix="0" xfId="0"/>
    <xf numFmtId="164" fontId="1" fillId="0" borderId="8" applyAlignment="1" pivotButton="0" quotePrefix="0" xfId="0">
      <alignment wrapText="1"/>
    </xf>
    <xf numFmtId="170" fontId="1" fillId="0" borderId="0" pivotButton="0" quotePrefix="0" xfId="0"/>
    <xf numFmtId="2" fontId="1" fillId="5" borderId="0" pivotButton="0" quotePrefix="0" xfId="0"/>
    <xf numFmtId="164" fontId="1" fillId="7" borderId="0" pivotButton="0" quotePrefix="0" xfId="0"/>
  </cellXfs>
  <cellStyles count="1">
    <cellStyle name="Normal" xfId="0"/>
  </cellStyles>
  <dxfs count="6">
    <dxf>
      <font>
        <b val="1"/>
        <color rgb="FF006100"/>
      </font>
      <fill>
        <patternFill patternType="solid">
          <bgColor rgb="FFE2F0D9"/>
        </patternFill>
      </fill>
    </dxf>
    <dxf>
      <font>
        <b val="1"/>
        <color rgb="FF006100"/>
      </font>
      <fill>
        <patternFill patternType="solid">
          <bgColor rgb="FFE2F0D9"/>
        </patternFill>
      </fill>
    </dxf>
    <dxf>
      <font>
        <b val="1"/>
        <color rgb="FF006100"/>
      </font>
      <fill>
        <patternFill patternType="solid">
          <bgColor rgb="FFE2F0D9"/>
        </patternFill>
      </fill>
    </dxf>
    <dxf>
      <font>
        <b val="1"/>
        <color rgb="FF006100"/>
      </font>
      <fill>
        <patternFill patternType="solid">
          <bgColor rgb="FFE2F0D9"/>
        </patternFill>
      </fill>
    </dxf>
    <dxf>
      <font>
        <b val="1"/>
        <color rgb="FF006100"/>
      </font>
      <fill>
        <patternFill patternType="solid">
          <bgColor rgb="FFE2F0D9"/>
        </patternFill>
      </fill>
    </dxf>
    <dxf>
      <font>
        <b val="1"/>
        <color rgb="FF006100"/>
      </font>
      <fill>
        <patternFill patternType="solid">
          <bgColor rgb="FFE2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lstStyle/>
          <a:p>
            <a:r>
              <a:rPr sz="900"/>
              <a:t>El modelo reproduce parte importante de los giros de la TRM</a:t>
            </a:r>
          </a:p>
        </rich>
      </tx>
      <overlay val="0"/>
      <txPr>
        <a:bodyPr anchorCtr="1"/>
        <a:lstStyle/>
        <a:p>
          <a:pPr>
            <a:defRPr sz="900"/>
          </a:pPr>
          <a:r>
            <a:t>None</a:t>
          </a:r>
        </a:p>
      </txPr>
    </title>
    <plotArea>
      <lineChart>
        <grouping val="standard"/>
        <varyColors val="0"/>
        <ser>
          <idx val="0"/>
          <order val="0"/>
          <tx>
            <v>TRM observada</v>
          </tx>
          <spPr>
            <a:ln>
              <a:prstDash val="solid"/>
            </a:ln>
          </spPr>
          <marker>
            <symbol val="none"/>
            <spPr>
              <a:ln>
                <a:prstDash val="solid"/>
              </a:ln>
            </spPr>
          </marker>
          <cat>
            <strRef>
              <f>'Resumen'!$H$38:$H$58</f>
              <strCache>
                <ptCount val="0"/>
              </strCache>
            </strRef>
          </cat>
          <val>
            <numRef>
              <f>'Resumen'!$I$38:$I$58</f>
              <numCache>
                <formatCode>#,##0</formatCode>
                <ptCount val="0"/>
              </numCache>
            </numRef>
          </val>
          <smooth val="0"/>
        </ser>
        <ser>
          <idx val="1"/>
          <order val="1"/>
          <tx>
            <v>TRM ajustada</v>
          </tx>
          <spPr>
            <a:ln>
              <a:prstDash val="solid"/>
            </a:ln>
          </spPr>
          <marker>
            <symbol val="none"/>
            <spPr>
              <a:ln>
                <a:prstDash val="solid"/>
              </a:ln>
            </spPr>
          </marker>
          <cat>
            <strRef>
              <f>'Resumen'!$H$38:$H$58</f>
              <strCache>
                <ptCount val="0"/>
              </strCache>
            </strRef>
          </cat>
          <val>
            <numRef>
              <f>'Resumen'!$J$38:$J$58</f>
              <numCache>
                <formatCode>#,##0</formatCode>
                <ptCount val="0"/>
              </numCache>
            </numRef>
          </val>
          <smooth val="0"/>
        </ser>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txPr>
          <a:bodyPr anchorCtr="1"/>
          <a:lstStyle/>
          <a:p>
            <a:pPr>
              <a:defRPr sz="675"/>
            </a:pPr>
            <a:r>
              <a:t>None</a:t>
            </a:r>
          </a:p>
        </txPr>
        <crossAx val="48672768"/>
        <lblOffset val="100"/>
      </catAx>
      <valAx>
        <axId val="48672768"/>
        <scaling>
          <orientation val="minMax"/>
        </scaling>
        <delete val="0"/>
        <axPos val="l"/>
        <majorGridlines>
          <spPr>
            <a:ln w="9525">
              <a:solidFill>
                <a:srgbClr val="CCCCCC"/>
              </a:solidFill>
              <a:prstDash val="dash"/>
            </a:ln>
          </spPr>
        </majorGridlines>
        <numFmt formatCode="#,##0" sourceLinked="0"/>
        <majorTickMark val="none"/>
        <minorTickMark val="none"/>
        <crossAx val="48650112"/>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rPr sz="900"/>
              <a:t>Ajuste de un paso, muestra anual</a:t>
            </a:r>
          </a:p>
        </rich>
      </tx>
      <overlay val="0"/>
      <txPr>
        <a:bodyPr anchorCtr="1"/>
        <a:lstStyle/>
        <a:p>
          <a:pPr>
            <a:defRPr sz="900"/>
          </a:pPr>
          <a:r>
            <a:t>None</a:t>
          </a:r>
        </a:p>
      </txPr>
    </title>
    <plotArea>
      <lineChart>
        <grouping val="standard"/>
        <varyColors val="0"/>
        <ser>
          <idx val="0"/>
          <order val="0"/>
          <tx>
            <v>TRM observada</v>
          </tx>
          <spPr>
            <a:ln>
              <a:prstDash val="solid"/>
            </a:ln>
          </spPr>
          <marker>
            <symbol val="none"/>
            <spPr>
              <a:ln>
                <a:prstDash val="solid"/>
              </a:ln>
            </spPr>
          </marker>
          <cat>
            <strRef>
              <f>'Modelo_principal'!$P$18:$P$38</f>
              <strCache>
                <ptCount val="0"/>
              </strCache>
            </strRef>
          </cat>
          <val>
            <numRef>
              <f>'Modelo_principal'!$Q$18:$Q$38</f>
              <numCache>
                <formatCode>#,##0</formatCode>
                <ptCount val="0"/>
              </numCache>
            </numRef>
          </val>
          <smooth val="0"/>
        </ser>
        <ser>
          <idx val="1"/>
          <order val="1"/>
          <tx>
            <v>TRM ajustada</v>
          </tx>
          <spPr>
            <a:ln>
              <a:prstDash val="solid"/>
            </a:ln>
          </spPr>
          <marker>
            <symbol val="none"/>
            <spPr>
              <a:ln>
                <a:prstDash val="solid"/>
              </a:ln>
            </spPr>
          </marker>
          <cat>
            <strRef>
              <f>'Modelo_principal'!$P$18:$P$38</f>
              <strCache>
                <ptCount val="0"/>
              </strCache>
            </strRef>
          </cat>
          <val>
            <numRef>
              <f>'Modelo_principal'!$R$18:$R$38</f>
              <numCache>
                <formatCode>#,##0</formatCode>
                <ptCount val="0"/>
              </numCache>
            </numRef>
          </val>
          <smooth val="0"/>
        </ser>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txPr>
          <a:bodyPr anchorCtr="1"/>
          <a:lstStyle/>
          <a:p>
            <a:pPr>
              <a:defRPr sz="675"/>
            </a:pPr>
            <a:r>
              <a:t>None</a:t>
            </a:r>
          </a:p>
        </txPr>
        <crossAx val="48672768"/>
        <lblOffset val="100"/>
      </catAx>
      <valAx>
        <axId val="48672768"/>
        <scaling>
          <orientation val="minMax"/>
        </scaling>
        <delete val="0"/>
        <axPos val="l"/>
        <majorGridlines>
          <spPr>
            <a:ln w="9525">
              <a:solidFill>
                <a:srgbClr val="CCCCCC"/>
              </a:solidFill>
              <a:prstDash val="dash"/>
            </a:ln>
          </spPr>
        </majorGridlines>
        <numFmt formatCode="#,##0" sourceLinked="0"/>
        <majorTickMark val="none"/>
        <minorTickMark val="none"/>
        <crossAx val="48650112"/>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rPr sz="900"/>
              <a:t>TRM observada y ajuste ampliado</a:t>
            </a:r>
          </a:p>
        </rich>
      </tx>
      <overlay val="0"/>
      <txPr>
        <a:bodyPr anchorCtr="1"/>
        <a:lstStyle/>
        <a:p>
          <a:pPr>
            <a:defRPr sz="900"/>
          </a:pPr>
          <a:r>
            <a:t>None</a:t>
          </a:r>
        </a:p>
      </txPr>
    </title>
    <plotArea>
      <lineChart>
        <grouping val="standard"/>
        <varyColors val="0"/>
        <ser>
          <idx val="0"/>
          <order val="0"/>
          <tx>
            <v>TRM observada</v>
          </tx>
          <spPr>
            <a:solidFill>
              <a:srgbClr val="17365D"/>
            </a:solidFill>
            <a:ln>
              <a:prstDash val="solid"/>
            </a:ln>
          </spPr>
          <marker>
            <symbol val="none"/>
            <spPr>
              <a:ln>
                <a:prstDash val="solid"/>
              </a:ln>
            </spPr>
          </marker>
          <cat>
            <strRef>
              <f>'Modelo_ampliado'!$A$25:$A$264</f>
              <strCache>
                <ptCount val="0"/>
              </strCache>
            </strRef>
          </cat>
          <val>
            <numRef>
              <f>'Modelo_ampliado'!$E$25:$E$264</f>
              <numCache>
                <formatCode>#,##0</formatCode>
                <ptCount val="0"/>
              </numCache>
            </numRef>
          </val>
          <smooth val="0"/>
        </ser>
        <ser>
          <idx val="1"/>
          <order val="1"/>
          <tx>
            <v>TRM ajustada</v>
          </tx>
          <spPr>
            <a:solidFill>
              <a:srgbClr val="0F766E"/>
            </a:solidFill>
            <a:ln>
              <a:prstDash val="solid"/>
            </a:ln>
          </spPr>
          <marker>
            <symbol val="none"/>
            <spPr>
              <a:ln>
                <a:prstDash val="solid"/>
              </a:ln>
            </spPr>
          </marker>
          <cat>
            <strRef>
              <f>'Modelo_ampliado'!$A$25:$A$264</f>
              <strCache>
                <ptCount val="0"/>
              </strCache>
            </strRef>
          </cat>
          <val>
            <numRef>
              <f>'Modelo_ampliado'!$F$25:$F$264</f>
              <numCache>
                <formatCode>#,##0</formatCode>
                <ptCount val="0"/>
              </numCache>
            </numRef>
          </val>
          <smooth val="0"/>
        </ser>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txPr>
          <a:bodyPr anchorCtr="1"/>
          <a:lstStyle/>
          <a:p>
            <a:pPr>
              <a:defRPr sz="600"/>
            </a:pPr>
            <a:r>
              <a:t>None</a:t>
            </a:r>
          </a:p>
        </txPr>
        <crossAx val="48672768"/>
        <lblOffset val="100"/>
      </catAx>
      <valAx>
        <axId val="48672768"/>
        <scaling>
          <orientation val="minMax"/>
        </scaling>
        <delete val="0"/>
        <axPos val="l"/>
        <majorGridlines>
          <spPr>
            <a:ln w="9525">
              <a:solidFill>
                <a:srgbClr val="CCCCCC"/>
              </a:solidFill>
              <a:prstDash val="dash"/>
            </a:ln>
          </spPr>
        </majorGridlines>
        <numFmt formatCode="#,##0" sourceLinked="0"/>
        <majorTickMark val="none"/>
        <minorTickMark val="none"/>
        <crossAx val="48650112"/>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rPr sz="900"/>
              <a:t>Participación de cada factor en la explicación incremental</a:t>
            </a:r>
          </a:p>
        </rich>
      </tx>
      <overlay val="0"/>
      <txPr>
        <a:bodyPr anchorCtr="1"/>
        <a:lstStyle/>
        <a:p>
          <a:pPr>
            <a:defRPr sz="900"/>
          </a:pPr>
          <a:r>
            <a:t>None</a:t>
          </a:r>
        </a:p>
      </txPr>
    </title>
    <plotArea>
      <barChart>
        <barDir val="col"/>
        <grouping val="clustered"/>
        <varyColors val="0"/>
        <ser>
          <idx val="0"/>
          <order val="0"/>
          <tx>
            <v>Peso entre factores</v>
          </tx>
          <spPr>
            <a:solidFill>
              <a:srgbClr val="2F75B5"/>
            </a:solidFill>
            <a:ln>
              <a:prstDash val="solid"/>
            </a:ln>
          </spPr>
          <cat>
            <strRef>
              <f>'Pesos_explicativos'!$A$11:$A$22</f>
              <strCache>
                <ptCount val="0"/>
              </strCache>
            </strRef>
          </cat>
          <val>
            <numRef>
              <f>'Pesos_explicativos'!$D$11:$D$22</f>
              <numCache>
                <formatCode>0%</formatCode>
                <ptCount val="0"/>
              </numCache>
            </numRef>
          </val>
        </ser>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w="9525">
              <a:solidFill>
                <a:srgbClr val="CCCCCC"/>
              </a:solidFill>
              <a:prstDash val="dash"/>
            </a:ln>
          </spPr>
        </majorGridlines>
        <numFmt formatCode="0%" sourceLinked="0"/>
        <majorTickMark val="none"/>
        <minorTickMark val="none"/>
        <crossAx val="48650112"/>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rPr sz="900"/>
              <a:t>Validación condicional: observada, modelos y caminata</a:t>
            </a:r>
          </a:p>
        </rich>
      </tx>
      <overlay val="0"/>
      <txPr>
        <a:bodyPr anchorCtr="1"/>
        <a:lstStyle/>
        <a:p>
          <a:pPr>
            <a:defRPr sz="900"/>
          </a:pPr>
          <a:r>
            <a:t>None</a:t>
          </a:r>
        </a:p>
      </txPr>
    </title>
    <plotArea>
      <lineChart>
        <grouping val="standard"/>
        <varyColors val="0"/>
        <ser>
          <idx val="0"/>
          <order val="0"/>
          <tx>
            <v>TRM observada</v>
          </tx>
          <spPr>
            <a:ln>
              <a:prstDash val="solid"/>
            </a:ln>
          </spPr>
          <marker>
            <symbol val="none"/>
            <spPr>
              <a:ln>
                <a:prstDash val="solid"/>
              </a:ln>
            </spPr>
          </marker>
          <cat>
            <strRef>
              <f>'Validacion'!$K$26:$K$73</f>
              <strCache>
                <ptCount val="0"/>
              </strCache>
            </strRef>
          </cat>
          <val>
            <numRef>
              <f>'Validacion'!$L$26:$L$73</f>
              <numCache>
                <formatCode>#,##0</formatCode>
                <ptCount val="0"/>
              </numCache>
            </numRef>
          </val>
          <smooth val="0"/>
        </ser>
        <ser>
          <idx val="1"/>
          <order val="1"/>
          <tx>
            <v>Modelo principal condicional</v>
          </tx>
          <spPr>
            <a:ln>
              <a:prstDash val="solid"/>
            </a:ln>
          </spPr>
          <marker>
            <symbol val="none"/>
            <spPr>
              <a:ln>
                <a:prstDash val="solid"/>
              </a:ln>
            </spPr>
          </marker>
          <cat>
            <strRef>
              <f>'Validacion'!$K$26:$K$73</f>
              <strCache>
                <ptCount val="0"/>
              </strCache>
            </strRef>
          </cat>
          <val>
            <numRef>
              <f>'Validacion'!$M$26:$M$73</f>
              <numCache>
                <formatCode>#,##0</formatCode>
                <ptCount val="0"/>
              </numCache>
            </numRef>
          </val>
          <smooth val="0"/>
        </ser>
        <ser>
          <idx val="2"/>
          <order val="2"/>
          <tx>
            <v>Modelo ampliado condicional</v>
          </tx>
          <spPr>
            <a:ln>
              <a:prstDash val="solid"/>
            </a:ln>
          </spPr>
          <marker>
            <symbol val="none"/>
            <spPr>
              <a:ln>
                <a:prstDash val="solid"/>
              </a:ln>
            </spPr>
          </marker>
          <cat>
            <strRef>
              <f>'Validacion'!$K$26:$K$73</f>
              <strCache>
                <ptCount val="0"/>
              </strCache>
            </strRef>
          </cat>
          <val>
            <numRef>
              <f>'Validacion'!$N$26:$N$73</f>
              <numCache>
                <formatCode>#,##0</formatCode>
                <ptCount val="0"/>
              </numCache>
            </numRef>
          </val>
          <smooth val="0"/>
        </ser>
        <ser>
          <idx val="3"/>
          <order val="3"/>
          <tx>
            <v>Caminata aleatoria</v>
          </tx>
          <spPr>
            <a:ln>
              <a:prstDash val="solid"/>
            </a:ln>
          </spPr>
          <marker>
            <symbol val="none"/>
            <spPr>
              <a:ln>
                <a:prstDash val="solid"/>
              </a:ln>
            </spPr>
          </marker>
          <cat>
            <strRef>
              <f>'Validacion'!$K$26:$K$73</f>
              <strCache>
                <ptCount val="0"/>
              </strCache>
            </strRef>
          </cat>
          <val>
            <numRef>
              <f>'Validacion'!$O$26:$O$73</f>
              <numCache>
                <formatCode>#,##0</formatCode>
                <ptCount val="0"/>
              </numCache>
            </numRef>
          </val>
          <smooth val="0"/>
        </ser>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txPr>
          <a:bodyPr anchorCtr="1"/>
          <a:lstStyle/>
          <a:p>
            <a:pPr>
              <a:defRPr sz="600"/>
            </a:pPr>
            <a:r>
              <a:t>None</a:t>
            </a:r>
          </a:p>
        </txPr>
        <crossAx val="48672768"/>
        <lblOffset val="100"/>
      </catAx>
      <valAx>
        <axId val="48672768"/>
        <scaling>
          <orientation val="minMax"/>
        </scaling>
        <delete val="0"/>
        <axPos val="l"/>
        <majorGridlines>
          <spPr>
            <a:ln w="9525">
              <a:solidFill>
                <a:srgbClr val="CCCCCC"/>
              </a:solidFill>
              <a:prstDash val="dash"/>
            </a:ln>
          </spPr>
        </majorGridlines>
        <numFmt formatCode="#,##0" sourceLinked="0"/>
        <majorTickMark val="none"/>
        <minorTickMark val="none"/>
        <crossAx val="48650112"/>
        <crossBetween val="between"/>
      </valAx>
    </plotArea>
    <legend>
      <legendPos val="b"/>
      <overlay val="0"/>
    </legend>
    <plotVisOnly val="1"/>
    <dispBlanksAs val="gap"/>
  </chart>
  <spPr>
    <a:ln w="9525">
      <a:solidFill>
        <a:srgbClr val="D9D9D9"/>
      </a:solidFill>
      <a:prstDash val="solid"/>
    </a:ln>
  </spPr>
</chartSpace>
</file>

<file path=xl/comments/comment1.xml><?xml version="1.0" encoding="utf-8"?>
<comments xmlns="http://schemas.openxmlformats.org/spreadsheetml/2006/main">
  <authors>
    <author>tc={3B7C53AA-E218-E06E-AABD-44405A566100}</author>
    <author>tc={FA93FAF3-CBE9-6467-3733-7383B0842B42}</author>
    <author>tc={C01696CE-7339-19E9-9BBA-28C08201EBD0}</author>
    <author>tc={5FF3BE5E-03E5-F448-82DC-C592AA5EF4CD}</author>
    <author>tc={DF8CCDC3-A988-7C8D-4BF3-5D9599C9D7C1}</author>
    <author>tc={09E76447-A036-4C02-9FBE-280DC493EBD4}</author>
    <author>tc={E6395F83-42F5-A57E-EEC7-F95E1BFF7B19}</author>
    <author>tc={B7985C46-F176-FC4C-5FCF-1ED2E0D5E565}</author>
    <author>tc={97D0B97A-4C17-B3E9-4994-F34D0CD5CA1B}</author>
    <author>tc={A0E3EED0-125F-5ABE-1247-629164D9E887}</author>
    <author>tc={C6411923-6F63-74A5-8CDA-702A1CA21229}</author>
    <author>tc={DA1D69DC-0403-0C0D-31E6-AE51D99CA1D4}</author>
    <author>tc={33377822-EAF7-C1BC-8779-821754D11E7C}</author>
    <author>tc={D608C588-B481-3842-5651-7B5B201799F7}</author>
    <author>tc={3C156560-00B9-C409-958B-4AB5121038D3}</author>
    <author>tc={D88B76EF-3FC5-6FEE-33DF-ADFF50812984}</author>
    <author>tc={99D961DB-072D-1F8D-5E38-3D76C580350D}</author>
    <author>tc={0D151944-1648-B18C-16E7-2B4DF7A4DA32}</author>
    <author>tc={5DE9C3A4-2C31-DF7C-C8FF-C387F7D1697F}</author>
    <author>tc={E5D5B348-436B-0819-C472-EBFAD648B574}</author>
    <author>tc={3A3D7885-1C9E-DFCB-B9D1-07DEC6E27A5D}</author>
    <author>tc={03791C7F-07AA-00CC-2C4C-C4125ABD5D97}</author>
    <author>tc={F94214EF-D0D7-13BB-8512-3BCD9840D104}</author>
    <author>tc={1904465E-FB26-2543-E6ED-BB7D65EBC41B}</author>
  </authors>
  <commentList>
    <comment ref="B5" authorId="0" shapeId="0">
      <text>
        <t>[Threaded comment]
Your version of Excel allows you to read this threaded comment; however, any edits to it will get removed if the file is opened in a newer version of Excel. Learn more: https://go.microsoft.com/fwlink/?linkid=870924
Comment:
    Fuente: Banco de la República, serie diaria TRM 1; promedio mensual. https://suameca.banrep.gov.co/graficador-series/rest/graficadorService/consultaSerieParaGraficar?idSerie=1</t>
      </text>
    </comment>
    <comment ref="C5" authorId="1" shapeId="0">
      <text>
        <t>[Threaded comment]
Your version of Excel allows you to read this threaded comment; however, any edits to it will get removed if the file is opened in a newer version of Excel. Learn more: https://go.microsoft.com/fwlink/?linkid=870924
Comment:
    Fuente: Banco de la República, índice de términos de intercambio según índices encadenados, serie mensual 15360.</t>
      </text>
    </comment>
    <comment ref="D5" authorId="2" shapeId="0">
      <text>
        <t>[Threaded comment]
Your version of Excel allows you to read this threaded comment; however, any edits to it will get removed if the file is opened in a newer version of Excel. Learn more: https://go.microsoft.com/fwlink/?linkid=870924
Comment:
    Fuente: Banco de la República, remesas de trabajadores, serie 15363.</t>
      </text>
    </comment>
    <comment ref="F5" authorId="3" shapeId="0">
      <text>
        <t>[Threaded comment]
Your version of Excel allows you to read this threaded comment; however, any edits to it will get removed if the file is opened in a newer version of Excel. Learn more: https://go.microsoft.com/fwlink/?linkid=870924
Comment:
    Fuente: Banco de la República, tasa de política, serie diaria 59; promedio mensual.</t>
      </text>
    </comment>
    <comment ref="G5" authorId="4" shapeId="0">
      <text>
        <t>[Threaded comment]
Your version of Excel allows you to read this threaded comment; however, any edits to it will get removed if the file is opened in a newer version of Excel. Learn more: https://go.microsoft.com/fwlink/?linkid=870924
Comment:
    Fuente: Federal Reserve/FRED, FEDFUNDS, promedio mensual.</t>
      </text>
    </comment>
    <comment ref="I5" authorId="5" shapeId="0">
      <text>
        <t>[Threaded comment]
Your version of Excel allows you to read this threaded comment; however, any edits to it will get removed if the file is opened in a newer version of Excel. Learn more: https://go.microsoft.com/fwlink/?linkid=870924
Comment:
    Fuente: Ministerio de Hacienda, balance fiscal del Gobierno Nacional Central, metodología de caja.</t>
      </text>
    </comment>
    <comment ref="K5" authorId="6" shapeId="0">
      <text>
        <t>[Threaded comment]
Your version of Excel allows you to read this threaded comment; however, any edits to it will get removed if the file is opened in a newer version of Excel. Learn more: https://go.microsoft.com/fwlink/?linkid=870924
Comment:
    Fuente: Federal Reserve/FRED, índice nominal amplio del dólar DTWEXBGS; promedio mensual.</t>
      </text>
    </comment>
    <comment ref="L5" authorId="7" shapeId="0">
      <text>
        <t>[Threaded comment]
Your version of Excel allows you to read this threaded comment; however, any edits to it will get removed if the file is opened in a newer version of Excel. Learn more: https://go.microsoft.com/fwlink/?linkid=870924
Comment:
    Fuente: Cboe vía FRED, VIXCLS; promedio mensual.</t>
      </text>
    </comment>
    <comment ref="N5" authorId="8" shapeId="0">
      <text>
        <t>[Threaded comment]
Your version of Excel allows you to read this threaded comment; however, any edits to it will get removed if the file is opened in a newer version of Excel. Learn more: https://go.microsoft.com/fwlink/?linkid=870924
Comment:
    Fuente: Banco de la República, reservas internacionales netas sin FLAR, serie 15053.</t>
      </text>
    </comment>
    <comment ref="O5" authorId="9" shapeId="0">
      <text>
        <t>[Threaded comment]
Your version of Excel allows you to read this threaded comment; however, any edits to it will get removed if the file is opened in a newer version of Excel. Learn more: https://go.microsoft.com/fwlink/?linkid=870924
Comment:
    Fuente: BCRPData, serie diaria PD04715XD; fuentes originales Reuters/J.P. Morgan. Promedio mensual de observaciones publicadas.</t>
      </text>
    </comment>
    <comment ref="P5" authorId="10" shapeId="0">
      <text>
        <t>[Threaded comment]
Your version of Excel allows you to read this threaded comment; however, any edits to it will get removed if the file is opened in a newer version of Excel. Learn more: https://go.microsoft.com/fwlink/?linkid=870924
Comment:
    Construcción: EMBIG Colombia en puntos básicos dividido por 100; 100 pb = 1 pp.</t>
      </text>
    </comment>
    <comment ref="Q5" authorId="11" shapeId="0">
      <text>
        <t>[Threaded comment]
Your version of Excel allows you to read this threaded comment; however, any edits to it will get removed if the file is opened in a newer version of Excel. Learn more: https://go.microsoft.com/fwlink/?linkid=870924
Comment:
    Fuente: Banco de la República, balanza comercial cambiaria, serie 16702.</t>
      </text>
    </comment>
    <comment ref="R5" authorId="12" shapeId="0">
      <text>
        <t>[Threaded comment]
Your version of Excel allows you to read this threaded comment; however, any edits to it will get removed if the file is opened in a newer version of Excel. Learn more: https://go.microsoft.com/fwlink/?linkid=870924
Comment:
    Fuente: Banco de la República, flujo neto total de capital, serie 16706.</t>
      </text>
    </comment>
    <comment ref="S5" authorId="13" shapeId="0">
      <text>
        <t>[Threaded comment]
Your version of Excel allows you to read this threaded comment; however, any edits to it will get removed if the file is opened in a newer version of Excel. Learn more: https://go.microsoft.com/fwlink/?linkid=870924
Comment:
    Fuente: Banco de la República, curva cero cupón TES en pesos a 5 años, serie 15273; promedio mensual.</t>
      </text>
    </comment>
    <comment ref="T5" authorId="14" shapeId="0">
      <text>
        <t>[Threaded comment]
Your version of Excel allows you to read this threaded comment; however, any edits to it will get removed if the file is opened in a newer version of Excel. Learn more: https://go.microsoft.com/fwlink/?linkid=870924
Comment:
    Fuente: Banco de la República, curva cero cupón TES UVR a 5 años, serie 15276; promedio mensual.</t>
      </text>
    </comment>
    <comment ref="U5" authorId="15" shapeId="0">
      <text>
        <t>[Threaded comment]
Your version of Excel allows you to read this threaded comment; however, any edits to it will get removed if the file is opened in a newer version of Excel. Learn more: https://go.microsoft.com/fwlink/?linkid=870924
Comment:
    Construcción: TES pesos 5 años menos TES UVR 5 años. Es compensación inflacionaria implícita, no una expectativa pura.</t>
      </text>
    </comment>
    <comment ref="V5" authorId="16" shapeId="0">
      <text>
        <t>[Threaded comment]
Your version of Excel allows you to read this threaded comment; however, any edits to it will get removed if the file is opened in a newer version of Excel. Learn more: https://go.microsoft.com/fwlink/?linkid=870924
Comment:
    Fuente: Federal Reserve Board, curva Gürkaynak–Sack–Wright BKEVEN05, cero cupón a 5 años y capitalización continua; promedio mensual.</t>
      </text>
    </comment>
    <comment ref="W5" authorId="17" shapeId="0">
      <text>
        <t>[Threaded comment]
Your version of Excel allows you to read this threaded comment; however, any edits to it will get removed if the file is opened in a newer version of Excel. Learn more: https://go.microsoft.com/fwlink/?linkid=870924
Comment:
    Construcción: BEI Colombia 5 años menos BEI EE. UU. 5 años. Las curvas se promedian por separado; incluye primas de riesgo inflacionario y liquidez.</t>
      </text>
    </comment>
    <comment ref="X5" authorId="18" shapeId="0">
      <text>
        <t>[Threaded comment]
Your version of Excel allows you to read this threaded comment; however, any edits to it will get removed if the file is opened in a newer version of Excel. Learn more: https://go.microsoft.com/fwlink/?linkid=870924
Comment:
    Fuente: OECD vía FRED, CCUSMA02BRM618N; reales brasileños por dólar.</t>
      </text>
    </comment>
    <comment ref="Y5" authorId="19" shapeId="0">
      <text>
        <t>[Threaded comment]
Your version of Excel allows you to read this threaded comment; however, any edits to it will get removed if the file is opened in a newer version of Excel. Learn more: https://go.microsoft.com/fwlink/?linkid=870924
Comment:
    Fuente: OECD vía FRED, CCUSMA02CLM618N; pesos chilenos por dólar.</t>
      </text>
    </comment>
    <comment ref="Z5" authorId="20" shapeId="0">
      <text>
        <t>[Threaded comment]
Your version of Excel allows you to read this threaded comment; however, any edits to it will get removed if the file is opened in a newer version of Excel. Learn more: https://go.microsoft.com/fwlink/?linkid=870924
Comment:
    Fuente: OECD vía FRED, CCUSMA02MXM618N; pesos mexicanos por dólar.</t>
      </text>
    </comment>
    <comment ref="AA5" authorId="21" shapeId="0">
      <text>
        <t>[Threaded comment]
Your version of Excel allows you to read this threaded comment; however, any edits to it will get removed if the file is opened in a newer version of Excel. Learn more: https://go.microsoft.com/fwlink/?linkid=870924
Comment:
    Fuente: BCRPData PN01207PM, tipo de cambio interbancario promedio; soles peruanos por dólar. https://estadisticas.bcrp.gob.pe/estadisticas/series/mensuales/resultados/PN01207PM/html</t>
      </text>
    </comment>
    <comment ref="AB5" authorId="22" shapeId="0">
      <text>
        <t>[Threaded comment]
Your version of Excel allows you to read this threaded comment; however, any edits to it will get removed if the file is opened in a newer version of Excel. Learn more: https://go.microsoft.com/fwlink/?linkid=870924
Comment:
    Construcción: promedio igual ponderado de retornos mensuales estandarizados de BRL, CLP y MXN por USD. Medias y desviaciones calibradas con 2006–2019.</t>
      </text>
    </comment>
    <comment ref="AC5" authorId="23" shapeId="0">
      <text>
        <t>[Threaded comment]
Your version of Excel allows you to read this threaded comment; however, any edits to it will get removed if the file is opened in a newer version of Excel. Learn more: https://go.microsoft.com/fwlink/?linkid=870924
Comment:
    Construcción activa de la explicación histórica: promedio igual ponderado de retornos mensuales estandarizados de BRL, CLP, MXN y PEN por USD. Medias y desviaciones calibradas con 2006–2019.</t>
      </text>
    </comment>
  </commentList>
</comments>
</file>

<file path=xl/comments/comment2.xml><?xml version="1.0" encoding="utf-8"?>
<comments xmlns="http://schemas.openxmlformats.org/spreadsheetml/2006/main">
  <authors>
    <author>tc={644C8728-896C-4C83-6CEC-5E73DB1DD6D8}</author>
    <author>tc={7F2690A5-D61C-58B1-2B09-5112D42A0868}</author>
    <author>tc={89A512FF-46D1-8D4E-2527-86907CECF5D9}</author>
    <author>tc={E9E74384-F26C-8750-9193-5082A785B209}</author>
  </authors>
  <commentList>
    <comment ref="U5" authorId="0" shapeId="0">
      <text>
        <t>[Threaded comment]
Your version of Excel allows you to read this threaded comment; however, any edits to it will get removed if the file is opened in a newer version of Excel. Learn more: https://go.microsoft.com/fwlink/?linkid=870924
Comment:
    Escala auditable: el flujo original en USD millones se divide por 1.000 antes de aplicar asinh, igual que en la estimación en Python.</t>
      </text>
    </comment>
    <comment ref="W5" authorId="1" shapeId="0">
      <text>
        <t>[Threaded comment]
Your version of Excel allows you to read this threaded comment; however, any edits to it will get removed if the file is opened in a newer version of Excel. Learn more: https://go.microsoft.com/fwlink/?linkid=870924
Comment:
    Escala auditable: el flujo original en USD millones se divide por 1.000 antes de aplicar asinh, igual que en la estimación en Python.</t>
      </text>
    </comment>
    <comment ref="AA5" authorId="2" shapeId="0">
      <text>
        <t>[Threaded comment]
Your version of Excel allows you to read this threaded comment; however, any edits to it will get removed if the file is opened in a newer version of Excel. Learn more: https://go.microsoft.com/fwlink/?linkid=870924
Comment:
    Promedio igual ponderado de retornos mensuales estandarizados de BRL, CLP y MXN por USD. Medias y desviaciones calibradas entre enero de 2006 y diciembre de 2019.</t>
      </text>
    </comment>
    <comment ref="AB5" authorId="3" shapeId="0">
      <text>
        <t>[Threaded comment]
Your version of Excel allows you to read this threaded comment; however, any edits to it will get removed if the file is opened in a newer version of Excel. Learn more: https://go.microsoft.com/fwlink/?linkid=870924
Comment:
    Promedio igual ponderado de retornos mensuales estandarizados de BRL, CLP, MXN y PEN por USD. Es la composición activa de la explicación histórica.</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5</row>
      <rowOff>0</rowOff>
    </from>
    <to>
      <col>14</col>
      <colOff>0</colOff>
      <row>27</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15</col>
      <colOff>0</colOff>
      <row>1</row>
      <rowOff>0</rowOff>
    </from>
    <to>
      <col>23</col>
      <colOff>0</colOff>
      <row>15</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14</col>
      <colOff>0</colOff>
      <row>4</row>
      <rowOff>0</rowOff>
    </from>
    <to>
      <col>23</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9</col>
      <colOff>0</colOff>
      <row>4</row>
      <rowOff>0</rowOff>
    </from>
    <to>
      <col>18</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4</row>
      <rowOff>0</rowOff>
    </from>
    <to>
      <col>18</col>
      <colOff>0</colOff>
      <row>22</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ComparacionModelosResumenTable" displayName="ComparacionModelosResumenTable" ref="H30:N33" headerRowCount="1" totalsRowCount="0" totalsRowShown="0">
  <autoFilter ref="H30:N33"/>
  <tableColumns count="7">
    <tableColumn id="1" name="Modelo"/>
    <tableColumn id="2" name="Obs."/>
    <tableColumn id="3" name="R² ajustado"/>
    <tableColumn id="4" name="AIC"/>
    <tableColumn id="5" name="BIC"/>
    <tableColumn id="6" name="MAPE"/>
    <tableColumn id="7" name="Dirección"/>
  </tableColumns>
  <tableStyleInfo name="TableStyleMedium2" showFirstColumn="0" showLastColumn="0" showRowStripes="1" showColumnStripes="0"/>
</table>
</file>

<file path=xl/tables/table2.xml><?xml version="1.0" encoding="utf-8"?>
<table xmlns="http://schemas.openxmlformats.org/spreadsheetml/2006/main" id="2" name="PesosResumenTable" displayName="PesosResumenTable" ref="A39:F47" headerRowCount="1" totalsRowCount="0" totalsRowShown="0">
  <autoFilter ref="A39:F47"/>
  <tableColumns count="6">
    <tableColumn id="1" name="Factor"/>
    <tableColumn id="2" name="Grupo"/>
    <tableColumn id="3" name="Contribución al R²"/>
    <tableColumn id="4" name="Peso entre factores"/>
    <tableColumn id="5" name="Peso del R² total"/>
    <tableColumn id="6" name="Lectura"/>
  </tableColumns>
  <tableStyleInfo name="TableStyleMedium2" showFirstColumn="0" showLastColumn="0" showRowStripes="1" showColumnStripes="0"/>
</table>
</file>

<file path=xl/tables/table3.xml><?xml version="1.0" encoding="utf-8"?>
<table xmlns="http://schemas.openxmlformats.org/spreadsheetml/2006/main" id="3" name="DatosFuenteTable" displayName="DatosFuenteTable" ref="A5:AC250" headerRowCount="1" totalsRowCount="0" totalsRowShown="0">
  <autoFilter ref="A5:AC250"/>
  <tableColumns count="29">
    <tableColumn id="1" name="Mes"/>
    <tableColumn id="2" name="TRM (COP/USD)"/>
    <tableColumn id="3" name="Términos de intercambio"/>
    <tableColumn id="4" name="Remesas (USD mill.)"/>
    <tableColumn id="5" name="Remesas 12m (USD mill.)"/>
    <tableColumn id="6" name="Tasa política Colombia (%)"/>
    <tableColumn id="7" name="Fed funds (%)"/>
    <tableColumn id="8" name="Diferencial tasas (pp)"/>
    <tableColumn id="9" name="Balance fiscal mensual (miles mill. COP)"/>
    <tableColumn id="10" name="Déficit fiscal 12m (% PIB)"/>
    <tableColumn id="11" name="Índice dólar amplio"/>
    <tableColumn id="12" name="VIX"/>
    <tableColumn id="13" name="Dummy pandemia"/>
    <tableColumn id="14" name="Reservas netas sin FLAR (USD mill.)"/>
    <tableColumn id="15" name="EMBIG Colombia (pb)"/>
    <tableColumn id="16" name="EMBIG Colombia (pp)"/>
    <tableColumn id="17" name="Balanza comercial cambiaria (USD mill.)"/>
    <tableColumn id="18" name="Flujo neto total de capital (USD mill.)"/>
    <tableColumn id="19" name="TES pesos cero cupón 5 años (%)"/>
    <tableColumn id="20" name="TES UVR cero cupón 5 años (%)"/>
    <tableColumn id="21" name="BEI Colombia 5 años (%)"/>
    <tableColumn id="22" name="BEI EE. UU. 5 años (%)"/>
    <tableColumn id="23" name="Diferencial BEI 5 años (pp)"/>
    <tableColumn id="24" name="BRL por USD"/>
    <tableColumn id="25" name="CLP por USD"/>
    <tableColumn id="26" name="MXN por USD"/>
    <tableColumn id="27" name="PEN por USD"/>
    <tableColumn id="28" name="Factor regional 3 monedas"/>
    <tableColumn id="29" name="Factor regional 4 monedas"/>
  </tableColumns>
  <tableStyleInfo name="TableStyleMedium2" showFirstColumn="0" showLastColumn="0" showRowStripes="1" showColumnStripes="0"/>
</table>
</file>

<file path=xl/tables/table4.xml><?xml version="1.0" encoding="utf-8"?>
<table xmlns="http://schemas.openxmlformats.org/spreadsheetml/2006/main" id="4" name="TransformacionesTable" displayName="TransformacionesTable" ref="A5:AB250" headerRowCount="1" totalsRowCount="0" totalsRowShown="0">
  <autoFilter ref="A5:AB250"/>
  <tableColumns count="28">
    <tableColumn id="1" name="Mes"/>
    <tableColumn id="2" name="ln TRM"/>
    <tableColumn id="3" name="Δln TRM"/>
    <tableColumn id="4" name="ln términos de intercambio"/>
    <tableColumn id="5" name="Δln términos de intercambio"/>
    <tableColumn id="6" name="ln remesas 12m"/>
    <tableColumn id="7" name="Δln remesas 12m"/>
    <tableColumn id="8" name="Diferencial tasas"/>
    <tableColumn id="9" name="Δ diferencial"/>
    <tableColumn id="10" name="Déficit 12m/PIB"/>
    <tableColumn id="11" name="Δ déficit"/>
    <tableColumn id="12" name="ln dólar amplio"/>
    <tableColumn id="13" name="Δln dólar amplio"/>
    <tableColumn id="14" name="ln VIX"/>
    <tableColumn id="15" name="Δln VIX"/>
    <tableColumn id="16" name="Pandemia"/>
    <tableColumn id="17" name="ln reservas netas sin FLAR"/>
    <tableColumn id="18" name="Δln reservas"/>
    <tableColumn id="19" name="EMBIG Colombia (pp)"/>
    <tableColumn id="20" name="Δ EMBIG Colombia"/>
    <tableColumn id="21" name="asinh balanza (USD miles de millones)"/>
    <tableColumn id="22" name="Δ asinh balanza"/>
    <tableColumn id="23" name="asinh flujos (USD miles de millones)"/>
    <tableColumn id="24" name="Δ asinh flujos"/>
    <tableColumn id="25" name="Diferencial BEI 5 años"/>
    <tableColumn id="26" name="Δ diferencial BEI"/>
    <tableColumn id="27" name="Factor regional 3 monedas"/>
    <tableColumn id="28" name="Factor regional 4 monedas"/>
  </tableColumns>
  <tableStyleInfo name="TableStyleMedium2" showFirstColumn="0" showLastColumn="0" showRowStripes="1" showColumnStripes="0"/>
</table>
</file>

<file path=xl/tables/table5.xml><?xml version="1.0" encoding="utf-8"?>
<table xmlns="http://schemas.openxmlformats.org/spreadsheetml/2006/main" id="5" name="CoeficientesModeloTable" displayName="CoeficientesModeloTable" ref="A5:G13" headerRowCount="1" totalsRowCount="0" totalsRowShown="0">
  <autoFilter ref="A5:G13"/>
  <tableColumns count="7">
    <tableColumn id="1" name="Variable"/>
    <tableColumn id="2" name="Coeficiente"/>
    <tableColumn id="3" name="EE HAC"/>
    <tableColumn id="4" name="t"/>
    <tableColumn id="5" name="p-valor"/>
    <tableColumn id="6" name="IC 95% inferior"/>
    <tableColumn id="7" name="IC 95% superior"/>
  </tableColumns>
  <tableStyleInfo name="TableStyleMedium2" showFirstColumn="0" showLastColumn="0" showRowStripes="1" showColumnStripes="0"/>
</table>
</file>

<file path=xl/tables/table6.xml><?xml version="1.0" encoding="utf-8"?>
<table xmlns="http://schemas.openxmlformats.org/spreadsheetml/2006/main" id="6" name="AjusteModeloTable" displayName="AjusteModeloTable" ref="A17:N257" headerRowCount="1" totalsRowCount="0" totalsRowShown="0">
  <autoFilter ref="A17:N257"/>
  <tableColumns count="14">
    <tableColumn id="1" name="Mes"/>
    <tableColumn id="2" name="Δln TRM observado"/>
    <tableColumn id="3" name="Constante"/>
    <tableColumn id="4" name="Términos de intercambio"/>
    <tableColumn id="5" name="Dólar amplio"/>
    <tableColumn id="6" name="VIX"/>
    <tableColumn id="7" name="Remesas t−1"/>
    <tableColumn id="8" name="Tasas t−1"/>
    <tableColumn id="9" name="Fiscal t−1"/>
    <tableColumn id="10" name="Pandemia"/>
    <tableColumn id="11" name="Δln TRM ajustado"/>
    <tableColumn id="12" name="Residuo"/>
    <tableColumn id="13" name="TRM observada"/>
    <tableColumn id="14" name="TRM ajustada 1 paso"/>
  </tableColumns>
  <tableStyleInfo name="TableStyleMedium2" showFirstColumn="0" showLastColumn="0" showRowStripes="1" showColumnStripes="0"/>
</table>
</file>

<file path=xl/tables/table7.xml><?xml version="1.0" encoding="utf-8"?>
<table xmlns="http://schemas.openxmlformats.org/spreadsheetml/2006/main" id="7" name="CoeficientesModeloAmpliadoTable" displayName="CoeficientesModeloAmpliadoTable" ref="A5:G19" headerRowCount="1" totalsRowCount="0" totalsRowShown="0">
  <autoFilter ref="A5:G19"/>
  <tableColumns count="7">
    <tableColumn id="1" name="Variable"/>
    <tableColumn id="2" name="Coeficiente"/>
    <tableColumn id="3" name="EE HAC"/>
    <tableColumn id="4" name="t"/>
    <tableColumn id="5" name="p-valor"/>
    <tableColumn id="6" name="IC 95% inferior"/>
    <tableColumn id="7" name="IC 95% superior"/>
  </tableColumns>
  <tableStyleInfo name="TableStyleMedium2" showFirstColumn="0" showLastColumn="0" showRowStripes="1" showColumnStripes="0"/>
</table>
</file>

<file path=xl/tables/table8.xml><?xml version="1.0" encoding="utf-8"?>
<table xmlns="http://schemas.openxmlformats.org/spreadsheetml/2006/main" id="8" name="DiagnosticosModeloAmpliadoTable" displayName="DiagnosticosModeloAmpliadoTable" ref="I13:L21" headerRowCount="1" totalsRowCount="0" totalsRowShown="0">
  <autoFilter ref="I13:L21"/>
  <tableColumns count="4">
    <tableColumn id="1" name="Prueba"/>
    <tableColumn id="2" name="Estadístico"/>
    <tableColumn id="3" name="p-valor"/>
    <tableColumn id="4" name="Lectura"/>
  </tableColumns>
  <tableStyleInfo name="TableStyleMedium2" showFirstColumn="0" showLastColumn="0" showRowStripes="1" showColumnStripes="0"/>
</table>
</file>

<file path=xl/tables/table9.xml><?xml version="1.0" encoding="utf-8"?>
<table xmlns="http://schemas.openxmlformats.org/spreadsheetml/2006/main" id="9" name="AjusteModeloAmpliadoTable" displayName="AjusteModeloAmpliadoTable" ref="A24:V264" headerRowCount="1" totalsRowCount="0" totalsRowShown="0">
  <autoFilter ref="A24:V264"/>
  <tableColumns count="22">
    <tableColumn id="1" name="Mes"/>
    <tableColumn id="2" name="Δln TRM observado"/>
    <tableColumn id="3" name="Δln TRM ajustado"/>
    <tableColumn id="4" name="Residuo"/>
    <tableColumn id="5" name="TRM observada"/>
    <tableColumn id="6" name="TRM ajustada 1 paso"/>
    <tableColumn id="7" name="Intercepto"/>
    <tableColumn id="8" name="Δ ln términos de intercambio (t)"/>
    <tableColumn id="9" name="Δ ln remesas 12m (t−1)"/>
    <tableColumn id="10" name="Δ diferencial tasas (t−1)"/>
    <tableColumn id="11" name="Δ déficit fiscal 12m/PIB (t−1)"/>
    <tableColumn id="12" name="Δ ln índice dólar amplio (t)"/>
    <tableColumn id="13" name="Δ ln VIX (t)"/>
    <tableColumn id="14" name="Δ EMBIG Colombia (t)"/>
    <tableColumn id="15" name="Δ ln reservas netas sin FLAR (t−1)"/>
    <tableColumn id="16" name="Δ asinh balanza comercial cambiaria (t−1)"/>
    <tableColumn id="17" name="Δ asinh flujo neto de capital (t−1)"/>
    <tableColumn id="18" name="Δ diferencial BEI 5 años (t−1)"/>
    <tableColumn id="19" name="Factor regional BRL, CLP, MXN y PEN (t)"/>
    <tableColumn id="20" name="Dummy pandemia 2020"/>
    <tableColumn id="21" name="Ajuste total de contribuciones"/>
    <tableColumn id="22" name="Diferencia de control"/>
  </tableColumns>
  <tableStyleInfo name="TableStyleMedium2" showFirstColumn="0" showLastColumn="0" showRowStripes="1" showColumnStripes="0"/>
</table>
</file>

<file path=xl/tables/table10.xml><?xml version="1.0" encoding="utf-8"?>
<table xmlns="http://schemas.openxmlformats.org/spreadsheetml/2006/main" id="10" name="PesosExplicativosTable" displayName="PesosExplicativosTable" ref="A10:H22" headerRowCount="1" totalsRowCount="0" totalsRowShown="0">
  <autoFilter ref="A10:H22"/>
  <tableColumns count="8">
    <tableColumn id="1" name="Factor"/>
    <tableColumn id="2" name="Grupo"/>
    <tableColumn id="3" name="Shapley R²"/>
    <tableColumn id="4" name="Peso entre factores"/>
    <tableColumn id="5" name="Peso del R² total"/>
    <tableColumn id="6" name="R² base"/>
    <tableColumn id="7" name="R² completo"/>
    <tableColumn id="8" name="R² incremental"/>
  </tableColumns>
  <tableStyleInfo name="TableStyleMedium2" showFirstColumn="0" showLastColumn="0" showRowStripes="1" showColumnStripes="0"/>
</table>
</file>

<file path=xl/tables/table11.xml><?xml version="1.0" encoding="utf-8"?>
<table xmlns="http://schemas.openxmlformats.org/spreadsheetml/2006/main" id="11" name="IntervalosShapleyTable" displayName="IntervalosShapleyTable" ref="A6:H18" headerRowCount="1" totalsRowCount="0" totalsRowShown="0">
  <autoFilter ref="A6:H18"/>
  <tableColumns count="8">
    <tableColumn id="1" name="Factor"/>
    <tableColumn id="2" name="Peso puntual"/>
    <tableColumn id="3" name="Mediana bootstrap"/>
    <tableColumn id="4" name="IC 95% inferior"/>
    <tableColumn id="5" name="IC 95% superior"/>
    <tableColumn id="6" name="Ancho IC"/>
    <tableColumn id="7" name="Prob. top 3"/>
    <tableColumn id="8" name="Réplicas"/>
  </tableColumns>
  <tableStyleInfo name="TableStyleMedium2" showFirstColumn="0" showLastColumn="0" showRowStripes="1" showColumnStripes="0"/>
</table>
</file>

<file path=xl/tables/table12.xml><?xml version="1.0" encoding="utf-8"?>
<table xmlns="http://schemas.openxmlformats.org/spreadsheetml/2006/main" id="12" name="EstabilidadResumenTable" displayName="EstabilidadResumenTable" ref="J6:P11" headerRowCount="1" totalsRowCount="0" totalsRowShown="0">
  <autoFilter ref="J6:P11"/>
  <tableColumns count="7">
    <tableColumn id="1" name="Submuestra"/>
    <tableColumn id="2" name="Obs."/>
    <tableColumn id="3" name="R² ajustado"/>
    <tableColumn id="4" name="Spearman rangos"/>
    <tableColumn id="5" name="Mediana |Δ peso|"/>
    <tableColumn id="6" name="Máx. |Δ peso|"/>
    <tableColumn id="7" name="Mismo signo / 12"/>
  </tableColumns>
  <tableStyleInfo name="TableStyleMedium2" showFirstColumn="0" showLastColumn="0" showRowStripes="1" showColumnStripes="0"/>
</table>
</file>

<file path=xl/tables/table13.xml><?xml version="1.0" encoding="utf-8"?>
<table xmlns="http://schemas.openxmlformats.org/spreadsheetml/2006/main" id="13" name="PesosSubmuestrasTable" displayName="PesosSubmuestrasTable" ref="A22:G34" headerRowCount="1" totalsRowCount="0" totalsRowShown="0">
  <autoFilter ref="A22:G34"/>
  <tableColumns count="7">
    <tableColumn id="1" name="Factor"/>
    <tableColumn id="2" name="Grupo"/>
    <tableColumn id="3" name="Muestra completa"/>
    <tableColumn id="4" name="Primera mitad"/>
    <tableColumn id="5" name="Segunda mitad"/>
    <tableColumn id="6" name="Prepandemia"/>
    <tableColumn id="7" name="2020 en adelante"/>
  </tableColumns>
  <tableStyleInfo name="TableStyleMedium2" showFirstColumn="0" showLastColumn="0" showRowStripes="1" showColumnStripes="0"/>
</table>
</file>

<file path=xl/tables/table14.xml><?xml version="1.0" encoding="utf-8"?>
<table xmlns="http://schemas.openxmlformats.org/spreadsheetml/2006/main" id="14" name="CoberturaVintagesTable" displayName="CoberturaVintagesTable" ref="I22:P34" headerRowCount="1" totalsRowCount="0" totalsRowShown="0">
  <autoFilter ref="I22:P34"/>
  <tableColumns count="8">
    <tableColumn id="1" name="Factor"/>
    <tableColumn id="2" name="Estado"/>
    <tableColumn id="3" name="Orígenes"/>
    <tableColumn id="4" name="Cobertura"/>
    <tableColumn id="5" name="Apto"/>
    <tableColumn id="6" name="Archivo desde"/>
    <tableColumn id="7" name="Fuentes"/>
    <tableColumn id="8" name="Detalle"/>
  </tableColumns>
  <tableStyleInfo name="TableStyleMedium2" showFirstColumn="0" showLastColumn="0" showRowStripes="1" showColumnStripes="0"/>
</table>
</file>

<file path=xl/tables/table15.xml><?xml version="1.0" encoding="utf-8"?>
<table xmlns="http://schemas.openxmlformats.org/spreadsheetml/2006/main" id="15" name="EspecificacionesBeiTable" displayName="EspecificacionesBeiTable" ref="A6:L12" headerRowCount="1" totalsRowCount="0" totalsRowShown="0">
  <autoFilter ref="A6:L12"/>
  <tableColumns count="12">
    <tableColumn id="1" name="Especificación"/>
    <tableColumn id="2" name="Agregación"/>
    <tableColumn id="3" name="Transformación"/>
    <tableColumn id="4" name="Extensión"/>
    <tableColumn id="5" name="R² ajustado"/>
    <tableColumn id="6" name="BIC"/>
    <tableColumn id="7" name="Coef. BEI"/>
    <tableColumn id="8" name="p HAC"/>
    <tableColumn id="9" name="MAPE cond."/>
    <tableColumn id="10" name="R² validación"/>
    <tableColumn id="11" name="Quiebre"/>
    <tableColumn id="12" name="Cautela"/>
  </tableColumns>
  <tableStyleInfo name="TableStyleMedium2" showFirstColumn="0" showLastColumn="0" showRowStripes="1" showColumnStripes="0"/>
</table>
</file>

<file path=xl/tables/table16.xml><?xml version="1.0" encoding="utf-8"?>
<table xmlns="http://schemas.openxmlformats.org/spreadsheetml/2006/main" id="16" name="AgregacionBeiResumenTable" displayName="AgregacionBeiResumenTable" ref="A16:C21" headerRowCount="1" totalsRowCount="0" totalsRowShown="0">
  <autoFilter ref="A16:C21"/>
  <tableColumns count="3">
    <tableColumn id="1" name="Métrica"/>
    <tableColumn id="2" name="Valor"/>
    <tableColumn id="3" name="Lectura"/>
  </tableColumns>
  <tableStyleInfo name="TableStyleMedium2" showFirstColumn="0" showLastColumn="0" showRowStripes="1" showColumnStripes="0"/>
</table>
</file>

<file path=xl/tables/table17.xml><?xml version="1.0" encoding="utf-8"?>
<table xmlns="http://schemas.openxmlformats.org/spreadsheetml/2006/main" id="17" name="EstacionariedadBeiTable" displayName="EstacionariedadBeiTable" ref="A25:K41" headerRowCount="1" totalsRowCount="0" totalsRowShown="0">
  <autoFilter ref="A25:K41"/>
  <tableColumns count="11">
    <tableColumn id="1" name="Agregación"/>
    <tableColumn id="2" name="Transformación"/>
    <tableColumn id="3" name="Prueba"/>
    <tableColumn id="4" name="Determinístico"/>
    <tableColumn id="5" name="H₀"/>
    <tableColumn id="6" name="N"/>
    <tableColumn id="7" name="Estadístico"/>
    <tableColumn id="8" name="p-valor"/>
    <tableColumn id="9" name="Rezagos"/>
    <tableColumn id="10" name="Fecha quiebre"/>
    <tableColumn id="11" name="Crítico 5%"/>
  </tableColumns>
  <tableStyleInfo name="TableStyleMedium2" showFirstColumn="0" showLastColumn="0" showRowStripes="1" showColumnStripes="0"/>
</table>
</file>

<file path=xl/tables/table18.xml><?xml version="1.0" encoding="utf-8"?>
<table xmlns="http://schemas.openxmlformats.org/spreadsheetml/2006/main" id="18" name="TendenciasBeiTable" displayName="TendenciasBeiTable" ref="A44:L50" headerRowCount="1" totalsRowCount="0" totalsRowShown="0">
  <autoFilter ref="A44:L50"/>
  <tableColumns count="12">
    <tableColumn id="1" name="Agregación"/>
    <tableColumn id="2" name="Modelo"/>
    <tableColumn id="3" name="Quiebre ZA"/>
    <tableColumn id="4" name="N"/>
    <tableColumn id="5" name="R² ajustado"/>
    <tableColumn id="6" name="BIC"/>
    <tableColumn id="7" name="Tendencia pp/año"/>
    <tableColumn id="8" name="p tendencia"/>
    <tableColumn id="9" name="Cambio nivel"/>
    <tableColumn id="10" name="p nivel"/>
    <tableColumn id="11" name="Cambio pendiente"/>
    <tableColumn id="12" name="p pendiente"/>
  </tableColumns>
  <tableStyleInfo name="TableStyleMedium2" showFirstColumn="0" showLastColumn="0" showRowStripes="1" showColumnStripes="0"/>
</table>
</file>

<file path=xl/tables/table19.xml><?xml version="1.0" encoding="utf-8"?>
<table xmlns="http://schemas.openxmlformats.org/spreadsheetml/2006/main" id="19" name="MetricasValidacionTable" displayName="MetricasValidacionTable" ref="A5:F8" headerRowCount="1" totalsRowCount="0" totalsRowShown="0">
  <autoFilter ref="A5:F8"/>
  <tableColumns count="6">
    <tableColumn id="1" name="Modelo"/>
    <tableColumn id="2" name="Observaciones"/>
    <tableColumn id="3" name="MAE (log)"/>
    <tableColumn id="4" name="RMSE (log)"/>
    <tableColumn id="5" name="MAPE"/>
    <tableColumn id="6" name="Acierto dirección"/>
  </tableColumns>
  <tableStyleInfo name="TableStyleMedium2" showFirstColumn="0" showLastColumn="0" showRowStripes="1" showColumnStripes="0"/>
</table>
</file>

<file path=xl/tables/table20.xml><?xml version="1.0" encoding="utf-8"?>
<table xmlns="http://schemas.openxmlformats.org/spreadsheetml/2006/main" id="20" name="PrediccionesValidacionTable" displayName="PrediccionesValidacionTable" ref="A11:I59" headerRowCount="1" totalsRowCount="0" totalsRowShown="0">
  <autoFilter ref="A11:I59"/>
  <tableColumns count="9">
    <tableColumn id="1" name="Mes"/>
    <tableColumn id="2" name="ln TRM observada"/>
    <tableColumn id="3" name="ln TRM modelo principal"/>
    <tableColumn id="4" name="ln TRM caminata"/>
    <tableColumn id="5" name="Δln observado"/>
    <tableColumn id="6" name="Δln modelo principal"/>
    <tableColumn id="7" name="TRM observada"/>
    <tableColumn id="8" name="TRM modelo principal"/>
    <tableColumn id="9" name="TRM caminata"/>
  </tableColumns>
  <tableStyleInfo name="TableStyleMedium2" showFirstColumn="0" showLastColumn="0" showRowStripes="1" showColumnStripes="0"/>
</table>
</file>

<file path=xl/tables/table21.xml><?xml version="1.0" encoding="utf-8"?>
<table xmlns="http://schemas.openxmlformats.org/spreadsheetml/2006/main" id="21" name="PrediccionesValidacionAmpliadaTable" displayName="PrediccionesValidacionAmpliadaTable" ref="A62:I110" headerRowCount="1" totalsRowCount="0" totalsRowShown="0">
  <autoFilter ref="A62:I110"/>
  <tableColumns count="9">
    <tableColumn id="1" name="Mes"/>
    <tableColumn id="2" name="ln TRM observada"/>
    <tableColumn id="3" name="ln TRM modelo ampliado"/>
    <tableColumn id="4" name="ln TRM caminata"/>
    <tableColumn id="5" name="Δln observado"/>
    <tableColumn id="6" name="Δln modelo ampliado"/>
    <tableColumn id="7" name="TRM observada"/>
    <tableColumn id="8" name="TRM modelo ampliado"/>
    <tableColumn id="9" name="TRM caminata"/>
  </tableColumns>
  <tableStyleInfo name="TableStyleMedium2" showFirstColumn="0" showLastColumn="0" showRowStripes="1" showColumnStripes="0"/>
</table>
</file>

<file path=xl/tables/table22.xml><?xml version="1.0" encoding="utf-8"?>
<table xmlns="http://schemas.openxmlformats.org/spreadsheetml/2006/main" id="22" name="MetricasPronosticoTable" displayName="MetricasPronosticoTable" ref="A6:F8" headerRowCount="1" totalsRowCount="0" totalsRowShown="0">
  <autoFilter ref="A6:F8"/>
  <tableColumns count="6">
    <tableColumn id="1" name="Modelo"/>
    <tableColumn id="2" name="Observaciones"/>
    <tableColumn id="3" name="MAE (log)"/>
    <tableColumn id="4" name="RMSE (log)"/>
    <tableColumn id="5" name="MAPE"/>
    <tableColumn id="6" name="Acierto dirección"/>
  </tableColumns>
  <tableStyleInfo name="TableStyleMedium2" showFirstColumn="0" showLastColumn="0" showRowStripes="1" showColumnStripes="0"/>
</table>
</file>

<file path=xl/tables/table23.xml><?xml version="1.0" encoding="utf-8"?>
<table xmlns="http://schemas.openxmlformats.org/spreadsheetml/2006/main" id="23" name="ComparacionFactorRegionalTable" displayName="ComparacionFactorRegionalTable" ref="A13:J17" headerRowCount="1" totalsRowCount="0" totalsRowShown="0">
  <autoFilter ref="A13:J17"/>
  <tableColumns count="10">
    <tableColumn id="1" name="Uso"/>
    <tableColumn id="2" name="Monedas"/>
    <tableColumn id="3" name="R² ajustado"/>
    <tableColumn id="4" name="BIC"/>
    <tableColumn id="5" name="MAPE"/>
    <tableColumn id="6" name="Dirección"/>
    <tableColumn id="7" name="R² vs. caminata"/>
    <tableColumn id="8" name="Coef. regional"/>
    <tableColumn id="9" name="p-valor HAC"/>
    <tableColumn id="10" name="Correlación 3–4"/>
  </tableColumns>
  <tableStyleInfo name="TableStyleMedium2" showFirstColumn="0" showLastColumn="0" showRowStripes="1" showColumnStripes="0"/>
</table>
</file>

<file path=xl/tables/table24.xml><?xml version="1.0" encoding="utf-8"?>
<table xmlns="http://schemas.openxmlformats.org/spreadsheetml/2006/main" id="24" name="CalendarioDisponibilidadTable" displayName="CalendarioDisponibilidadTable" ref="A20:D32" headerRowCount="1" totalsRowCount="0" totalsRowShown="0">
  <autoFilter ref="A20:D32"/>
  <tableColumns count="4">
    <tableColumn id="1" name="Factor"/>
    <tableColumn id="2" name="Rezago (meses)"/>
    <tableColumn id="3" name="Frecuencia/publicación"/>
    <tableColumn id="4" name="Regla utilizada"/>
  </tableColumns>
  <tableStyleInfo name="TableStyleMedium2" showFirstColumn="0" showLastColumn="0" showRowStripes="1" showColumnStripes="0"/>
</table>
</file>

<file path=xl/tables/table25.xml><?xml version="1.0" encoding="utf-8"?>
<table xmlns="http://schemas.openxmlformats.org/spreadsheetml/2006/main" id="25" name="CoeficientesPronosticoTable" displayName="CoeficientesPronosticoTable" ref="F20:L35" headerRowCount="1" totalsRowCount="0" totalsRowShown="0">
  <autoFilter ref="F20:L35"/>
  <tableColumns count="7">
    <tableColumn id="1" name="Variable"/>
    <tableColumn id="2" name="Coeficiente"/>
    <tableColumn id="3" name="EE HAC"/>
    <tableColumn id="4" name="t"/>
    <tableColumn id="5" name="p-valor"/>
    <tableColumn id="6" name="IC 95% inferior"/>
    <tableColumn id="7" name="IC 95% superior"/>
  </tableColumns>
  <tableStyleInfo name="TableStyleMedium2" showFirstColumn="0" showLastColumn="0" showRowStripes="1" showColumnStripes="0"/>
</table>
</file>

<file path=xl/tables/table26.xml><?xml version="1.0" encoding="utf-8"?>
<table xmlns="http://schemas.openxmlformats.org/spreadsheetml/2006/main" id="26" name="DiagnosticosPronosticoTable" displayName="DiagnosticosPronosticoTable" ref="N20:P28" headerRowCount="1" totalsRowCount="0" totalsRowShown="0">
  <autoFilter ref="N20:P28"/>
  <tableColumns count="3">
    <tableColumn id="1" name="Prueba"/>
    <tableColumn id="2" name="Estadístico"/>
    <tableColumn id="3" name="p-valor"/>
  </tableColumns>
  <tableStyleInfo name="TableStyleMedium2" showFirstColumn="0" showLastColumn="0" showRowStripes="1" showColumnStripes="0"/>
</table>
</file>

<file path=xl/tables/table27.xml><?xml version="1.0" encoding="utf-8"?>
<table xmlns="http://schemas.openxmlformats.org/spreadsheetml/2006/main" id="27" name="PrediccionesPronosticoTable" displayName="PrediccionesPronosticoTable" ref="A38:I86" headerRowCount="1" totalsRowCount="0" totalsRowShown="0">
  <autoFilter ref="A38:I86"/>
  <tableColumns count="9">
    <tableColumn id="1" name="Mes"/>
    <tableColumn id="2" name="ln TRM observada"/>
    <tableColumn id="3" name="ln TRM pronóstico"/>
    <tableColumn id="4" name="ln TRM caminata"/>
    <tableColumn id="5" name="Δln observado"/>
    <tableColumn id="6" name="Δln pronóstico"/>
    <tableColumn id="7" name="TRM observada"/>
    <tableColumn id="8" name="TRM pronóstico"/>
    <tableColumn id="9" name="TRM caminata"/>
  </tableColumns>
  <tableStyleInfo name="TableStyleMedium2" showFirstColumn="0" showLastColumn="0" showRowStripes="1" showColumnStripes="0"/>
</table>
</file>

<file path=xl/tables/table28.xml><?xml version="1.0" encoding="utf-8"?>
<table xmlns="http://schemas.openxmlformats.org/spreadsheetml/2006/main" id="28" name="BoundsCriticosTable" displayName="BoundsCriticosTable" ref="A11:C15" headerRowCount="1" totalsRowCount="0" totalsRowShown="0">
  <autoFilter ref="A11:C15"/>
  <tableColumns count="3">
    <tableColumn id="1" name="Percentil"/>
    <tableColumn id="2" name="Límite inferior I(0)"/>
    <tableColumn id="3" name="Límite superior I(1)"/>
  </tableColumns>
  <tableStyleInfo name="TableStyleMedium2" showFirstColumn="0" showLastColumn="0" showRowStripes="1" showColumnStripes="0"/>
</table>
</file>

<file path=xl/tables/table29.xml><?xml version="1.0" encoding="utf-8"?>
<table xmlns="http://schemas.openxmlformats.org/spreadsheetml/2006/main" id="29" name="ECMLargoPlazoTable" displayName="ECMLargoPlazoTable" ref="A19:G26" headerRowCount="1" totalsRowCount="0" totalsRowShown="0">
  <autoFilter ref="A19:G26"/>
  <tableColumns count="7">
    <tableColumn id="1" name="Variable"/>
    <tableColumn id="2" name="Coeficiente"/>
    <tableColumn id="3" name="EE"/>
    <tableColumn id="4" name="t"/>
    <tableColumn id="5" name="p-valor"/>
    <tableColumn id="6" name="IC 95% inferior"/>
    <tableColumn id="7" name="IC 95% superior"/>
  </tableColumns>
  <tableStyleInfo name="TableStyleMedium2" showFirstColumn="0" showLastColumn="0" showRowStripes="1" showColumnStripes="0"/>
</table>
</file>

<file path=xl/tables/table30.xml><?xml version="1.0" encoding="utf-8"?>
<table xmlns="http://schemas.openxmlformats.org/spreadsheetml/2006/main" id="30" name="DiagnosticosModeloTable" displayName="DiagnosticosModeloTable" ref="A6:D14" headerRowCount="1" totalsRowCount="0" totalsRowShown="0">
  <autoFilter ref="A6:D14"/>
  <tableColumns count="4">
    <tableColumn id="1" name="Prueba"/>
    <tableColumn id="2" name="Estadístico"/>
    <tableColumn id="3" name="p-valor"/>
    <tableColumn id="4" name="Lectura"/>
  </tableColumns>
  <tableStyleInfo name="TableStyleMedium2" showFirstColumn="0" showLastColumn="0" showRowStripes="1" showColumnStripes="0"/>
</table>
</file>

<file path=xl/tables/table31.xml><?xml version="1.0" encoding="utf-8"?>
<table xmlns="http://schemas.openxmlformats.org/spreadsheetml/2006/main" id="31" name="SeleccionRezagosTable" displayName="SeleccionRezagosTable" ref="F6:I10" headerRowCount="1" totalsRowCount="0" totalsRowShown="0">
  <autoFilter ref="F6:I10"/>
  <tableColumns count="4">
    <tableColumn id="1" name="p"/>
    <tableColumn id="2" name="AIC"/>
    <tableColumn id="3" name="BIC"/>
    <tableColumn id="4" name="R² ajustado"/>
  </tableColumns>
  <tableStyleInfo name="TableStyleMedium2" showFirstColumn="0" showLastColumn="0" showRowStripes="1" showColumnStripes="0"/>
</table>
</file>

<file path=xl/tables/table32.xml><?xml version="1.0" encoding="utf-8"?>
<table xmlns="http://schemas.openxmlformats.org/spreadsheetml/2006/main" id="32" name="IntegracionTable" displayName="IntegracionTable" ref="A18:H44" headerRowCount="1" totalsRowCount="0" totalsRowShown="0">
  <autoFilter ref="A18:H44"/>
  <tableColumns count="8">
    <tableColumn id="1" name="Variable"/>
    <tableColumn id="2" name="Transformación"/>
    <tableColumn id="3" name="n"/>
    <tableColumn id="4" name="ADF"/>
    <tableColumn id="5" name="p ADF"/>
    <tableColumn id="6" name="Rezagos ADF"/>
    <tableColumn id="7" name="KPSS"/>
    <tableColumn id="8" name="p KPSS"/>
  </tableColumns>
  <tableStyleInfo name="TableStyleMedium2" showFirstColumn="0" showLastColumn="0" showRowStripes="1" showColumnStripes="0"/>
</table>
</file>

<file path=xl/tables/table33.xml><?xml version="1.0" encoding="utf-8"?>
<table xmlns="http://schemas.openxmlformats.org/spreadsheetml/2006/main" id="33" name="DiagnosticosAmpliadosTable" displayName="DiagnosticosAmpliadosTable" ref="J15:M23" headerRowCount="1" totalsRowCount="0" totalsRowShown="0">
  <autoFilter ref="J15:M23"/>
  <tableColumns count="4">
    <tableColumn id="1" name="Prueba"/>
    <tableColumn id="2" name="Estadístico"/>
    <tableColumn id="3" name="p-valor"/>
    <tableColumn id="4" name="Lectura"/>
  </tableColumns>
  <tableStyleInfo name="TableStyleMedium2" showFirstColumn="0" showLastColumn="0" showRowStripes="1" showColumnStripes="0"/>
</table>
</file>

<file path=xl/tables/table34.xml><?xml version="1.0" encoding="utf-8"?>
<table xmlns="http://schemas.openxmlformats.org/spreadsheetml/2006/main" id="34" name="MapaVariablesTable" displayName="MapaVariablesTable" ref="A5:I20" headerRowCount="1" totalsRowCount="0" totalsRowShown="0">
  <autoFilter ref="A5:I20"/>
  <tableColumns count="9">
    <tableColumn id="1" name="Bloque"/>
    <tableColumn id="2" name="Variable"/>
    <tableColumn id="3" name="Estatus"/>
    <tableColumn id="4" name="Proxy/medición"/>
    <tableColumn id="5" name="Transformación"/>
    <tableColumn id="6" name="Signo sobre COP/USD"/>
    <tableColumn id="7" name="Canal"/>
    <tableColumn id="8" name="Justificación"/>
    <tableColumn id="9" name="Cautela"/>
  </tableColumns>
  <tableStyleInfo name="TableStyleMedium2" showFirstColumn="0" showLastColumn="0" showRowStripes="1" showColumnStripes="0"/>
</table>
</file>

<file path=xl/tables/table35.xml><?xml version="1.0" encoding="utf-8"?>
<table xmlns="http://schemas.openxmlformats.org/spreadsheetml/2006/main" id="35" name="FuentesTable" displayName="FuentesTable" ref="A5:G27" headerRowCount="1" totalsRowCount="0" totalsRowShown="0">
  <autoFilter ref="A5:G27"/>
  <tableColumns count="7">
    <tableColumn id="1" name="Organismo"/>
    <tableColumn id="2" name="Serie/código"/>
    <tableColumn id="3" name="Frecuencia"/>
    <tableColumn id="4" name="Cobertura"/>
    <tableColumn id="5" name="Uso"/>
    <tableColumn id="6" name="Tratamiento"/>
    <tableColumn id="7" name="URL"/>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1.xml" Id="rId2" /><Relationship Type="http://schemas.openxmlformats.org/officeDocument/2006/relationships/table" Target="/xl/tables/table2.xml" Id="rId3" /></Relationships>
</file>

<file path=xl/worksheets/_rels/sheet2.xml.rels><Relationships xmlns="http://schemas.openxmlformats.org/package/2006/relationships"><Relationship Type="http://schemas.openxmlformats.org/officeDocument/2006/relationships/table" Target="/xl/tables/table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table" Target="/xl/tables/table4.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5.xml" Id="rId2" /><Relationship Type="http://schemas.openxmlformats.org/officeDocument/2006/relationships/table" Target="/xl/tables/table6.xml" Id="rId3" /></Relationships>
</file>

<file path=xl/worksheets/_rels/sheet5.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s>
</file>

<file path=xl/worksheets/_rels/sheet6.xml.rels><Relationships xmlns="http://schemas.openxmlformats.org/package/2006/relationships"><Relationship Type="http://schemas.openxmlformats.org/officeDocument/2006/relationships/drawing" Target="/xl/drawings/drawing4.xml" Id="rId1" /><Relationship Type="http://schemas.openxmlformats.org/officeDocument/2006/relationships/table" Target="/xl/tables/table10.xml" Id="rId2" /></Relationships>
</file>

<file path=xl/worksheets/_rels/sheet7.xml.rels><Relationships xmlns="http://schemas.openxmlformats.org/package/2006/relationships"><Relationship Type="http://schemas.openxmlformats.org/officeDocument/2006/relationships/table" Target="/xl/tables/table11.xml" Id="rId1" /><Relationship Type="http://schemas.openxmlformats.org/officeDocument/2006/relationships/table" Target="/xl/tables/table12.xml" Id="rId2" /><Relationship Type="http://schemas.openxmlformats.org/officeDocument/2006/relationships/table" Target="/xl/tables/table13.xml" Id="rId3" /><Relationship Type="http://schemas.openxmlformats.org/officeDocument/2006/relationships/table" Target="/xl/tables/table14.xml" Id="rId4" /></Relationships>
</file>

<file path=xl/worksheets/_rels/sheet8.xml.rels><Relationships xmlns="http://schemas.openxmlformats.org/package/2006/relationships"><Relationship Type="http://schemas.openxmlformats.org/officeDocument/2006/relationships/table" Target="/xl/tables/table15.xml" Id="rId1" /><Relationship Type="http://schemas.openxmlformats.org/officeDocument/2006/relationships/table" Target="/xl/tables/table16.xml" Id="rId2" /><Relationship Type="http://schemas.openxmlformats.org/officeDocument/2006/relationships/table" Target="/xl/tables/table17.xml" Id="rId3" /><Relationship Type="http://schemas.openxmlformats.org/officeDocument/2006/relationships/table" Target="/xl/tables/table18.xml" Id="rId4" /></Relationships>
</file>

<file path=xl/worksheets/_rels/sheet9.xml.rels><Relationships xmlns="http://schemas.openxmlformats.org/package/2006/relationships"><Relationship Type="http://schemas.openxmlformats.org/officeDocument/2006/relationships/drawing" Target="/xl/drawings/drawing5.xml" Id="rId1" /><Relationship Type="http://schemas.openxmlformats.org/officeDocument/2006/relationships/table" Target="/xl/tables/table19.xml" Id="rId2" /><Relationship Type="http://schemas.openxmlformats.org/officeDocument/2006/relationships/table" Target="/xl/tables/table20.xml" Id="rId3" /><Relationship Type="http://schemas.openxmlformats.org/officeDocument/2006/relationships/table" Target="/xl/tables/table21.xml" Id="rId4" /></Relationships>
</file>

<file path=xl/worksheets/_rels/sheet10.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s>
</file>

<file path=xl/worksheets/_rels/sheet11.xml.rels><Relationships xmlns="http://schemas.openxmlformats.org/package/2006/relationships"><Relationship Type="http://schemas.openxmlformats.org/officeDocument/2006/relationships/table" Target="/xl/tables/table28.xml" Id="rId1" /><Relationship Type="http://schemas.openxmlformats.org/officeDocument/2006/relationships/table" Target="/xl/tables/table29.xml" Id="rId2" /></Relationships>
</file>

<file path=xl/worksheets/_rels/sheet12.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s>
</file>

<file path=xl/worksheets/_rels/sheet13.xml.rels><Relationships xmlns="http://schemas.openxmlformats.org/package/2006/relationships"><Relationship Type="http://schemas.openxmlformats.org/officeDocument/2006/relationships/table" Target="/xl/tables/table34.xml" Id="rId1" /></Relationships>
</file>

<file path=xl/worksheets/_rels/sheet14.xml.rels><Relationships xmlns="http://schemas.openxmlformats.org/package/2006/relationships"><Relationship Type="http://schemas.openxmlformats.org/officeDocument/2006/relationships/table" Target="/xl/tables/table35.xml" Id="rId1" /></Relationships>
</file>

<file path=xl/worksheets/sheet1.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22" customWidth="1" min="1" max="1"/>
    <col width="24" customWidth="1" min="2" max="2"/>
    <col width="17" customWidth="1" min="3" max="3"/>
    <col width="17" customWidth="1" min="4" max="4"/>
    <col width="14" customWidth="1" min="5" max="5"/>
    <col width="34" customWidth="1" min="6" max="6"/>
    <col width="3" customWidth="1" min="7" max="7"/>
    <col width="20" customWidth="1" min="8" max="8"/>
    <col width="16" customWidth="1" min="9" max="9"/>
    <col width="16" customWidth="1" min="10" max="10"/>
    <col width="12" customWidth="1" min="11" max="11"/>
    <col width="12" customWidth="1" min="12" max="12"/>
    <col width="12" customWidth="1" min="13" max="13"/>
    <col width="12" customWidth="1" min="14" max="14"/>
  </cols>
  <sheetData>
    <row r="1" ht="30" customHeight="1">
      <c r="A1" s="4" t="inlineStr">
        <is>
          <t>Modelo econométrico de la TRM en Colombia</t>
        </is>
      </c>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0" customHeight="1">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A3" s="7" t="inlineStr">
        <is>
          <t>Se separan dos usos: explicación histórica con información contemporánea y pronóstico de un mes con rezagos de publicación. Muestra común: enero de 2006 a abril de 2026.</t>
        </is>
      </c>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83" t="n"/>
      <c r="B4" s="83" t="n"/>
      <c r="C4" s="83" t="n"/>
      <c r="D4" s="83" t="n"/>
      <c r="E4" s="83" t="n"/>
      <c r="F4" s="83" t="n"/>
      <c r="G4" s="83" t="n"/>
      <c r="H4" s="83" t="n"/>
      <c r="I4" s="83" t="n"/>
      <c r="J4" s="83" t="n"/>
      <c r="K4" s="83" t="n"/>
      <c r="L4" s="83" t="n"/>
      <c r="M4" s="83" t="n"/>
      <c r="N4" s="83"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ht="22" customHeight="1">
      <c r="A5" s="138" t="inlineStr">
        <is>
          <t>Observaciones modelo ampliado</t>
        </is>
      </c>
      <c r="B5" s="139" t="n"/>
      <c r="C5" s="138" t="inlineStr">
        <is>
          <t>R² ajustado principal</t>
        </is>
      </c>
      <c r="D5" s="139" t="n"/>
      <c r="E5" s="140" t="inlineStr">
        <is>
          <t>R² ajustado ampliado</t>
        </is>
      </c>
      <c r="F5" s="139" t="n"/>
      <c r="G5" s="83" t="n"/>
      <c r="H5" s="55" t="inlineStr">
        <is>
          <t>TRM observada y ajuste de un paso (muestra anual)</t>
        </is>
      </c>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ht="30" customHeight="1">
      <c r="A6" s="141" t="n">
        <v>240</v>
      </c>
      <c r="B6" s="142" t="n"/>
      <c r="C6" s="141" t="inlineStr">
        <is>
          <t>47.9%</t>
        </is>
      </c>
      <c r="D6" s="142" t="n"/>
      <c r="E6" s="141" t="inlineStr">
        <is>
          <t>58.5%</t>
        </is>
      </c>
      <c r="F6" s="142" t="n"/>
      <c r="G6" s="83" t="n"/>
      <c r="H6" s="83" t="n"/>
      <c r="I6" s="83" t="n"/>
      <c r="J6" s="83" t="n"/>
      <c r="K6" s="83" t="n"/>
      <c r="L6" s="83" t="n"/>
      <c r="M6" s="83" t="n"/>
      <c r="N6" s="83" t="n"/>
      <c r="O6" s="1" t="n"/>
      <c r="P6" s="1"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ht="30" customHeight="1">
      <c r="A7" s="143" t="n"/>
      <c r="B7" s="144" t="n"/>
      <c r="C7" s="143" t="n"/>
      <c r="D7" s="144" t="n"/>
      <c r="E7" s="143" t="n"/>
      <c r="F7" s="144" t="n"/>
      <c r="G7" s="83" t="n"/>
      <c r="H7" s="83" t="n"/>
      <c r="I7" s="83" t="n"/>
      <c r="J7" s="83" t="n"/>
      <c r="K7" s="83" t="n"/>
      <c r="L7" s="83" t="n"/>
      <c r="M7" s="83" t="n"/>
      <c r="N7" s="83" t="n"/>
      <c r="O7" s="1" t="n"/>
      <c r="P7" s="1" t="n"/>
      <c r="Q7" s="1" t="n"/>
      <c r="R7" s="1" t="n"/>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c r="A8" s="83" t="n"/>
      <c r="B8" s="83" t="n"/>
      <c r="C8" s="83" t="n"/>
      <c r="D8" s="83" t="n"/>
      <c r="E8" s="83" t="n"/>
      <c r="F8" s="83" t="n"/>
      <c r="G8" s="83" t="n"/>
      <c r="H8" s="83" t="n"/>
      <c r="I8" s="83" t="n"/>
      <c r="J8" s="83" t="n"/>
      <c r="K8" s="83" t="n"/>
      <c r="L8" s="83" t="n"/>
      <c r="M8" s="83" t="n"/>
      <c r="N8" s="83" t="n"/>
      <c r="O8" s="1" t="n"/>
      <c r="P8" s="1" t="n"/>
      <c r="Q8" s="1" t="n"/>
      <c r="R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ht="22" customHeight="1">
      <c r="A9" s="140" t="inlineStr">
        <is>
          <t>MAPE explicación histórica</t>
        </is>
      </c>
      <c r="B9" s="139" t="n"/>
      <c r="C9" s="145" t="inlineStr">
        <is>
          <t>MAPE pronóstico publicado</t>
        </is>
      </c>
      <c r="D9" s="139" t="n"/>
      <c r="E9" s="146" t="inlineStr">
        <is>
          <t>R² pronóstico vs. caminata</t>
        </is>
      </c>
      <c r="F9" s="139" t="n"/>
      <c r="G9" s="83" t="n"/>
      <c r="H9" s="83" t="n"/>
      <c r="I9" s="83" t="n"/>
      <c r="J9" s="83" t="n"/>
      <c r="K9" s="83" t="n"/>
      <c r="L9" s="83" t="n"/>
      <c r="M9" s="83" t="n"/>
      <c r="N9" s="83" t="n"/>
      <c r="O9" s="1" t="n"/>
      <c r="P9" s="1" t="n"/>
      <c r="Q9" s="1" t="n"/>
      <c r="R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ht="30" customHeight="1">
      <c r="A10" s="141" t="inlineStr">
        <is>
          <t>1.70%</t>
        </is>
      </c>
      <c r="B10" s="142" t="n"/>
      <c r="C10" s="141" t="inlineStr">
        <is>
          <t>2.63%</t>
        </is>
      </c>
      <c r="D10" s="142" t="n"/>
      <c r="E10" s="141" t="inlineStr">
        <is>
          <t>-11.0%</t>
        </is>
      </c>
      <c r="F10" s="142" t="n"/>
      <c r="G10" s="83" t="n"/>
      <c r="H10" s="83" t="n"/>
      <c r="I10" s="83" t="n"/>
      <c r="J10" s="83" t="n"/>
      <c r="K10" s="83" t="n"/>
      <c r="L10" s="83" t="n"/>
      <c r="M10" s="83" t="n"/>
      <c r="N10" s="83" t="n"/>
      <c r="O10" s="1" t="n"/>
      <c r="P10" s="1" t="n"/>
      <c r="Q10" s="1" t="n"/>
      <c r="R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ht="30" customHeight="1">
      <c r="A11" s="143" t="n"/>
      <c r="B11" s="144" t="n"/>
      <c r="C11" s="143" t="n"/>
      <c r="D11" s="144" t="n"/>
      <c r="E11" s="143" t="n"/>
      <c r="F11" s="144" t="n"/>
      <c r="G11" s="83" t="n"/>
      <c r="H11" s="83" t="n"/>
      <c r="I11" s="83" t="n"/>
      <c r="J11" s="83" t="n"/>
      <c r="K11" s="83" t="n"/>
      <c r="L11" s="83" t="n"/>
      <c r="M11" s="83" t="n"/>
      <c r="N11" s="83"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c r="A12" s="83" t="n"/>
      <c r="B12" s="83" t="n"/>
      <c r="C12" s="83" t="n"/>
      <c r="D12" s="83" t="n"/>
      <c r="E12" s="83" t="n"/>
      <c r="F12" s="83" t="n"/>
      <c r="G12" s="83" t="n"/>
      <c r="H12" s="83" t="n"/>
      <c r="I12" s="83" t="n"/>
      <c r="J12" s="83" t="n"/>
      <c r="K12" s="83" t="n"/>
      <c r="L12" s="83" t="n"/>
      <c r="M12" s="83" t="n"/>
      <c r="N12" s="83"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ht="22" customHeight="1">
      <c r="A13" s="55" t="inlineStr">
        <is>
          <t>Especificación principal</t>
        </is>
      </c>
      <c r="G13" s="83" t="n"/>
      <c r="H13" s="83" t="n"/>
      <c r="I13" s="83" t="n"/>
      <c r="J13" s="83" t="n"/>
      <c r="K13" s="83" t="n"/>
      <c r="L13" s="83" t="n"/>
      <c r="M13" s="83" t="n"/>
      <c r="N13" s="83"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ht="36" customHeight="1">
      <c r="A14" s="58" t="inlineStr">
        <is>
          <t>Δln(TRM)t = c + β1Δln(términos de intercambio)t + β2Δln(dólar amplio)t + β3Δln(VIX)t + β4Δln(remesas 12m)t−1 + β5Δ(diferencial de tasas)t−1 + β6Δ(déficit 12m/PIB)t−1 + β7 pandemia + ut</t>
        </is>
      </c>
      <c r="G14" s="83" t="n"/>
      <c r="H14" s="83" t="n"/>
      <c r="I14" s="83" t="n"/>
      <c r="J14" s="83" t="n"/>
      <c r="K14" s="83" t="n"/>
      <c r="L14" s="83" t="n"/>
      <c r="M14" s="83" t="n"/>
      <c r="N14" s="83"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ht="36" customHeight="1">
      <c r="G15" s="83" t="n"/>
      <c r="H15" s="83" t="n"/>
      <c r="I15" s="83" t="n"/>
      <c r="J15" s="83" t="n"/>
      <c r="K15" s="83" t="n"/>
      <c r="L15" s="83" t="n"/>
      <c r="M15" s="83" t="n"/>
      <c r="N15" s="83"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ht="36" customHeight="1">
      <c r="G16" s="83" t="n"/>
      <c r="H16" s="83" t="n"/>
      <c r="I16" s="83" t="n"/>
      <c r="J16" s="83" t="n"/>
      <c r="K16" s="83" t="n"/>
      <c r="L16" s="83" t="n"/>
      <c r="M16" s="83" t="n"/>
      <c r="N16" s="83"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c r="A17" s="83" t="n"/>
      <c r="B17" s="83" t="n"/>
      <c r="C17" s="83" t="n"/>
      <c r="D17" s="83" t="n"/>
      <c r="E17" s="83" t="n"/>
      <c r="F17" s="83" t="n"/>
      <c r="G17" s="83" t="n"/>
      <c r="H17" s="83" t="n"/>
      <c r="I17" s="83" t="n"/>
      <c r="J17" s="83" t="n"/>
      <c r="K17" s="83" t="n"/>
      <c r="L17" s="83" t="n"/>
      <c r="M17" s="83" t="n"/>
      <c r="N17" s="83"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ht="22" customHeight="1">
      <c r="A18" s="55" t="inlineStr">
        <is>
          <t>Lectura de los resultados (asociaciones, no efectos causales)</t>
        </is>
      </c>
      <c r="G18" s="83" t="n"/>
      <c r="H18" s="83" t="n"/>
      <c r="I18" s="83" t="n"/>
      <c r="J18" s="83" t="n"/>
      <c r="K18" s="83" t="n"/>
      <c r="L18" s="83" t="n"/>
      <c r="M18" s="83" t="n"/>
      <c r="N18" s="83"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c r="A19" s="66" t="inlineStr">
        <is>
          <t>Variable</t>
        </is>
      </c>
      <c r="B19" s="66" t="inlineStr">
        <is>
          <t>Movimiento ilustrativo</t>
        </is>
      </c>
      <c r="C19" s="66" t="inlineStr">
        <is>
          <t>Efecto aproximado en TRM</t>
        </is>
      </c>
      <c r="D19" s="66" t="inlineStr">
        <is>
          <t>Signo</t>
        </is>
      </c>
      <c r="E19" s="66" t="inlineStr">
        <is>
          <t>p-valor</t>
        </is>
      </c>
      <c r="F19" s="66" t="inlineStr">
        <is>
          <t>Lectura</t>
        </is>
      </c>
      <c r="G19" s="83" t="n"/>
      <c r="H19" s="83" t="n"/>
      <c r="I19" s="83" t="n"/>
      <c r="J19" s="83" t="n"/>
      <c r="K19" s="83" t="n"/>
      <c r="L19" s="83" t="n"/>
      <c r="M19" s="83" t="n"/>
      <c r="N19" s="83"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c r="A20" s="84" t="inlineStr">
        <is>
          <t>Términos de intercambio</t>
        </is>
      </c>
      <c r="B20" s="84" t="inlineStr">
        <is>
          <t>+10%</t>
        </is>
      </c>
      <c r="C20" s="84" t="inlineStr">
        <is>
          <t>−0,95%</t>
        </is>
      </c>
      <c r="D20" s="84" t="inlineStr">
        <is>
          <t>Aprecia el COP</t>
        </is>
      </c>
      <c r="E20" s="147" t="n">
        <v>0.0007166782361943295</v>
      </c>
      <c r="F20" s="84" t="inlineStr">
        <is>
          <t>Poder de compra externo; el dato se publica con rezago</t>
        </is>
      </c>
      <c r="G20" s="83" t="n"/>
      <c r="H20" s="83" t="n"/>
      <c r="I20" s="83" t="n"/>
      <c r="J20" s="83" t="n"/>
      <c r="K20" s="83" t="n"/>
      <c r="L20" s="83" t="n"/>
      <c r="M20" s="83" t="n"/>
      <c r="N20" s="83"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c r="A21" s="84" t="inlineStr">
        <is>
          <t>Índice amplio del dólar</t>
        </is>
      </c>
      <c r="B21" s="84" t="inlineStr">
        <is>
          <t>+1%</t>
        </is>
      </c>
      <c r="C21" s="84" t="inlineStr">
        <is>
          <t>+1,28%</t>
        </is>
      </c>
      <c r="D21" s="84" t="inlineStr">
        <is>
          <t>Deprecia el COP</t>
        </is>
      </c>
      <c r="E21" s="147" t="n">
        <v>3.353308358316788e-15</v>
      </c>
      <c r="F21" s="84" t="inlineStr">
        <is>
          <t>Fortaleza global del dólar</t>
        </is>
      </c>
      <c r="G21" s="83" t="n"/>
      <c r="H21" s="83" t="n"/>
      <c r="I21" s="83" t="n"/>
      <c r="J21" s="83" t="n"/>
      <c r="K21" s="83" t="n"/>
      <c r="L21" s="83" t="n"/>
      <c r="M21" s="83" t="n"/>
      <c r="N21" s="83"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c r="A22" s="84" t="inlineStr">
        <is>
          <t>VIX</t>
        </is>
      </c>
      <c r="B22" s="84" t="inlineStr">
        <is>
          <t>+10%</t>
        </is>
      </c>
      <c r="C22" s="84" t="inlineStr">
        <is>
          <t>+0,37%</t>
        </is>
      </c>
      <c r="D22" s="84" t="inlineStr">
        <is>
          <t>Deprecia el COP</t>
        </is>
      </c>
      <c r="E22" s="147" t="n">
        <v>3.530123227255144e-05</v>
      </c>
      <c r="F22" s="84" t="inlineStr">
        <is>
          <t>Captura episodios globales de aversión al riesgo</t>
        </is>
      </c>
      <c r="G22" s="83" t="n"/>
      <c r="H22" s="83" t="n"/>
      <c r="I22" s="83" t="n"/>
      <c r="J22" s="83" t="n"/>
      <c r="K22" s="83" t="n"/>
      <c r="L22" s="83" t="n"/>
      <c r="M22" s="83" t="n"/>
      <c r="N22" s="83"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c r="A23" s="84" t="inlineStr">
        <is>
          <t>Remesas, acumulado 12m (t−1)</t>
        </is>
      </c>
      <c r="B23" s="84" t="inlineStr">
        <is>
          <t>+10%</t>
        </is>
      </c>
      <c r="C23" s="84" t="inlineStr">
        <is>
          <t>+2,67%</t>
        </is>
      </c>
      <c r="D23" s="84" t="inlineStr">
        <is>
          <t>Deprecia el COP</t>
        </is>
      </c>
      <c r="E23" s="147" t="n">
        <v>0.02427012879939084</v>
      </c>
      <c r="F23" s="84" t="inlineStr">
        <is>
          <t>Puede reflejar endogeneidad y shocks simultáneos</t>
        </is>
      </c>
      <c r="G23" s="83" t="n"/>
      <c r="H23" s="83" t="n"/>
      <c r="I23" s="83" t="n"/>
      <c r="J23" s="83" t="n"/>
      <c r="K23" s="83" t="n"/>
      <c r="L23" s="83" t="n"/>
      <c r="M23" s="83" t="n"/>
      <c r="N23" s="83"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c r="A24" s="84" t="inlineStr">
        <is>
          <t>Diferencial tasas CO−EE. UU. (t−1)</t>
        </is>
      </c>
      <c r="B24" s="84" t="inlineStr">
        <is>
          <t>+1 pp</t>
        </is>
      </c>
      <c r="C24" s="84" t="inlineStr">
        <is>
          <t>−0,98%</t>
        </is>
      </c>
      <c r="D24" s="84" t="inlineStr">
        <is>
          <t>Aprecia el COP</t>
        </is>
      </c>
      <c r="E24" s="147" t="n">
        <v>0.04360863803696154</v>
      </c>
      <c r="F24" s="84" t="inlineStr">
        <is>
          <t>Retorno nominal relativo; no es un shock exógeno</t>
        </is>
      </c>
      <c r="G24" s="83" t="n"/>
      <c r="H24" s="83" t="n"/>
      <c r="I24" s="83" t="n"/>
      <c r="J24" s="83" t="n"/>
      <c r="K24" s="83" t="n"/>
      <c r="L24" s="83" t="n"/>
      <c r="M24" s="83" t="n"/>
      <c r="N24" s="83"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c r="A25" s="84" t="inlineStr">
        <is>
          <t>Déficit fiscal 12m/PIB (t−1)</t>
        </is>
      </c>
      <c r="B25" s="84" t="inlineStr">
        <is>
          <t>+1 pp</t>
        </is>
      </c>
      <c r="C25" s="84" t="inlineStr">
        <is>
          <t>+0,49%</t>
        </is>
      </c>
      <c r="D25" s="84" t="inlineStr">
        <is>
          <t>Deprecia el COP</t>
        </is>
      </c>
      <c r="E25" s="147" t="n">
        <v>0.1446777718295575</v>
      </c>
      <c r="F25" s="84" t="inlineStr">
        <is>
          <t>Prima fiscal; revise el intervalo antes de concluir</t>
        </is>
      </c>
      <c r="G25" s="83" t="n"/>
      <c r="H25" s="83" t="n"/>
      <c r="I25" s="83" t="n"/>
      <c r="J25" s="83" t="n"/>
      <c r="K25" s="83" t="n"/>
      <c r="L25" s="83" t="n"/>
      <c r="M25" s="83" t="n"/>
      <c r="N25" s="83"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c r="A26" s="84" t="inlineStr">
        <is>
          <t>Pandemia, mar–may 2020</t>
        </is>
      </c>
      <c r="B26" s="84" t="inlineStr">
        <is>
          <t>Dummy = 1</t>
        </is>
      </c>
      <c r="C26" s="84" t="inlineStr">
        <is>
          <t>+1,09%</t>
        </is>
      </c>
      <c r="D26" s="84" t="inlineStr">
        <is>
          <t>Deprecia el COP</t>
        </is>
      </c>
      <c r="E26" s="147" t="n">
        <v>0.01996923875619308</v>
      </c>
      <c r="F26" s="84" t="inlineStr">
        <is>
          <t>Control de episodio extraordinario</t>
        </is>
      </c>
      <c r="G26" s="83" t="n"/>
      <c r="H26" s="83" t="n"/>
      <c r="I26" s="83" t="n"/>
      <c r="J26" s="83" t="n"/>
      <c r="K26" s="83" t="n"/>
      <c r="L26" s="83" t="n"/>
      <c r="M26" s="83" t="n"/>
      <c r="N26" s="83"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c r="A27" s="86" t="inlineStr">
        <is>
          <t>Conclusión</t>
        </is>
      </c>
      <c r="B27" s="86" t="inlineStr">
        <is>
          <t>—</t>
        </is>
      </c>
      <c r="C27" s="86" t="inlineStr">
        <is>
          <t>—</t>
        </is>
      </c>
      <c r="D27" s="86" t="inlineStr">
        <is>
          <t>—</t>
        </is>
      </c>
      <c r="E27" s="148" t="n"/>
      <c r="F27" s="86" t="inlineStr">
        <is>
          <t>La magnitud, la precisión y el peso Shapley responden preguntas distintas</t>
        </is>
      </c>
      <c r="G27" s="83" t="n"/>
      <c r="H27" s="83" t="n"/>
      <c r="I27" s="83" t="n"/>
      <c r="J27" s="83" t="n"/>
      <c r="K27" s="83" t="n"/>
      <c r="L27" s="83" t="n"/>
      <c r="M27" s="83" t="n"/>
      <c r="N27" s="83"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c r="A28" s="83" t="n"/>
      <c r="B28" s="83" t="n"/>
      <c r="C28" s="83" t="n"/>
      <c r="D28" s="83" t="n"/>
      <c r="E28" s="83" t="n"/>
      <c r="F28" s="83" t="n"/>
      <c r="G28" s="83" t="n"/>
      <c r="H28" s="83" t="n"/>
      <c r="I28" s="83" t="n"/>
      <c r="J28" s="83" t="n"/>
      <c r="K28" s="83" t="n"/>
      <c r="L28" s="83" t="n"/>
      <c r="M28" s="83" t="n"/>
      <c r="N28" s="83"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ht="22" customHeight="1">
      <c r="A29" s="55" t="inlineStr">
        <is>
          <t>Alcance y cautelas</t>
        </is>
      </c>
      <c r="G29" s="83" t="n"/>
      <c r="H29" s="55" t="inlineStr">
        <is>
          <t>Explicación histórica frente a pronóstico publicado</t>
        </is>
      </c>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c r="A30" s="78" t="inlineStr">
        <is>
          <t>1</t>
        </is>
      </c>
      <c r="B30" s="88" t="inlineStr">
        <is>
          <t>La regresión identifica asociaciones dinámicas; no demuestra causalidad.</t>
        </is>
      </c>
      <c r="C30" s="149" t="n"/>
      <c r="D30" s="149" t="n"/>
      <c r="E30" s="149" t="n"/>
      <c r="F30" s="150" t="n"/>
      <c r="G30" s="83" t="n"/>
      <c r="H30" s="62" t="inlineStr">
        <is>
          <t>Modelo</t>
        </is>
      </c>
      <c r="I30" s="62" t="inlineStr">
        <is>
          <t>Obs.</t>
        </is>
      </c>
      <c r="J30" s="62" t="inlineStr">
        <is>
          <t>R² ajustado</t>
        </is>
      </c>
      <c r="K30" s="62" t="inlineStr">
        <is>
          <t>AIC</t>
        </is>
      </c>
      <c r="L30" s="62" t="inlineStr">
        <is>
          <t>BIC</t>
        </is>
      </c>
      <c r="M30" s="62" t="inlineStr">
        <is>
          <t>MAPE</t>
        </is>
      </c>
      <c r="N30" s="62" t="inlineStr">
        <is>
          <t>Dirección</t>
        </is>
      </c>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c r="A31" s="78" t="inlineStr">
        <is>
          <t>2</t>
        </is>
      </c>
      <c r="B31" s="88" t="inlineStr">
        <is>
          <t>La hoja Validacion mide explicación condicional con realizaciones contemporáneas; la hoja Pronostico usa únicamente datos rezagados según su calendario de publicación.</t>
        </is>
      </c>
      <c r="C31" s="149" t="n"/>
      <c r="D31" s="149" t="n"/>
      <c r="E31" s="149" t="n"/>
      <c r="F31" s="150" t="n"/>
      <c r="G31" s="83" t="n"/>
      <c r="H31" s="83" t="inlineStr">
        <is>
          <t>Base</t>
        </is>
      </c>
      <c r="I31" s="83" t="n">
        <v>240</v>
      </c>
      <c r="J31" s="151" t="n">
        <v>0.4792107613916473</v>
      </c>
      <c r="K31" s="152" t="n">
        <v>-1103.307429112625</v>
      </c>
      <c r="L31" s="152" t="n">
        <v>-1075.462317725889</v>
      </c>
      <c r="M31" s="151" t="n">
        <v>0.02006609126430155</v>
      </c>
      <c r="N31" s="151" t="n">
        <v>0.6875</v>
      </c>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c r="A32" s="78" t="inlineStr">
        <is>
          <t>3</t>
        </is>
      </c>
      <c r="B32" s="88" t="inlineStr">
        <is>
          <t>Los residuos presentan colas no normales; para inferencia se reportan errores HAC.</t>
        </is>
      </c>
      <c r="C32" s="149" t="n"/>
      <c r="D32" s="149" t="n"/>
      <c r="E32" s="149" t="n"/>
      <c r="F32" s="150" t="n"/>
      <c r="G32" s="83" t="n"/>
      <c r="H32" s="83" t="inlineStr">
        <is>
          <t>Ampliado historico</t>
        </is>
      </c>
      <c r="I32" s="83" t="n">
        <v>240</v>
      </c>
      <c r="J32" s="151" t="n">
        <v>0.6109784653259114</v>
      </c>
      <c r="K32" s="152" t="n">
        <v>-1158.468154790161</v>
      </c>
      <c r="L32" s="152" t="n">
        <v>-1074.932820629954</v>
      </c>
      <c r="M32" s="151" t="n">
        <v>0.01617298554255014</v>
      </c>
      <c r="N32" s="151" t="n">
        <v>0.7916666666666665</v>
      </c>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78" t="inlineStr">
        <is>
          <t>4</t>
        </is>
      </c>
      <c r="B33" s="88" t="inlineStr">
        <is>
          <t>El resultado positivo de remesas puede reflejar respuesta de los hogares a depreciaciones u otros shocks simultáneos.</t>
        </is>
      </c>
      <c r="C33" s="149" t="n"/>
      <c r="D33" s="149" t="n"/>
      <c r="E33" s="149" t="n"/>
      <c r="F33" s="150" t="n"/>
      <c r="G33" s="83" t="n"/>
      <c r="H33" s="83" t="inlineStr">
        <is>
          <t>Pronóstico publicación</t>
        </is>
      </c>
      <c r="I33" s="83" t="n">
        <v>240</v>
      </c>
      <c r="J33" s="151" t="n">
        <v>0.1020059674405992</v>
      </c>
      <c r="K33" s="152" t="n">
        <v>-965.903982854632</v>
      </c>
      <c r="L33" s="152" t="n">
        <v>-913.6943990045021</v>
      </c>
      <c r="M33" s="151" t="n">
        <v>0.02631217455261154</v>
      </c>
      <c r="N33" s="151" t="n">
        <v>0.5208333333333334</v>
      </c>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78" t="inlineStr">
        <is>
          <t>5</t>
        </is>
      </c>
      <c r="B34" s="88" t="inlineStr">
        <is>
          <t>La prueba bounds no confirma cointegración al 5%; el ECM se muestra solo como contraste exploratorio.</t>
        </is>
      </c>
      <c r="C34" s="149" t="n"/>
      <c r="D34" s="149" t="n"/>
      <c r="E34" s="149" t="n"/>
      <c r="F34" s="150" t="n"/>
      <c r="G34" s="83" t="n"/>
      <c r="H34" s="83" t="n"/>
      <c r="I34" s="83" t="n"/>
      <c r="J34" s="83" t="n"/>
      <c r="K34" s="83" t="n"/>
      <c r="L34" s="83" t="n"/>
      <c r="M34" s="83" t="n"/>
      <c r="N34" s="83"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78" t="inlineStr">
        <is>
          <t>6</t>
        </is>
      </c>
      <c r="B35" s="88" t="inlineStr">
        <is>
          <t>El déficit fiscal y los demás factores deben interpretarse con sus intervalos de confianza; el signo aislado no basta.</t>
        </is>
      </c>
      <c r="C35" s="149" t="n"/>
      <c r="D35" s="149" t="n"/>
      <c r="E35" s="149" t="n"/>
      <c r="F35" s="150" t="n"/>
      <c r="G35" s="83" t="n"/>
      <c r="H35" s="83" t="n"/>
      <c r="I35" s="83" t="n"/>
      <c r="J35" s="83" t="n"/>
      <c r="K35" s="83" t="n"/>
      <c r="L35" s="83" t="n"/>
      <c r="M35" s="83" t="n"/>
      <c r="N35" s="83"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78" t="inlineStr">
        <is>
          <t>7</t>
        </is>
      </c>
      <c r="B36" s="88" t="inlineStr">
        <is>
          <t>En el ampliado, ARCH-LM y Jarque–Bera rechazan al 5%; RESET no rechaza la forma funcional.</t>
        </is>
      </c>
      <c r="C36" s="149" t="n"/>
      <c r="D36" s="149" t="n"/>
      <c r="E36" s="149" t="n"/>
      <c r="F36" s="150" t="n"/>
      <c r="G36" s="83" t="n"/>
      <c r="H36" s="83" t="n"/>
      <c r="I36" s="83" t="n"/>
      <c r="J36" s="83" t="n"/>
      <c r="K36" s="83" t="n"/>
      <c r="L36" s="83" t="n"/>
      <c r="M36" s="83" t="n"/>
      <c r="N36" s="83"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c r="A37" s="78" t="inlineStr">
        <is>
          <t>8</t>
        </is>
      </c>
      <c r="B37" s="88" t="inlineStr">
        <is>
          <t>El backtest del pronóstico usa el último vintage disponible: respeta rezagos, pero sigue siendo pseudo-tiempo-real hasta archivar versiones históricas de cada publicación.</t>
        </is>
      </c>
      <c r="C37" s="149" t="n"/>
      <c r="D37" s="149" t="n"/>
      <c r="E37" s="149" t="n"/>
      <c r="F37" s="150" t="n"/>
      <c r="G37" s="83" t="n"/>
      <c r="H37" s="62" t="inlineStr">
        <is>
          <t>Mes</t>
        </is>
      </c>
      <c r="I37" s="62" t="inlineStr">
        <is>
          <t>TRM observada</t>
        </is>
      </c>
      <c r="J37" s="62" t="inlineStr">
        <is>
          <t>TRM ajustada</t>
        </is>
      </c>
      <c r="K37" s="83" t="n"/>
      <c r="L37" s="83" t="n"/>
      <c r="M37" s="83" t="n"/>
      <c r="N37" s="83"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ht="22" customHeight="1">
      <c r="A38" s="55" t="inlineStr">
        <is>
          <t>Peso explicativo Shapley del modelo ampliado</t>
        </is>
      </c>
      <c r="G38" s="83" t="n"/>
      <c r="H38" s="83">
        <f>'Modelo_principal'!A18</f>
        <v/>
      </c>
      <c r="I38" s="153">
        <f>'Modelo_principal'!M18</f>
        <v/>
      </c>
      <c r="J38" s="153">
        <f>'Modelo_principal'!N18</f>
        <v/>
      </c>
      <c r="K38" s="83" t="n"/>
      <c r="L38" s="83" t="n"/>
      <c r="M38" s="83" t="n"/>
      <c r="N38" s="83"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62" t="inlineStr">
        <is>
          <t>Factor</t>
        </is>
      </c>
      <c r="B39" s="62" t="inlineStr">
        <is>
          <t>Grupo</t>
        </is>
      </c>
      <c r="C39" s="62" t="inlineStr">
        <is>
          <t>Contribución al R²</t>
        </is>
      </c>
      <c r="D39" s="62" t="inlineStr">
        <is>
          <t>Peso entre factores</t>
        </is>
      </c>
      <c r="E39" s="62" t="inlineStr">
        <is>
          <t>Peso del R² total</t>
        </is>
      </c>
      <c r="F39" s="62" t="inlineStr">
        <is>
          <t>Lectura</t>
        </is>
      </c>
      <c r="G39" s="83" t="n"/>
      <c r="H39" s="83">
        <f>'Modelo_principal'!A30</f>
        <v/>
      </c>
      <c r="I39" s="153">
        <f>'Modelo_principal'!M30</f>
        <v/>
      </c>
      <c r="J39" s="153">
        <f>'Modelo_principal'!N30</f>
        <v/>
      </c>
      <c r="K39" s="83" t="n"/>
      <c r="L39" s="83" t="n"/>
      <c r="M39" s="83" t="n"/>
      <c r="N39" s="83"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ht="30" customHeight="1">
      <c r="A40" s="92" t="inlineStr">
        <is>
          <t>Monedas regionales</t>
        </is>
      </c>
      <c r="B40" s="92" t="inlineStr">
        <is>
          <t>Regional</t>
        </is>
      </c>
      <c r="C40" s="154" t="n">
        <v>0.1777221131117592</v>
      </c>
      <c r="D40" s="154" t="n">
        <v>0.3012839103961161</v>
      </c>
      <c r="E40" s="154" t="n">
        <v>0.2924392820638709</v>
      </c>
      <c r="F40" s="92" t="inlineStr">
        <is>
          <t>Participación explicativa, no efecto causal</t>
        </is>
      </c>
      <c r="G40" s="83" t="n"/>
      <c r="H40" s="83">
        <f>'Modelo_principal'!A42</f>
        <v/>
      </c>
      <c r="I40" s="153">
        <f>'Modelo_principal'!M42</f>
        <v/>
      </c>
      <c r="J40" s="153">
        <f>'Modelo_principal'!N42</f>
        <v/>
      </c>
      <c r="K40" s="83" t="n"/>
      <c r="L40" s="83" t="n"/>
      <c r="M40" s="83" t="n"/>
      <c r="N40" s="83"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ht="30" customHeight="1">
      <c r="A41" s="92" t="inlineStr">
        <is>
          <t>Dólar amplio</t>
        </is>
      </c>
      <c r="B41" s="92" t="inlineStr">
        <is>
          <t>Global</t>
        </is>
      </c>
      <c r="C41" s="154" t="n">
        <v>0.1187699927429919</v>
      </c>
      <c r="D41" s="154" t="n">
        <v>0.2013451631020432</v>
      </c>
      <c r="E41" s="154" t="n">
        <v>0.1954343823643945</v>
      </c>
      <c r="F41" s="92" t="inlineStr">
        <is>
          <t>Participación explicativa, no efecto causal</t>
        </is>
      </c>
      <c r="G41" s="83" t="n"/>
      <c r="H41" s="83">
        <f>'Modelo_principal'!A54</f>
        <v/>
      </c>
      <c r="I41" s="153">
        <f>'Modelo_principal'!M54</f>
        <v/>
      </c>
      <c r="J41" s="153">
        <f>'Modelo_principal'!N54</f>
        <v/>
      </c>
      <c r="K41" s="83" t="n"/>
      <c r="L41" s="83" t="n"/>
      <c r="M41" s="83" t="n"/>
      <c r="N41" s="83"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ht="30" customHeight="1">
      <c r="A42" s="92" t="inlineStr">
        <is>
          <t>Riesgo soberano EMBIG Colombia</t>
        </is>
      </c>
      <c r="B42" s="92" t="inlineStr">
        <is>
          <t>Riesgo local</t>
        </is>
      </c>
      <c r="C42" s="154" t="n">
        <v>0.1074891045264703</v>
      </c>
      <c r="D42" s="154" t="n">
        <v>0.1822212057333966</v>
      </c>
      <c r="E42" s="154" t="n">
        <v>0.1768718366388223</v>
      </c>
      <c r="F42" s="92" t="inlineStr">
        <is>
          <t>Participación explicativa, no efecto causal</t>
        </is>
      </c>
      <c r="G42" s="83" t="n"/>
      <c r="H42" s="83">
        <f>'Modelo_principal'!A66</f>
        <v/>
      </c>
      <c r="I42" s="153">
        <f>'Modelo_principal'!M66</f>
        <v/>
      </c>
      <c r="J42" s="153">
        <f>'Modelo_principal'!N66</f>
        <v/>
      </c>
      <c r="K42" s="83" t="n"/>
      <c r="L42" s="83" t="n"/>
      <c r="M42" s="83" t="n"/>
      <c r="N42" s="83"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ht="30" customHeight="1">
      <c r="A43" s="92" t="inlineStr">
        <is>
          <t>VIX</t>
        </is>
      </c>
      <c r="B43" s="92" t="inlineStr">
        <is>
          <t>Global</t>
        </is>
      </c>
      <c r="C43" s="154" t="n">
        <v>0.04905020656745289</v>
      </c>
      <c r="D43" s="154" t="n">
        <v>0.08315250016798084</v>
      </c>
      <c r="E43" s="154" t="n">
        <v>0.08071143732491098</v>
      </c>
      <c r="F43" s="92" t="inlineStr">
        <is>
          <t>Participación explicativa, no efecto causal</t>
        </is>
      </c>
      <c r="G43" s="83" t="n"/>
      <c r="H43" s="83">
        <f>'Modelo_principal'!A78</f>
        <v/>
      </c>
      <c r="I43" s="153">
        <f>'Modelo_principal'!M78</f>
        <v/>
      </c>
      <c r="J43" s="153">
        <f>'Modelo_principal'!N78</f>
        <v/>
      </c>
      <c r="K43" s="83" t="n"/>
      <c r="L43" s="83" t="n"/>
      <c r="M43" s="83" t="n"/>
      <c r="N43" s="83"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ht="30" customHeight="1">
      <c r="A44" s="92" t="inlineStr">
        <is>
          <t>Balanza comercial cambiaria</t>
        </is>
      </c>
      <c r="B44" s="92" t="inlineStr">
        <is>
          <t>Sector externo Colombia</t>
        </is>
      </c>
      <c r="C44" s="154" t="n">
        <v>0.04349129098486946</v>
      </c>
      <c r="D44" s="154" t="n">
        <v>0.07372873294533112</v>
      </c>
      <c r="E44" s="154" t="n">
        <v>0.07156431852488812</v>
      </c>
      <c r="F44" s="92" t="inlineStr">
        <is>
          <t>Participación explicativa, no efecto causal</t>
        </is>
      </c>
      <c r="G44" s="83" t="n"/>
      <c r="H44" s="83">
        <f>'Modelo_principal'!A90</f>
        <v/>
      </c>
      <c r="I44" s="153">
        <f>'Modelo_principal'!M90</f>
        <v/>
      </c>
      <c r="J44" s="153">
        <f>'Modelo_principal'!N90</f>
        <v/>
      </c>
      <c r="K44" s="83" t="n"/>
      <c r="L44" s="83" t="n"/>
      <c r="M44" s="83" t="n"/>
      <c r="N44" s="83"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ht="30" customHeight="1">
      <c r="A45" s="92" t="inlineStr">
        <is>
          <t>Términos de intercambio</t>
        </is>
      </c>
      <c r="B45" s="92" t="inlineStr">
        <is>
          <t>Sector externo Colombia</t>
        </is>
      </c>
      <c r="C45" s="154" t="n">
        <v>0.03967098963090844</v>
      </c>
      <c r="D45" s="154" t="n">
        <v>0.06725235636697502</v>
      </c>
      <c r="E45" s="154" t="n">
        <v>0.06527806542076568</v>
      </c>
      <c r="F45" s="92" t="inlineStr">
        <is>
          <t>Participación explicativa, no efecto causal</t>
        </is>
      </c>
      <c r="G45" s="83" t="n"/>
      <c r="H45" s="83">
        <f>'Modelo_principal'!A102</f>
        <v/>
      </c>
      <c r="I45" s="153">
        <f>'Modelo_principal'!M102</f>
        <v/>
      </c>
      <c r="J45" s="153">
        <f>'Modelo_principal'!N102</f>
        <v/>
      </c>
      <c r="K45" s="83" t="n"/>
      <c r="L45" s="83" t="n"/>
      <c r="M45" s="83" t="n"/>
      <c r="N45" s="83"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ht="30" customHeight="1">
      <c r="A46" s="92" t="inlineStr">
        <is>
          <t>Flujos netos de capital</t>
        </is>
      </c>
      <c r="B46" s="92" t="inlineStr">
        <is>
          <t>Sector externo Colombia</t>
        </is>
      </c>
      <c r="C46" s="154" t="n">
        <v>0.0249003528661721</v>
      </c>
      <c r="D46" s="154" t="n">
        <v>0.04221239299043134</v>
      </c>
      <c r="E46" s="154" t="n">
        <v>0.04097318666665466</v>
      </c>
      <c r="F46" s="92" t="inlineStr">
        <is>
          <t>Participación explicativa, no efecto causal</t>
        </is>
      </c>
      <c r="G46" s="83" t="n"/>
      <c r="H46" s="83">
        <f>'Modelo_principal'!A114</f>
        <v/>
      </c>
      <c r="I46" s="153">
        <f>'Modelo_principal'!M114</f>
        <v/>
      </c>
      <c r="J46" s="153">
        <f>'Modelo_principal'!N114</f>
        <v/>
      </c>
      <c r="K46" s="83" t="n"/>
      <c r="L46" s="83" t="n"/>
      <c r="M46" s="83" t="n"/>
      <c r="N46" s="83"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ht="30" customHeight="1">
      <c r="A47" s="92" t="inlineStr">
        <is>
          <t>Reservas internacionales</t>
        </is>
      </c>
      <c r="B47" s="92" t="inlineStr">
        <is>
          <t>Sector externo Colombia</t>
        </is>
      </c>
      <c r="C47" s="154" t="n">
        <v>0.01522174434407159</v>
      </c>
      <c r="D47" s="154" t="n">
        <v>0.02580470476483666</v>
      </c>
      <c r="E47" s="154" t="n">
        <v>0.02504717004428612</v>
      </c>
      <c r="F47" s="92" t="inlineStr">
        <is>
          <t>Participación explicativa, no efecto causal</t>
        </is>
      </c>
      <c r="G47" s="83" t="n"/>
      <c r="H47" s="83">
        <f>'Modelo_principal'!A126</f>
        <v/>
      </c>
      <c r="I47" s="153">
        <f>'Modelo_principal'!M126</f>
        <v/>
      </c>
      <c r="J47" s="153">
        <f>'Modelo_principal'!N126</f>
        <v/>
      </c>
      <c r="K47" s="83" t="n"/>
      <c r="L47" s="83" t="n"/>
      <c r="M47" s="83" t="n"/>
      <c r="N47" s="83"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83" t="n"/>
      <c r="B48" s="83" t="n"/>
      <c r="C48" s="83" t="n"/>
      <c r="D48" s="83" t="n"/>
      <c r="E48" s="83" t="n"/>
      <c r="F48" s="83" t="n"/>
      <c r="G48" s="83" t="n"/>
      <c r="H48" s="83">
        <f>'Modelo_principal'!A138</f>
        <v/>
      </c>
      <c r="I48" s="153">
        <f>'Modelo_principal'!M138</f>
        <v/>
      </c>
      <c r="J48" s="153">
        <f>'Modelo_principal'!N138</f>
        <v/>
      </c>
      <c r="K48" s="83" t="n"/>
      <c r="L48" s="83" t="n"/>
      <c r="M48" s="83" t="n"/>
      <c r="N48" s="83"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83" t="n"/>
      <c r="B49" s="83" t="n"/>
      <c r="C49" s="83" t="n"/>
      <c r="D49" s="83" t="n"/>
      <c r="E49" s="83" t="n"/>
      <c r="F49" s="83" t="n"/>
      <c r="G49" s="83" t="n"/>
      <c r="H49" s="83">
        <f>'Modelo_principal'!A150</f>
        <v/>
      </c>
      <c r="I49" s="153">
        <f>'Modelo_principal'!M150</f>
        <v/>
      </c>
      <c r="J49" s="153">
        <f>'Modelo_principal'!N150</f>
        <v/>
      </c>
      <c r="K49" s="83" t="n"/>
      <c r="L49" s="83" t="n"/>
      <c r="M49" s="83" t="n"/>
      <c r="N49" s="83"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83" t="n"/>
      <c r="B50" s="83" t="n"/>
      <c r="C50" s="83" t="n"/>
      <c r="D50" s="83" t="n"/>
      <c r="E50" s="83" t="n"/>
      <c r="F50" s="83" t="n"/>
      <c r="G50" s="83" t="n"/>
      <c r="H50" s="83">
        <f>'Modelo_principal'!A162</f>
        <v/>
      </c>
      <c r="I50" s="153">
        <f>'Modelo_principal'!M162</f>
        <v/>
      </c>
      <c r="J50" s="153">
        <f>'Modelo_principal'!N162</f>
        <v/>
      </c>
      <c r="K50" s="83" t="n"/>
      <c r="L50" s="83" t="n"/>
      <c r="M50" s="83" t="n"/>
      <c r="N50" s="83"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83" t="n"/>
      <c r="B51" s="83" t="n"/>
      <c r="C51" s="83" t="n"/>
      <c r="D51" s="83" t="n"/>
      <c r="E51" s="83" t="n"/>
      <c r="F51" s="83" t="n"/>
      <c r="G51" s="83" t="n"/>
      <c r="H51" s="83">
        <f>'Modelo_principal'!A174</f>
        <v/>
      </c>
      <c r="I51" s="153">
        <f>'Modelo_principal'!M174</f>
        <v/>
      </c>
      <c r="J51" s="153">
        <f>'Modelo_principal'!N174</f>
        <v/>
      </c>
      <c r="K51" s="83" t="n"/>
      <c r="L51" s="83" t="n"/>
      <c r="M51" s="83" t="n"/>
      <c r="N51" s="83"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83" t="n"/>
      <c r="B52" s="83" t="n"/>
      <c r="C52" s="83" t="n"/>
      <c r="D52" s="83" t="n"/>
      <c r="E52" s="83" t="n"/>
      <c r="F52" s="83" t="n"/>
      <c r="G52" s="83" t="n"/>
      <c r="H52" s="83">
        <f>'Modelo_principal'!A186</f>
        <v/>
      </c>
      <c r="I52" s="153">
        <f>'Modelo_principal'!M186</f>
        <v/>
      </c>
      <c r="J52" s="153">
        <f>'Modelo_principal'!N186</f>
        <v/>
      </c>
      <c r="K52" s="83" t="n"/>
      <c r="L52" s="83" t="n"/>
      <c r="M52" s="83" t="n"/>
      <c r="N52" s="83"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83" t="n"/>
      <c r="B53" s="83" t="n"/>
      <c r="C53" s="83" t="n"/>
      <c r="D53" s="83" t="n"/>
      <c r="E53" s="83" t="n"/>
      <c r="F53" s="83" t="n"/>
      <c r="G53" s="83" t="n"/>
      <c r="H53" s="83">
        <f>'Modelo_principal'!A198</f>
        <v/>
      </c>
      <c r="I53" s="153">
        <f>'Modelo_principal'!M198</f>
        <v/>
      </c>
      <c r="J53" s="153">
        <f>'Modelo_principal'!N198</f>
        <v/>
      </c>
      <c r="K53" s="83" t="n"/>
      <c r="L53" s="83" t="n"/>
      <c r="M53" s="83" t="n"/>
      <c r="N53" s="83"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83" t="n"/>
      <c r="B54" s="83" t="n"/>
      <c r="C54" s="83" t="n"/>
      <c r="D54" s="83" t="n"/>
      <c r="E54" s="83" t="n"/>
      <c r="F54" s="83" t="n"/>
      <c r="G54" s="83" t="n"/>
      <c r="H54" s="83">
        <f>'Modelo_principal'!A210</f>
        <v/>
      </c>
      <c r="I54" s="153">
        <f>'Modelo_principal'!M210</f>
        <v/>
      </c>
      <c r="J54" s="153">
        <f>'Modelo_principal'!N210</f>
        <v/>
      </c>
      <c r="K54" s="83" t="n"/>
      <c r="L54" s="83" t="n"/>
      <c r="M54" s="83" t="n"/>
      <c r="N54" s="83"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83" t="n"/>
      <c r="B55" s="83" t="n"/>
      <c r="C55" s="83" t="n"/>
      <c r="D55" s="83" t="n"/>
      <c r="E55" s="83" t="n"/>
      <c r="F55" s="83" t="n"/>
      <c r="G55" s="83" t="n"/>
      <c r="H55" s="83">
        <f>'Modelo_principal'!A222</f>
        <v/>
      </c>
      <c r="I55" s="153">
        <f>'Modelo_principal'!M222</f>
        <v/>
      </c>
      <c r="J55" s="153">
        <f>'Modelo_principal'!N222</f>
        <v/>
      </c>
      <c r="K55" s="83" t="n"/>
      <c r="L55" s="83" t="n"/>
      <c r="M55" s="83" t="n"/>
      <c r="N55" s="83"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83" t="n"/>
      <c r="B56" s="83" t="n"/>
      <c r="C56" s="83" t="n"/>
      <c r="D56" s="83" t="n"/>
      <c r="E56" s="83" t="n"/>
      <c r="F56" s="83" t="n"/>
      <c r="G56" s="83" t="n"/>
      <c r="H56" s="83">
        <f>'Modelo_principal'!A234</f>
        <v/>
      </c>
      <c r="I56" s="153">
        <f>'Modelo_principal'!M234</f>
        <v/>
      </c>
      <c r="J56" s="153">
        <f>'Modelo_principal'!N234</f>
        <v/>
      </c>
      <c r="K56" s="83" t="n"/>
      <c r="L56" s="83" t="n"/>
      <c r="M56" s="83" t="n"/>
      <c r="N56" s="83"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83" t="n"/>
      <c r="B57" s="83" t="n"/>
      <c r="C57" s="83" t="n"/>
      <c r="D57" s="83" t="n"/>
      <c r="E57" s="83" t="n"/>
      <c r="F57" s="83" t="n"/>
      <c r="G57" s="83" t="n"/>
      <c r="H57" s="83">
        <f>'Modelo_principal'!A246</f>
        <v/>
      </c>
      <c r="I57" s="153">
        <f>'Modelo_principal'!M246</f>
        <v/>
      </c>
      <c r="J57" s="153">
        <f>'Modelo_principal'!N246</f>
        <v/>
      </c>
      <c r="K57" s="83" t="n"/>
      <c r="L57" s="83" t="n"/>
      <c r="M57" s="83" t="n"/>
      <c r="N57" s="83"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83" t="n"/>
      <c r="B58" s="83" t="n"/>
      <c r="C58" s="83" t="n"/>
      <c r="D58" s="83" t="n"/>
      <c r="E58" s="83" t="n"/>
      <c r="F58" s="83" t="n"/>
      <c r="G58" s="83" t="n"/>
      <c r="H58" s="83">
        <f>'Modelo_principal'!A257</f>
        <v/>
      </c>
      <c r="I58" s="153">
        <f>'Modelo_principal'!M257</f>
        <v/>
      </c>
      <c r="J58" s="153">
        <f>'Modelo_principal'!N257</f>
        <v/>
      </c>
      <c r="K58" s="83" t="n"/>
      <c r="L58" s="83" t="n"/>
      <c r="M58" s="83" t="n"/>
      <c r="N58" s="83"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29">
    <mergeCell ref="E6:F7"/>
    <mergeCell ref="A9:B9"/>
    <mergeCell ref="C5:D5"/>
    <mergeCell ref="E5:F5"/>
    <mergeCell ref="B31:F31"/>
    <mergeCell ref="A18:F18"/>
    <mergeCell ref="H5:N5"/>
    <mergeCell ref="A10:B11"/>
    <mergeCell ref="H29:N29"/>
    <mergeCell ref="C9:D9"/>
    <mergeCell ref="E9:F9"/>
    <mergeCell ref="A29:F29"/>
    <mergeCell ref="A14:F16"/>
    <mergeCell ref="A38:F38"/>
    <mergeCell ref="A3:N3"/>
    <mergeCell ref="C6:D7"/>
    <mergeCell ref="A13:F13"/>
    <mergeCell ref="B34:F34"/>
    <mergeCell ref="A5:B5"/>
    <mergeCell ref="B37:F37"/>
    <mergeCell ref="B30:F30"/>
    <mergeCell ref="A1:N2"/>
    <mergeCell ref="C10:D11"/>
    <mergeCell ref="B33:F33"/>
    <mergeCell ref="E10:F11"/>
    <mergeCell ref="A6:B7"/>
    <mergeCell ref="B36:F36"/>
    <mergeCell ref="B32:F32"/>
    <mergeCell ref="B35:F35"/>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12" customWidth="1" min="1" max="1"/>
    <col width="16" customWidth="1" min="2" max="2"/>
    <col width="16" customWidth="1" min="3" max="3"/>
    <col width="18" customWidth="1" min="4" max="4"/>
    <col width="18" customWidth="1" min="5" max="5"/>
    <col width="16" customWidth="1" min="6" max="6"/>
    <col width="16" customWidth="1" min="7" max="7"/>
    <col width="16" customWidth="1" min="8" max="8"/>
    <col width="24" customWidth="1" min="9" max="9"/>
    <col width="18" customWidth="1" min="10" max="10"/>
    <col width="18" customWidth="1" min="11" max="11"/>
    <col width="18" customWidth="1" min="12" max="12"/>
    <col width="18" customWidth="1" min="13" max="13"/>
    <col width="18" customWidth="1" min="14" max="14"/>
    <col width="21" customWidth="1" min="15" max="15"/>
    <col width="21" customWidth="1" min="16" max="16"/>
    <col width="21" customWidth="1" min="17" max="17"/>
    <col width="21" customWidth="1" min="18" max="18"/>
    <col width="21" customWidth="1" min="19" max="19"/>
    <col width="21" customWidth="1" min="20" max="20"/>
    <col width="21" customWidth="1" min="21" max="21"/>
    <col width="21" customWidth="1" min="22" max="22"/>
    <col width="21" customWidth="1" min="23" max="23"/>
    <col width="18" customWidth="1" min="24" max="24"/>
    <col width="18" customWidth="1" min="25" max="25"/>
    <col width="18" customWidth="1" min="26" max="26"/>
    <col width="18" customWidth="1" min="27" max="27"/>
    <col width="18" customWidth="1" min="28" max="28"/>
    <col width="18" customWidth="1" min="29" max="29"/>
  </cols>
  <sheetData>
    <row r="1" ht="30" customHeight="1">
      <c r="A1" s="4" t="inlineStr">
        <is>
          <t>Datos fuente mensuales</t>
        </is>
      </c>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7" t="inlineStr">
        <is>
          <t>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t>
        </is>
      </c>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ht="54" customHeight="1">
      <c r="A5" s="62" t="inlineStr">
        <is>
          <t>Mes</t>
        </is>
      </c>
      <c r="B5" s="62" t="inlineStr">
        <is>
          <t>TRM (COP/USD)</t>
        </is>
      </c>
      <c r="C5" s="62" t="inlineStr">
        <is>
          <t>Términos de intercambio</t>
        </is>
      </c>
      <c r="D5" s="62" t="inlineStr">
        <is>
          <t>Remesas (USD mill.)</t>
        </is>
      </c>
      <c r="E5" s="62" t="inlineStr">
        <is>
          <t>Remesas 12m (USD mill.)</t>
        </is>
      </c>
      <c r="F5" s="62" t="inlineStr">
        <is>
          <t>Tasa política Colombia (%)</t>
        </is>
      </c>
      <c r="G5" s="62" t="inlineStr">
        <is>
          <t>Fed funds (%)</t>
        </is>
      </c>
      <c r="H5" s="62" t="inlineStr">
        <is>
          <t>Diferencial tasas (pp)</t>
        </is>
      </c>
      <c r="I5" s="62" t="inlineStr">
        <is>
          <t>Balance fiscal mensual (miles mill. COP)</t>
        </is>
      </c>
      <c r="J5" s="62" t="inlineStr">
        <is>
          <t>Déficit fiscal 12m (% PIB)</t>
        </is>
      </c>
      <c r="K5" s="62" t="inlineStr">
        <is>
          <t>Índice dólar amplio</t>
        </is>
      </c>
      <c r="L5" s="62" t="inlineStr">
        <is>
          <t>VIX</t>
        </is>
      </c>
      <c r="M5" s="62" t="inlineStr">
        <is>
          <t>Dummy pandemia</t>
        </is>
      </c>
      <c r="N5" s="62" t="inlineStr">
        <is>
          <t>Reservas netas sin FLAR (USD mill.)</t>
        </is>
      </c>
      <c r="O5" s="62" t="inlineStr">
        <is>
          <t>EMBIG Colombia (pb)</t>
        </is>
      </c>
      <c r="P5" s="62" t="inlineStr">
        <is>
          <t>EMBIG Colombia (pp)</t>
        </is>
      </c>
      <c r="Q5" s="62" t="inlineStr">
        <is>
          <t>Balanza comercial cambiaria (USD mill.)</t>
        </is>
      </c>
      <c r="R5" s="62" t="inlineStr">
        <is>
          <t>Flujo neto total de capital (USD mill.)</t>
        </is>
      </c>
      <c r="S5" s="62" t="inlineStr">
        <is>
          <t>TES pesos cero cupón 5 años (%)</t>
        </is>
      </c>
      <c r="T5" s="62" t="inlineStr">
        <is>
          <t>TES UVR cero cupón 5 años (%)</t>
        </is>
      </c>
      <c r="U5" s="62" t="inlineStr">
        <is>
          <t>BEI Colombia 5 años (%)</t>
        </is>
      </c>
      <c r="V5" s="62" t="inlineStr">
        <is>
          <t>BEI EE. UU. 5 años (%)</t>
        </is>
      </c>
      <c r="W5" s="62" t="inlineStr">
        <is>
          <t>Diferencial BEI 5 años (pp)</t>
        </is>
      </c>
      <c r="X5" s="62" t="inlineStr">
        <is>
          <t>BRL por USD</t>
        </is>
      </c>
      <c r="Y5" s="62" t="inlineStr">
        <is>
          <t>CLP por USD</t>
        </is>
      </c>
      <c r="Z5" s="62" t="inlineStr">
        <is>
          <t>MXN por USD</t>
        </is>
      </c>
      <c r="AA5" s="62" t="inlineStr">
        <is>
          <t>PEN por USD</t>
        </is>
      </c>
      <c r="AB5" s="62" t="inlineStr">
        <is>
          <t>Factor regional 3 monedas</t>
        </is>
      </c>
      <c r="AC5" s="62" t="inlineStr">
        <is>
          <t>Factor regional 4 monedas</t>
        </is>
      </c>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c r="A6" s="83" t="inlineStr">
        <is>
          <t>2005-12</t>
        </is>
      </c>
      <c r="B6" s="155" t="n">
        <v>2278.539355</v>
      </c>
      <c r="C6" s="155" t="n">
        <v>122.69</v>
      </c>
      <c r="D6" s="155" t="n">
        <v>348.03</v>
      </c>
      <c r="E6" s="155" t="n">
        <v>3313.73</v>
      </c>
      <c r="F6" s="152" t="n">
        <v>6</v>
      </c>
      <c r="G6" s="152" t="n">
        <v>4.16</v>
      </c>
      <c r="H6" s="152" t="n">
        <v>1.84</v>
      </c>
      <c r="I6" s="156" t="n">
        <v>-2824.564673</v>
      </c>
      <c r="J6" s="152" t="n">
        <v>3.997397732</v>
      </c>
      <c r="K6" s="152" t="n"/>
      <c r="L6" s="152" t="n">
        <v>11.26</v>
      </c>
      <c r="M6" s="157" t="n">
        <v>0</v>
      </c>
      <c r="N6" s="155" t="n">
        <v>14947.31</v>
      </c>
      <c r="O6" s="152" t="n"/>
      <c r="P6" s="152" t="n"/>
      <c r="Q6" s="156" t="n">
        <v>-449.16</v>
      </c>
      <c r="R6" s="156" t="n">
        <v>275.02</v>
      </c>
      <c r="S6" s="152" t="n">
        <v>8.228</v>
      </c>
      <c r="T6" s="152" t="n">
        <v>2.719230769</v>
      </c>
      <c r="U6" s="152" t="n">
        <v>5.508769231</v>
      </c>
      <c r="V6" s="152" t="n">
        <v>2.286352385</v>
      </c>
      <c r="W6" s="152" t="n">
        <v>3.222416846</v>
      </c>
      <c r="X6" s="158" t="n">
        <v>2.284454541</v>
      </c>
      <c r="Y6" s="158" t="n">
        <v>514.285</v>
      </c>
      <c r="Z6" s="158" t="n">
        <v>10.6285</v>
      </c>
      <c r="AA6" s="158" t="n">
        <v>3.424490476</v>
      </c>
      <c r="AB6" s="159" t="n">
        <v>-0.2144618765</v>
      </c>
      <c r="AC6" s="159"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c r="A7" s="83" t="inlineStr">
        <is>
          <t>2006-01</t>
        </is>
      </c>
      <c r="B7" s="155" t="n">
        <v>2273.710968</v>
      </c>
      <c r="C7" s="155" t="n">
        <v>128.63</v>
      </c>
      <c r="D7" s="155" t="n">
        <v>266.88</v>
      </c>
      <c r="E7" s="155" t="n">
        <v>3356.38</v>
      </c>
      <c r="F7" s="152" t="n">
        <v>6</v>
      </c>
      <c r="G7" s="152" t="n">
        <v>4.29</v>
      </c>
      <c r="H7" s="152" t="n">
        <v>1.71</v>
      </c>
      <c r="I7" s="156" t="n">
        <v>-2383.791927</v>
      </c>
      <c r="J7" s="152" t="n">
        <v>3.697683412</v>
      </c>
      <c r="K7" s="152" t="n">
        <v>100.0000045</v>
      </c>
      <c r="L7" s="152" t="n">
        <v>12.036</v>
      </c>
      <c r="M7" s="157" t="n">
        <v>0</v>
      </c>
      <c r="N7" s="155" t="n">
        <v>14741.24</v>
      </c>
      <c r="O7" s="152" t="n">
        <v>214.2727273</v>
      </c>
      <c r="P7" s="152" t="n">
        <v>2.142727273</v>
      </c>
      <c r="Q7" s="156" t="n">
        <v>-442.48</v>
      </c>
      <c r="R7" s="156" t="n">
        <v>-7.88</v>
      </c>
      <c r="S7" s="152" t="n">
        <v>7.71047619</v>
      </c>
      <c r="T7" s="152" t="n">
        <v>2.603333333</v>
      </c>
      <c r="U7" s="152" t="n">
        <v>5.107142857</v>
      </c>
      <c r="V7" s="152" t="n">
        <v>2.380690026</v>
      </c>
      <c r="W7" s="152" t="n">
        <v>2.726452831</v>
      </c>
      <c r="X7" s="158" t="n">
        <v>2.272227266</v>
      </c>
      <c r="Y7" s="158" t="n">
        <v>524.4768182</v>
      </c>
      <c r="Z7" s="158" t="n">
        <v>10.55181818</v>
      </c>
      <c r="AA7" s="158" t="n">
        <v>3.393195455</v>
      </c>
      <c r="AB7" s="159" t="n">
        <v>0.006506135375</v>
      </c>
      <c r="AC7" s="159" t="n">
        <v>-0.1773078362</v>
      </c>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c r="A8" s="83" t="inlineStr">
        <is>
          <t>2006-02</t>
        </is>
      </c>
      <c r="B8" s="155" t="n">
        <v>2255.771429</v>
      </c>
      <c r="C8" s="155" t="n">
        <v>128.04</v>
      </c>
      <c r="D8" s="155" t="n">
        <v>264.75</v>
      </c>
      <c r="E8" s="155" t="n">
        <v>3385.22</v>
      </c>
      <c r="F8" s="152" t="n">
        <v>6</v>
      </c>
      <c r="G8" s="152" t="n">
        <v>4.49</v>
      </c>
      <c r="H8" s="152" t="n">
        <v>1.51</v>
      </c>
      <c r="I8" s="156" t="n">
        <v>-3256.28879</v>
      </c>
      <c r="J8" s="152" t="n">
        <v>3.95151495</v>
      </c>
      <c r="K8" s="152" t="n">
        <v>100.21117</v>
      </c>
      <c r="L8" s="152" t="n">
        <v>12.47105263</v>
      </c>
      <c r="M8" s="157" t="n">
        <v>0</v>
      </c>
      <c r="N8" s="155" t="n">
        <v>15103.27</v>
      </c>
      <c r="O8" s="152" t="n">
        <v>174</v>
      </c>
      <c r="P8" s="152" t="n">
        <v>1.74</v>
      </c>
      <c r="Q8" s="156" t="n">
        <v>-504.99</v>
      </c>
      <c r="R8" s="156" t="n">
        <v>646.8099999999999</v>
      </c>
      <c r="S8" s="152" t="n">
        <v>7.097894737</v>
      </c>
      <c r="T8" s="152" t="n">
        <v>2.285</v>
      </c>
      <c r="U8" s="152" t="n">
        <v>4.812894737</v>
      </c>
      <c r="V8" s="152" t="n">
        <v>2.562715794</v>
      </c>
      <c r="W8" s="152" t="n">
        <v>2.250178943</v>
      </c>
      <c r="X8" s="158" t="n">
        <v>2.15720005</v>
      </c>
      <c r="Y8" s="158" t="n">
        <v>525.8985</v>
      </c>
      <c r="Z8" s="158" t="n">
        <v>10.4855</v>
      </c>
      <c r="AA8" s="158" t="n">
        <v>3.288465</v>
      </c>
      <c r="AB8" s="159" t="n">
        <v>-0.616990728</v>
      </c>
      <c r="AC8" s="159" t="n">
        <v>-1.090851665</v>
      </c>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c r="A9" s="83" t="inlineStr">
        <is>
          <t>2006-03</t>
        </is>
      </c>
      <c r="B9" s="155" t="n">
        <v>2261.91871</v>
      </c>
      <c r="C9" s="155" t="n">
        <v>130.99</v>
      </c>
      <c r="D9" s="155" t="n">
        <v>324.26</v>
      </c>
      <c r="E9" s="155" t="n">
        <v>3438.49</v>
      </c>
      <c r="F9" s="152" t="n">
        <v>6</v>
      </c>
      <c r="G9" s="152" t="n">
        <v>4.59</v>
      </c>
      <c r="H9" s="152" t="n">
        <v>1.41</v>
      </c>
      <c r="I9" s="156" t="n">
        <v>-855.8288329</v>
      </c>
      <c r="J9" s="152" t="n">
        <v>3.6276424</v>
      </c>
      <c r="K9" s="152" t="n">
        <v>100.428087</v>
      </c>
      <c r="L9" s="152" t="n">
        <v>11.69391304</v>
      </c>
      <c r="M9" s="157" t="n">
        <v>0</v>
      </c>
      <c r="N9" s="155" t="n">
        <v>15153.2</v>
      </c>
      <c r="O9" s="152" t="n">
        <v>167.5652174</v>
      </c>
      <c r="P9" s="152" t="n">
        <v>1.675652174</v>
      </c>
      <c r="Q9" s="156" t="n">
        <v>-418.94</v>
      </c>
      <c r="R9" s="156" t="n">
        <v>31.86</v>
      </c>
      <c r="S9" s="152" t="n">
        <v>7.187727273</v>
      </c>
      <c r="T9" s="152" t="n">
        <v>3.196923077</v>
      </c>
      <c r="U9" s="152" t="n">
        <v>3.990804196</v>
      </c>
      <c r="V9" s="152" t="n">
        <v>2.568847822</v>
      </c>
      <c r="W9" s="152" t="n">
        <v>1.421956374</v>
      </c>
      <c r="X9" s="158" t="n">
        <v>2.153695646</v>
      </c>
      <c r="Y9" s="158" t="n">
        <v>528.6352174</v>
      </c>
      <c r="Z9" s="158" t="n">
        <v>10.75530435</v>
      </c>
      <c r="AA9" s="158" t="n">
        <v>3.340017391</v>
      </c>
      <c r="AB9" s="159" t="n">
        <v>0.2511489501</v>
      </c>
      <c r="AC9" s="159" t="n">
        <v>0.503688482</v>
      </c>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c r="A10" s="83" t="inlineStr">
        <is>
          <t>2006-04</t>
        </is>
      </c>
      <c r="B10" s="155" t="n">
        <v>2335.137667</v>
      </c>
      <c r="C10" s="155" t="n">
        <v>136.46</v>
      </c>
      <c r="D10" s="155" t="n">
        <v>283.26</v>
      </c>
      <c r="E10" s="155" t="n">
        <v>3460.06</v>
      </c>
      <c r="F10" s="152" t="n">
        <v>6</v>
      </c>
      <c r="G10" s="152" t="n">
        <v>4.79</v>
      </c>
      <c r="H10" s="152" t="n">
        <v>1.21</v>
      </c>
      <c r="I10" s="156" t="n">
        <v>-3018.330331</v>
      </c>
      <c r="J10" s="152" t="n">
        <v>4.354903969</v>
      </c>
      <c r="K10" s="152" t="n">
        <v>99.74348000000001</v>
      </c>
      <c r="L10" s="152" t="n">
        <v>11.84736842</v>
      </c>
      <c r="M10" s="157" t="n">
        <v>0</v>
      </c>
      <c r="N10" s="155" t="n">
        <v>15106.38</v>
      </c>
      <c r="O10" s="152" t="n">
        <v>173.75</v>
      </c>
      <c r="P10" s="152" t="n">
        <v>1.7375</v>
      </c>
      <c r="Q10" s="156" t="n">
        <v>-374.76</v>
      </c>
      <c r="R10" s="156" t="n">
        <v>-77.23</v>
      </c>
      <c r="S10" s="152" t="n">
        <v>8.017058823999999</v>
      </c>
      <c r="T10" s="152" t="n">
        <v>3.891111111</v>
      </c>
      <c r="U10" s="152" t="n">
        <v>4.125947712</v>
      </c>
      <c r="V10" s="152" t="n">
        <v>2.576700035</v>
      </c>
      <c r="W10" s="152" t="n">
        <v>1.549247678</v>
      </c>
      <c r="X10" s="158" t="n">
        <v>2.129249978</v>
      </c>
      <c r="Y10" s="158" t="n">
        <v>516.9625</v>
      </c>
      <c r="Z10" s="158" t="n">
        <v>11.0514</v>
      </c>
      <c r="AA10" s="158" t="n">
        <v>3.3313</v>
      </c>
      <c r="AB10" s="159" t="n">
        <v>-0.1603891615</v>
      </c>
      <c r="AC10" s="159" t="n">
        <v>-0.1703918311</v>
      </c>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c r="A11" s="83" t="inlineStr">
        <is>
          <t>2006-05</t>
        </is>
      </c>
      <c r="B11" s="155" t="n">
        <v>2418.649355</v>
      </c>
      <c r="C11" s="155" t="n">
        <v>135.55</v>
      </c>
      <c r="D11" s="155" t="n">
        <v>366.98</v>
      </c>
      <c r="E11" s="155" t="n">
        <v>3556.98</v>
      </c>
      <c r="F11" s="152" t="n">
        <v>6.241935484</v>
      </c>
      <c r="G11" s="152" t="n">
        <v>4.94</v>
      </c>
      <c r="H11" s="152" t="n">
        <v>1.301935484</v>
      </c>
      <c r="I11" s="156" t="n">
        <v>2052.972861</v>
      </c>
      <c r="J11" s="152" t="n">
        <v>3.865752534</v>
      </c>
      <c r="K11" s="152" t="n">
        <v>97.51177391</v>
      </c>
      <c r="L11" s="152" t="n">
        <v>14.45454545</v>
      </c>
      <c r="M11" s="157" t="n">
        <v>0</v>
      </c>
      <c r="N11" s="155" t="n">
        <v>14595.41</v>
      </c>
      <c r="O11" s="152" t="n">
        <v>188.6086957</v>
      </c>
      <c r="P11" s="152" t="n">
        <v>1.886086957</v>
      </c>
      <c r="Q11" s="156" t="n">
        <v>-439.47</v>
      </c>
      <c r="R11" s="156" t="n">
        <v>-612.47</v>
      </c>
      <c r="S11" s="152" t="n">
        <v>9.197142856999999</v>
      </c>
      <c r="T11" s="152" t="n">
        <v>4.589285714</v>
      </c>
      <c r="U11" s="152" t="n">
        <v>4.607857143</v>
      </c>
      <c r="V11" s="152" t="n">
        <v>2.653745445</v>
      </c>
      <c r="W11" s="152" t="n">
        <v>1.954111698</v>
      </c>
      <c r="X11" s="158" t="n">
        <v>2.173347815</v>
      </c>
      <c r="Y11" s="158" t="n">
        <v>520.5582609000001</v>
      </c>
      <c r="Z11" s="158" t="n">
        <v>11.08821739</v>
      </c>
      <c r="AA11" s="158" t="n">
        <v>3.278536364</v>
      </c>
      <c r="AB11" s="159" t="n">
        <v>0.2097398252</v>
      </c>
      <c r="AC11" s="159" t="n">
        <v>-0.1613489145</v>
      </c>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c r="A12" s="83" t="inlineStr">
        <is>
          <t>2006-06</t>
        </is>
      </c>
      <c r="B12" s="155" t="n">
        <v>2542.22</v>
      </c>
      <c r="C12" s="155" t="n">
        <v>135.31</v>
      </c>
      <c r="D12" s="155" t="n">
        <v>342.37</v>
      </c>
      <c r="E12" s="155" t="n">
        <v>3627.84</v>
      </c>
      <c r="F12" s="152" t="n">
        <v>6.333333333</v>
      </c>
      <c r="G12" s="152" t="n">
        <v>4.99</v>
      </c>
      <c r="H12" s="152" t="n">
        <v>1.343333333</v>
      </c>
      <c r="I12" s="156" t="n">
        <v>-539.8959368</v>
      </c>
      <c r="J12" s="152" t="n">
        <v>4.000523343</v>
      </c>
      <c r="K12" s="152" t="n">
        <v>98.69272273</v>
      </c>
      <c r="L12" s="152" t="n">
        <v>16.91863636</v>
      </c>
      <c r="M12" s="157" t="n">
        <v>0</v>
      </c>
      <c r="N12" s="155" t="n">
        <v>14461.24</v>
      </c>
      <c r="O12" s="152" t="n">
        <v>231.3181818</v>
      </c>
      <c r="P12" s="152" t="n">
        <v>2.313181818</v>
      </c>
      <c r="Q12" s="156" t="n">
        <v>-479.87</v>
      </c>
      <c r="R12" s="156" t="n">
        <v>-145.63</v>
      </c>
      <c r="S12" s="152" t="n">
        <v>10.46277778</v>
      </c>
      <c r="T12" s="152" t="n">
        <v>5.985</v>
      </c>
      <c r="U12" s="152" t="n">
        <v>4.477777778</v>
      </c>
      <c r="V12" s="152" t="n">
        <v>2.566595468</v>
      </c>
      <c r="W12" s="152" t="n">
        <v>1.91118231</v>
      </c>
      <c r="X12" s="158" t="n">
        <v>2.249545466</v>
      </c>
      <c r="Y12" s="158" t="n">
        <v>542.7163636</v>
      </c>
      <c r="Z12" s="158" t="n">
        <v>11.39377273</v>
      </c>
      <c r="AA12" s="158" t="n">
        <v>3.263909524</v>
      </c>
      <c r="AB12" s="159" t="n">
        <v>1.056077012</v>
      </c>
      <c r="AC12" s="159" t="n">
        <v>0.7045879266</v>
      </c>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c r="A13" s="83" t="inlineStr">
        <is>
          <t>2006-07</t>
        </is>
      </c>
      <c r="B13" s="155" t="n">
        <v>2513.698387</v>
      </c>
      <c r="C13" s="155" t="n">
        <v>137.8</v>
      </c>
      <c r="D13" s="155" t="n">
        <v>313.73</v>
      </c>
      <c r="E13" s="155" t="n">
        <v>3678.77</v>
      </c>
      <c r="F13" s="152" t="n">
        <v>6.5</v>
      </c>
      <c r="G13" s="152" t="n">
        <v>5.24</v>
      </c>
      <c r="H13" s="152" t="n">
        <v>1.26</v>
      </c>
      <c r="I13" s="156" t="n">
        <v>-626.3574207</v>
      </c>
      <c r="J13" s="152" t="n">
        <v>3.866772925</v>
      </c>
      <c r="K13" s="152" t="n">
        <v>98.43871428999999</v>
      </c>
      <c r="L13" s="152" t="n">
        <v>15.326</v>
      </c>
      <c r="M13" s="157" t="n">
        <v>0</v>
      </c>
      <c r="N13" s="155" t="n">
        <v>14688.43</v>
      </c>
      <c r="O13" s="152" t="n">
        <v>228.2857143</v>
      </c>
      <c r="P13" s="152" t="n">
        <v>2.282857143</v>
      </c>
      <c r="Q13" s="156" t="n">
        <v>-655.97</v>
      </c>
      <c r="R13" s="156" t="n">
        <v>524.77</v>
      </c>
      <c r="S13" s="152" t="n">
        <v>10.46333333</v>
      </c>
      <c r="T13" s="152" t="n">
        <v>6.074285714</v>
      </c>
      <c r="U13" s="152" t="n">
        <v>4.389047619</v>
      </c>
      <c r="V13" s="152" t="n">
        <v>2.539475</v>
      </c>
      <c r="W13" s="152" t="n">
        <v>1.849572619</v>
      </c>
      <c r="X13" s="158" t="n">
        <v>2.189142863</v>
      </c>
      <c r="Y13" s="158" t="n">
        <v>540.6552381</v>
      </c>
      <c r="Z13" s="158" t="n">
        <v>10.98671429</v>
      </c>
      <c r="AA13" s="158" t="n">
        <v>3.243425</v>
      </c>
      <c r="AB13" s="159" t="n">
        <v>-0.8334321008</v>
      </c>
      <c r="AC13" s="159" t="n">
        <v>-0.7492398484</v>
      </c>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c r="A14" s="83" t="inlineStr">
        <is>
          <t>2006-08</t>
        </is>
      </c>
      <c r="B14" s="155" t="n">
        <v>2388.983548</v>
      </c>
      <c r="C14" s="155" t="n">
        <v>134.31</v>
      </c>
      <c r="D14" s="155" t="n">
        <v>334.72</v>
      </c>
      <c r="E14" s="155" t="n">
        <v>3713.6</v>
      </c>
      <c r="F14" s="152" t="n">
        <v>6.580645161</v>
      </c>
      <c r="G14" s="152" t="n">
        <v>5.25</v>
      </c>
      <c r="H14" s="152" t="n">
        <v>1.330645161</v>
      </c>
      <c r="I14" s="156" t="n">
        <v>641.5375862</v>
      </c>
      <c r="J14" s="152" t="n">
        <v>3.885340436</v>
      </c>
      <c r="K14" s="152" t="n">
        <v>97.71376522</v>
      </c>
      <c r="L14" s="152" t="n">
        <v>13.35173913</v>
      </c>
      <c r="M14" s="157" t="n">
        <v>0</v>
      </c>
      <c r="N14" s="155" t="n">
        <v>14982.42</v>
      </c>
      <c r="O14" s="152" t="n">
        <v>196.4782609</v>
      </c>
      <c r="P14" s="152" t="n">
        <v>1.964782609</v>
      </c>
      <c r="Q14" s="156" t="n">
        <v>-530.34</v>
      </c>
      <c r="R14" s="156" t="n">
        <v>384.09</v>
      </c>
      <c r="S14" s="152" t="n">
        <v>9.539047619</v>
      </c>
      <c r="T14" s="152" t="n">
        <v>4.792</v>
      </c>
      <c r="U14" s="152" t="n">
        <v>4.747047619</v>
      </c>
      <c r="V14" s="152" t="n">
        <v>2.495491308</v>
      </c>
      <c r="W14" s="152" t="n">
        <v>2.251556311</v>
      </c>
      <c r="X14" s="158" t="n">
        <v>2.156304349</v>
      </c>
      <c r="Y14" s="158" t="n">
        <v>538.7847826</v>
      </c>
      <c r="Z14" s="158" t="n">
        <v>10.87452174</v>
      </c>
      <c r="AA14" s="158" t="n">
        <v>3.234790909</v>
      </c>
      <c r="AB14" s="159" t="n">
        <v>-0.4065242495</v>
      </c>
      <c r="AC14" s="159" t="n">
        <v>-0.3560427051</v>
      </c>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c r="A15" s="83" t="inlineStr">
        <is>
          <t>2006-09</t>
        </is>
      </c>
      <c r="B15" s="155" t="n">
        <v>2398.708667</v>
      </c>
      <c r="C15" s="155" t="n">
        <v>127.86</v>
      </c>
      <c r="D15" s="155" t="n">
        <v>324.12</v>
      </c>
      <c r="E15" s="155" t="n">
        <v>3748.93</v>
      </c>
      <c r="F15" s="152" t="n">
        <v>6.75</v>
      </c>
      <c r="G15" s="152" t="n">
        <v>5.25</v>
      </c>
      <c r="H15" s="152" t="n">
        <v>1.5</v>
      </c>
      <c r="I15" s="156" t="n">
        <v>-100.4314416</v>
      </c>
      <c r="J15" s="152" t="n">
        <v>3.654184295</v>
      </c>
      <c r="K15" s="152" t="n">
        <v>97.9813619</v>
      </c>
      <c r="L15" s="152" t="n">
        <v>12.1845</v>
      </c>
      <c r="M15" s="157" t="n">
        <v>0</v>
      </c>
      <c r="N15" s="155" t="n">
        <v>15013.29</v>
      </c>
      <c r="O15" s="152" t="n">
        <v>206.3333333</v>
      </c>
      <c r="P15" s="152" t="n">
        <v>2.063333333</v>
      </c>
      <c r="Q15" s="156" t="n">
        <v>-560.04</v>
      </c>
      <c r="R15" s="156" t="n">
        <v>126.98</v>
      </c>
      <c r="S15" s="152" t="n">
        <v>9.602380952000001</v>
      </c>
      <c r="T15" s="152" t="n">
        <v>4.6425</v>
      </c>
      <c r="U15" s="152" t="n">
        <v>4.959880952</v>
      </c>
      <c r="V15" s="152" t="n">
        <v>2.24733001</v>
      </c>
      <c r="W15" s="152" t="n">
        <v>2.712550942</v>
      </c>
      <c r="X15" s="158" t="n">
        <v>2.167666674</v>
      </c>
      <c r="Y15" s="158" t="n">
        <v>538.5285714</v>
      </c>
      <c r="Z15" s="158" t="n">
        <v>10.982</v>
      </c>
      <c r="AA15" s="158" t="n">
        <v>3.247914286</v>
      </c>
      <c r="AB15" s="159" t="n">
        <v>0.05659956747</v>
      </c>
      <c r="AC15" s="159" t="n">
        <v>0.1263464674</v>
      </c>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c r="A16" s="83" t="inlineStr">
        <is>
          <t>2006-10</t>
        </is>
      </c>
      <c r="B16" s="155" t="n">
        <v>2361.796452</v>
      </c>
      <c r="C16" s="155" t="n">
        <v>127.38</v>
      </c>
      <c r="D16" s="155" t="n">
        <v>331.6</v>
      </c>
      <c r="E16" s="155" t="n">
        <v>3795.01</v>
      </c>
      <c r="F16" s="152" t="n">
        <v>7.008064516</v>
      </c>
      <c r="G16" s="152" t="n">
        <v>5.25</v>
      </c>
      <c r="H16" s="152" t="n">
        <v>1.758064516</v>
      </c>
      <c r="I16" s="156" t="n">
        <v>-1093.300195</v>
      </c>
      <c r="J16" s="152" t="n">
        <v>3.895828134</v>
      </c>
      <c r="K16" s="152" t="n">
        <v>98.31565455</v>
      </c>
      <c r="L16" s="152" t="n">
        <v>11.30636364</v>
      </c>
      <c r="M16" s="157" t="n">
        <v>0</v>
      </c>
      <c r="N16" s="155" t="n">
        <v>15135.6</v>
      </c>
      <c r="O16" s="152" t="n">
        <v>181.0454545</v>
      </c>
      <c r="P16" s="152" t="n">
        <v>1.810454545</v>
      </c>
      <c r="Q16" s="156" t="n">
        <v>-653.95</v>
      </c>
      <c r="R16" s="156" t="n">
        <v>499.03</v>
      </c>
      <c r="S16" s="152" t="n">
        <v>9.5</v>
      </c>
      <c r="T16" s="152" t="n">
        <v>4.511111111</v>
      </c>
      <c r="U16" s="152" t="n">
        <v>4.988888889</v>
      </c>
      <c r="V16" s="152" t="n">
        <v>2.136961892</v>
      </c>
      <c r="W16" s="152" t="n">
        <v>2.851926997</v>
      </c>
      <c r="X16" s="158" t="n">
        <v>2.148045431</v>
      </c>
      <c r="Y16" s="158" t="n">
        <v>530.855</v>
      </c>
      <c r="Z16" s="158" t="n">
        <v>10.8965</v>
      </c>
      <c r="AA16" s="158" t="n">
        <v>3.237409091</v>
      </c>
      <c r="AB16" s="159" t="n">
        <v>-0.4583576676</v>
      </c>
      <c r="AC16" s="159" t="n">
        <v>-0.4064648899</v>
      </c>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c r="A17" s="83" t="inlineStr">
        <is>
          <t>2006-11</t>
        </is>
      </c>
      <c r="B17" s="155" t="n">
        <v>2290.438</v>
      </c>
      <c r="C17" s="155" t="n">
        <v>127.06</v>
      </c>
      <c r="D17" s="155" t="n">
        <v>332.93</v>
      </c>
      <c r="E17" s="155" t="n">
        <v>3833.63</v>
      </c>
      <c r="F17" s="152" t="n">
        <v>7.25</v>
      </c>
      <c r="G17" s="152" t="n">
        <v>5.25</v>
      </c>
      <c r="H17" s="152" t="n">
        <v>2</v>
      </c>
      <c r="I17" s="156" t="n">
        <v>-1369.838992</v>
      </c>
      <c r="J17" s="152" t="n">
        <v>3.504711191</v>
      </c>
      <c r="K17" s="152" t="n">
        <v>97.51328182</v>
      </c>
      <c r="L17" s="152" t="n">
        <v>10.81761905</v>
      </c>
      <c r="M17" s="157" t="n">
        <v>0</v>
      </c>
      <c r="N17" s="155" t="n">
        <v>15452.62</v>
      </c>
      <c r="O17" s="152" t="n">
        <v>189.4545455</v>
      </c>
      <c r="P17" s="152" t="n">
        <v>1.894545455</v>
      </c>
      <c r="Q17" s="156" t="n">
        <v>-563.4400000000001</v>
      </c>
      <c r="R17" s="156" t="n">
        <v>509.33</v>
      </c>
      <c r="S17" s="152" t="n">
        <v>9.1295</v>
      </c>
      <c r="T17" s="152" t="n">
        <v>4.55</v>
      </c>
      <c r="U17" s="152" t="n">
        <v>4.5795</v>
      </c>
      <c r="V17" s="152" t="n">
        <v>2.115390471</v>
      </c>
      <c r="W17" s="152" t="n">
        <v>2.464109529</v>
      </c>
      <c r="X17" s="158" t="n">
        <v>2.157</v>
      </c>
      <c r="Y17" s="158" t="n">
        <v>527.4486364000001</v>
      </c>
      <c r="Z17" s="158" t="n">
        <v>10.91604545</v>
      </c>
      <c r="AA17" s="158" t="n">
        <v>3.222490476</v>
      </c>
      <c r="AB17" s="159" t="n">
        <v>-0.1240557433</v>
      </c>
      <c r="AC17" s="159" t="n">
        <v>-0.1834777567</v>
      </c>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c r="A18" s="83" t="inlineStr">
        <is>
          <t>2006-12</t>
        </is>
      </c>
      <c r="B18" s="155" t="n">
        <v>2260.705484</v>
      </c>
      <c r="C18" s="155" t="n">
        <v>130.84</v>
      </c>
      <c r="D18" s="155" t="n">
        <v>375.34</v>
      </c>
      <c r="E18" s="155" t="n">
        <v>3860.94</v>
      </c>
      <c r="F18" s="152" t="n">
        <v>7.362903226</v>
      </c>
      <c r="G18" s="152" t="n">
        <v>5.24</v>
      </c>
      <c r="H18" s="152" t="n">
        <v>2.122903226</v>
      </c>
      <c r="I18" s="156" t="n">
        <v>-2522.391247</v>
      </c>
      <c r="J18" s="152" t="n">
        <v>3.425526113</v>
      </c>
      <c r="K18" s="152" t="n">
        <v>96.79507142999999</v>
      </c>
      <c r="L18" s="152" t="n">
        <v>10.9645</v>
      </c>
      <c r="M18" s="157" t="n">
        <v>0</v>
      </c>
      <c r="N18" s="155" t="n">
        <v>15435.49</v>
      </c>
      <c r="O18" s="152" t="n">
        <v>181.0952381</v>
      </c>
      <c r="P18" s="152" t="n">
        <v>1.810952381</v>
      </c>
      <c r="Q18" s="156" t="n">
        <v>-750.87</v>
      </c>
      <c r="R18" s="156" t="n">
        <v>439.64</v>
      </c>
      <c r="S18" s="152" t="n">
        <v>9.043888889</v>
      </c>
      <c r="T18" s="152" t="n">
        <v>4.337142857</v>
      </c>
      <c r="U18" s="152" t="n">
        <v>4.706746032</v>
      </c>
      <c r="V18" s="152" t="n">
        <v>2.183465028</v>
      </c>
      <c r="W18" s="152" t="n">
        <v>2.523281004</v>
      </c>
      <c r="X18" s="158" t="n">
        <v>2.148142826</v>
      </c>
      <c r="Y18" s="158" t="n">
        <v>527.8133333</v>
      </c>
      <c r="Z18" s="158" t="n">
        <v>10.8557619</v>
      </c>
      <c r="AA18" s="158" t="n">
        <v>3.205089474</v>
      </c>
      <c r="AB18" s="159" t="n">
        <v>-0.1980495202</v>
      </c>
      <c r="AC18" s="159" t="n">
        <v>-0.254976089</v>
      </c>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c r="A19" s="83" t="inlineStr">
        <is>
          <t>2007-01</t>
        </is>
      </c>
      <c r="B19" s="155" t="n">
        <v>2236.202258</v>
      </c>
      <c r="C19" s="155" t="n">
        <v>125.16</v>
      </c>
      <c r="D19" s="155" t="n">
        <v>305.28</v>
      </c>
      <c r="E19" s="155" t="n">
        <v>3899.34</v>
      </c>
      <c r="F19" s="152" t="n">
        <v>7.524193548</v>
      </c>
      <c r="G19" s="152" t="n">
        <v>5.25</v>
      </c>
      <c r="H19" s="152" t="n">
        <v>2.274193548</v>
      </c>
      <c r="I19" s="156" t="n">
        <v>-994.5023411</v>
      </c>
      <c r="J19" s="152" t="n">
        <v>2.726369078</v>
      </c>
      <c r="K19" s="152" t="n">
        <v>97.83377727</v>
      </c>
      <c r="L19" s="152" t="n">
        <v>11.0425</v>
      </c>
      <c r="M19" s="157" t="n">
        <v>0</v>
      </c>
      <c r="N19" s="155" t="n">
        <v>16446.58</v>
      </c>
      <c r="O19" s="152" t="n">
        <v>164.7826087</v>
      </c>
      <c r="P19" s="152" t="n">
        <v>1.647826087</v>
      </c>
      <c r="Q19" s="156" t="n">
        <v>-521.75</v>
      </c>
      <c r="R19" s="156" t="n">
        <v>1246.63</v>
      </c>
      <c r="S19" s="152" t="n">
        <v>9.23952381</v>
      </c>
      <c r="T19" s="152" t="n">
        <v>4.544444444</v>
      </c>
      <c r="U19" s="152" t="n">
        <v>4.695079365</v>
      </c>
      <c r="V19" s="152" t="n">
        <v>2.208919037</v>
      </c>
      <c r="W19" s="152" t="n">
        <v>2.486160328</v>
      </c>
      <c r="X19" s="158" t="n">
        <v>2.13782608</v>
      </c>
      <c r="Y19" s="158" t="n">
        <v>540.6830435000001</v>
      </c>
      <c r="Z19" s="158" t="n">
        <v>10.94882609</v>
      </c>
      <c r="AA19" s="158" t="n">
        <v>3.192663636</v>
      </c>
      <c r="AB19" s="159" t="n">
        <v>0.2561482614</v>
      </c>
      <c r="AC19" s="159" t="n">
        <v>0.1164464361</v>
      </c>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c r="A20" s="83" t="inlineStr">
        <is>
          <t>2007-02</t>
        </is>
      </c>
      <c r="B20" s="155" t="n">
        <v>2227.569643</v>
      </c>
      <c r="C20" s="155" t="n">
        <v>129.93</v>
      </c>
      <c r="D20" s="155" t="n">
        <v>299.97</v>
      </c>
      <c r="E20" s="155" t="n">
        <v>3934.56</v>
      </c>
      <c r="F20" s="152" t="n">
        <v>7.776785714</v>
      </c>
      <c r="G20" s="152" t="n">
        <v>5.26</v>
      </c>
      <c r="H20" s="152" t="n">
        <v>2.516785714</v>
      </c>
      <c r="I20" s="156" t="n">
        <v>-3259.482586</v>
      </c>
      <c r="J20" s="152" t="n">
        <v>2.727114411</v>
      </c>
      <c r="K20" s="152" t="n">
        <v>97.47642500000001</v>
      </c>
      <c r="L20" s="152" t="n">
        <v>11.15526316</v>
      </c>
      <c r="M20" s="157" t="n">
        <v>0</v>
      </c>
      <c r="N20" s="155" t="n">
        <v>17590.77</v>
      </c>
      <c r="O20" s="152" t="n">
        <v>163.25</v>
      </c>
      <c r="P20" s="152" t="n">
        <v>1.6325</v>
      </c>
      <c r="Q20" s="156" t="n">
        <v>-625.8099999999999</v>
      </c>
      <c r="R20" s="156" t="n">
        <v>1479.84</v>
      </c>
      <c r="S20" s="152" t="n">
        <v>9.5115</v>
      </c>
      <c r="T20" s="152" t="n">
        <v>4.451666667</v>
      </c>
      <c r="U20" s="152" t="n">
        <v>5.059833333</v>
      </c>
      <c r="V20" s="152" t="n">
        <v>2.290415776</v>
      </c>
      <c r="W20" s="152" t="n">
        <v>2.769417557</v>
      </c>
      <c r="X20" s="158" t="n">
        <v>2.096299994</v>
      </c>
      <c r="Y20" s="158" t="n">
        <v>542.0454999999999</v>
      </c>
      <c r="Z20" s="158" t="n">
        <v>10.9944</v>
      </c>
      <c r="AA20" s="158" t="n">
        <v>3.19029</v>
      </c>
      <c r="AB20" s="159" t="n">
        <v>-0.2001864049</v>
      </c>
      <c r="AC20" s="159" t="n">
        <v>-0.1626350848</v>
      </c>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c r="A21" s="83" t="inlineStr">
        <is>
          <t>2007-03</t>
        </is>
      </c>
      <c r="B21" s="155" t="n">
        <v>2202.844516</v>
      </c>
      <c r="C21" s="155" t="n">
        <v>130.28</v>
      </c>
      <c r="D21" s="155" t="n">
        <v>338.83</v>
      </c>
      <c r="E21" s="155" t="n">
        <v>3949.13</v>
      </c>
      <c r="F21" s="152" t="n">
        <v>8.048387097000001</v>
      </c>
      <c r="G21" s="152" t="n">
        <v>5.26</v>
      </c>
      <c r="H21" s="152" t="n">
        <v>2.788387097</v>
      </c>
      <c r="I21" s="156" t="n">
        <v>-1554.130205</v>
      </c>
      <c r="J21" s="152" t="n">
        <v>2.890076276</v>
      </c>
      <c r="K21" s="152" t="n">
        <v>97.01175455000001</v>
      </c>
      <c r="L21" s="152" t="n">
        <v>15.16272727</v>
      </c>
      <c r="M21" s="157" t="n">
        <v>0</v>
      </c>
      <c r="N21" s="155" t="n">
        <v>18993.18</v>
      </c>
      <c r="O21" s="152" t="n">
        <v>171.0909091</v>
      </c>
      <c r="P21" s="152" t="n">
        <v>1.710909091</v>
      </c>
      <c r="Q21" s="156" t="n">
        <v>-698.04</v>
      </c>
      <c r="R21" s="156" t="n">
        <v>1811.86</v>
      </c>
      <c r="S21" s="152" t="n">
        <v>9.910476190000001</v>
      </c>
      <c r="T21" s="152" t="n">
        <v>4.776153846</v>
      </c>
      <c r="U21" s="152" t="n">
        <v>5.134322344</v>
      </c>
      <c r="V21" s="152" t="n">
        <v>2.360368187</v>
      </c>
      <c r="W21" s="152" t="n">
        <v>2.773954158</v>
      </c>
      <c r="X21" s="158" t="n">
        <v>2.088090929</v>
      </c>
      <c r="Y21" s="158" t="n">
        <v>538.4486364000001</v>
      </c>
      <c r="Z21" s="158" t="n">
        <v>11.11627273</v>
      </c>
      <c r="AA21" s="158" t="n">
        <v>3.185577273</v>
      </c>
      <c r="AB21" s="159" t="n">
        <v>-0.08979596971000001</v>
      </c>
      <c r="AC21" s="159" t="n">
        <v>-0.09461658682</v>
      </c>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c r="A22" s="83" t="inlineStr">
        <is>
          <t>2007-04</t>
        </is>
      </c>
      <c r="B22" s="155" t="n">
        <v>2144.900667</v>
      </c>
      <c r="C22" s="155" t="n">
        <v>134.8</v>
      </c>
      <c r="D22" s="155" t="n">
        <v>317.74</v>
      </c>
      <c r="E22" s="155" t="n">
        <v>3983.61</v>
      </c>
      <c r="F22" s="152" t="n">
        <v>8.25</v>
      </c>
      <c r="G22" s="152" t="n">
        <v>5.25</v>
      </c>
      <c r="H22" s="152" t="n">
        <v>3</v>
      </c>
      <c r="I22" s="156" t="n">
        <v>-1980.651221</v>
      </c>
      <c r="J22" s="152" t="n">
        <v>2.647914181</v>
      </c>
      <c r="K22" s="152" t="n">
        <v>95.6322</v>
      </c>
      <c r="L22" s="152" t="n">
        <v>12.933</v>
      </c>
      <c r="M22" s="157" t="n">
        <v>0</v>
      </c>
      <c r="N22" s="155" t="n">
        <v>19775.82</v>
      </c>
      <c r="O22" s="152" t="n">
        <v>142.4285714</v>
      </c>
      <c r="P22" s="152" t="n">
        <v>1.424285714</v>
      </c>
      <c r="Q22" s="156" t="n">
        <v>-597.72</v>
      </c>
      <c r="R22" s="156" t="n">
        <v>1045.44</v>
      </c>
      <c r="S22" s="152" t="n">
        <v>10.14789474</v>
      </c>
      <c r="T22" s="152" t="n">
        <v>5.026923077</v>
      </c>
      <c r="U22" s="152" t="n">
        <v>5.12097166</v>
      </c>
      <c r="V22" s="152" t="n">
        <v>2.403528543</v>
      </c>
      <c r="W22" s="152" t="n">
        <v>2.717443117</v>
      </c>
      <c r="X22" s="158" t="n">
        <v>2.03090477</v>
      </c>
      <c r="Y22" s="158" t="n">
        <v>531.8847618999999</v>
      </c>
      <c r="Z22" s="158" t="n">
        <v>10.98066667</v>
      </c>
      <c r="AA22" s="158" t="n">
        <v>3.178242105</v>
      </c>
      <c r="AB22" s="159" t="n">
        <v>-0.6554819</v>
      </c>
      <c r="AC22" s="159" t="n">
        <v>-0.5355140574</v>
      </c>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c r="A23" s="83" t="inlineStr">
        <is>
          <t>2007-05</t>
        </is>
      </c>
      <c r="B23" s="155" t="n">
        <v>2009.415484</v>
      </c>
      <c r="C23" s="155" t="n">
        <v>138.75</v>
      </c>
      <c r="D23" s="155" t="n">
        <v>339.88</v>
      </c>
      <c r="E23" s="155" t="n">
        <v>3956.51</v>
      </c>
      <c r="F23" s="152" t="n">
        <v>8.572580645</v>
      </c>
      <c r="G23" s="152" t="n">
        <v>5.25</v>
      </c>
      <c r="H23" s="152" t="n">
        <v>3.322580645</v>
      </c>
      <c r="I23" s="156" t="n">
        <v>4532.533269</v>
      </c>
      <c r="J23" s="152" t="n">
        <v>2.069261745</v>
      </c>
      <c r="K23" s="152" t="n">
        <v>94.72254783</v>
      </c>
      <c r="L23" s="152" t="n">
        <v>13.29772727</v>
      </c>
      <c r="M23" s="157" t="n">
        <v>0</v>
      </c>
      <c r="N23" s="155" t="n">
        <v>20409.35</v>
      </c>
      <c r="O23" s="152" t="n">
        <v>130</v>
      </c>
      <c r="P23" s="152" t="n">
        <v>1.3</v>
      </c>
      <c r="Q23" s="156" t="n">
        <v>-656.01</v>
      </c>
      <c r="R23" s="156" t="n">
        <v>1052.75</v>
      </c>
      <c r="S23" s="152" t="n">
        <v>10.15095238</v>
      </c>
      <c r="T23" s="152" t="n">
        <v>5.073333333</v>
      </c>
      <c r="U23" s="152" t="n">
        <v>5.077619048</v>
      </c>
      <c r="V23" s="152" t="n">
        <v>2.328095447</v>
      </c>
      <c r="W23" s="152" t="n">
        <v>2.749523601</v>
      </c>
      <c r="X23" s="158" t="n">
        <v>1.983695668</v>
      </c>
      <c r="Y23" s="158" t="n">
        <v>522.1469565</v>
      </c>
      <c r="Z23" s="158" t="n">
        <v>10.82347826</v>
      </c>
      <c r="AA23" s="158" t="n">
        <v>3.167618182</v>
      </c>
      <c r="AB23" s="159" t="n">
        <v>-0.7200689434</v>
      </c>
      <c r="AC23" s="159" t="n">
        <v>-0.6049330023</v>
      </c>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c r="A24" s="83" t="inlineStr">
        <is>
          <t>2007-06</t>
        </is>
      </c>
      <c r="B24" s="155" t="n">
        <v>1923.534333</v>
      </c>
      <c r="C24" s="155" t="n">
        <v>139.13</v>
      </c>
      <c r="D24" s="155" t="n">
        <v>334.95</v>
      </c>
      <c r="E24" s="155" t="n">
        <v>3949.09</v>
      </c>
      <c r="F24" s="152" t="n">
        <v>8.85</v>
      </c>
      <c r="G24" s="152" t="n">
        <v>5.25</v>
      </c>
      <c r="H24" s="152" t="n">
        <v>3.6</v>
      </c>
      <c r="I24" s="156" t="n">
        <v>-1488.785889</v>
      </c>
      <c r="J24" s="152" t="n">
        <v>2.290703207</v>
      </c>
      <c r="K24" s="152" t="n">
        <v>94.44490952</v>
      </c>
      <c r="L24" s="152" t="n">
        <v>14.94761905</v>
      </c>
      <c r="M24" s="157" t="n">
        <v>0</v>
      </c>
      <c r="N24" s="155" t="n">
        <v>19994.41</v>
      </c>
      <c r="O24" s="152" t="n">
        <v>108.3809524</v>
      </c>
      <c r="P24" s="152" t="n">
        <v>1.083809524</v>
      </c>
      <c r="Q24" s="156" t="n">
        <v>-568.67</v>
      </c>
      <c r="R24" s="156" t="n">
        <v>-155.07</v>
      </c>
      <c r="S24" s="152" t="n">
        <v>9.940526316</v>
      </c>
      <c r="T24" s="152" t="n">
        <v>5.558333333</v>
      </c>
      <c r="U24" s="152" t="n">
        <v>4.382192982</v>
      </c>
      <c r="V24" s="152" t="n">
        <v>2.29662382</v>
      </c>
      <c r="W24" s="152" t="n">
        <v>2.085569162</v>
      </c>
      <c r="X24" s="158" t="n">
        <v>1.932857144</v>
      </c>
      <c r="Y24" s="158" t="n">
        <v>526.8028571</v>
      </c>
      <c r="Z24" s="158" t="n">
        <v>10.83852381</v>
      </c>
      <c r="AA24" s="158" t="n">
        <v>3.170315</v>
      </c>
      <c r="AB24" s="159" t="n">
        <v>-0.2115894945</v>
      </c>
      <c r="AC24" s="159" t="n">
        <v>-0.1391118828</v>
      </c>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c r="A25" s="83" t="inlineStr">
        <is>
          <t>2007-07</t>
        </is>
      </c>
      <c r="B25" s="155" t="n">
        <v>1951.843548</v>
      </c>
      <c r="C25" s="155" t="n">
        <v>140.76</v>
      </c>
      <c r="D25" s="155" t="n">
        <v>368.63</v>
      </c>
      <c r="E25" s="155" t="n">
        <v>4003.99</v>
      </c>
      <c r="F25" s="152" t="n">
        <v>9.016129032</v>
      </c>
      <c r="G25" s="152" t="n">
        <v>5.26</v>
      </c>
      <c r="H25" s="152" t="n">
        <v>3.756129032</v>
      </c>
      <c r="I25" s="156" t="n">
        <v>-1624.422056</v>
      </c>
      <c r="J25" s="152" t="n">
        <v>2.523620514</v>
      </c>
      <c r="K25" s="152" t="n">
        <v>93.20591364000001</v>
      </c>
      <c r="L25" s="152" t="n">
        <v>17.27333333</v>
      </c>
      <c r="M25" s="157" t="n">
        <v>0</v>
      </c>
      <c r="N25" s="155" t="n">
        <v>20195.71</v>
      </c>
      <c r="O25" s="152" t="n">
        <v>135.4545455</v>
      </c>
      <c r="P25" s="152" t="n">
        <v>1.354545455</v>
      </c>
      <c r="Q25" s="156" t="n">
        <v>-673.35</v>
      </c>
      <c r="R25" s="156" t="n">
        <v>661.84</v>
      </c>
      <c r="S25" s="152" t="n">
        <v>10.001</v>
      </c>
      <c r="T25" s="152" t="n">
        <v>5.778888889</v>
      </c>
      <c r="U25" s="152" t="n">
        <v>4.222111111</v>
      </c>
      <c r="V25" s="152" t="n">
        <v>2.198047638</v>
      </c>
      <c r="W25" s="152" t="n">
        <v>2.024063473</v>
      </c>
      <c r="X25" s="158" t="n">
        <v>1.883045462</v>
      </c>
      <c r="Y25" s="158" t="n">
        <v>519.6877273</v>
      </c>
      <c r="Z25" s="158" t="n">
        <v>10.80995455</v>
      </c>
      <c r="AA25" s="158" t="n">
        <v>3.160922727</v>
      </c>
      <c r="AB25" s="159" t="n">
        <v>-0.5416998111</v>
      </c>
      <c r="AC25" s="159" t="n">
        <v>-0.4634862161</v>
      </c>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c r="A26" s="83" t="inlineStr">
        <is>
          <t>2007-08</t>
        </is>
      </c>
      <c r="B26" s="155" t="n">
        <v>2056.086774</v>
      </c>
      <c r="C26" s="155" t="n">
        <v>136.63</v>
      </c>
      <c r="D26" s="155" t="n">
        <v>412.73</v>
      </c>
      <c r="E26" s="155" t="n">
        <v>4082</v>
      </c>
      <c r="F26" s="152" t="n">
        <v>9.25</v>
      </c>
      <c r="G26" s="152" t="n">
        <v>5.02</v>
      </c>
      <c r="H26" s="152" t="n">
        <v>4.23</v>
      </c>
      <c r="I26" s="156" t="n">
        <v>1151.787206</v>
      </c>
      <c r="J26" s="152" t="n">
        <v>2.40454409</v>
      </c>
      <c r="K26" s="152" t="n">
        <v>93.76029565</v>
      </c>
      <c r="L26" s="152" t="n">
        <v>25.02608696</v>
      </c>
      <c r="M26" s="157" t="n">
        <v>0</v>
      </c>
      <c r="N26" s="155" t="n">
        <v>20110.68</v>
      </c>
      <c r="O26" s="152" t="n">
        <v>186.4347826</v>
      </c>
      <c r="P26" s="152" t="n">
        <v>1.864347826</v>
      </c>
      <c r="Q26" s="156" t="n">
        <v>-578.53</v>
      </c>
      <c r="R26" s="156" t="n">
        <v>104.03</v>
      </c>
      <c r="S26" s="152" t="n">
        <v>10.44714286</v>
      </c>
      <c r="T26" s="152" t="n">
        <v>5.996153846</v>
      </c>
      <c r="U26" s="152" t="n">
        <v>4.450989011</v>
      </c>
      <c r="V26" s="152" t="n">
        <v>1.984443478</v>
      </c>
      <c r="W26" s="152" t="n">
        <v>2.466545533</v>
      </c>
      <c r="X26" s="158" t="n">
        <v>1.961565199</v>
      </c>
      <c r="Y26" s="158" t="n">
        <v>522.9391304</v>
      </c>
      <c r="Z26" s="158" t="n">
        <v>11.04708696</v>
      </c>
      <c r="AA26" s="158" t="n">
        <v>3.157472727</v>
      </c>
      <c r="AB26" s="159" t="n">
        <v>0.6060650072</v>
      </c>
      <c r="AC26" s="159" t="n">
        <v>0.4350479089</v>
      </c>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c r="A27" s="83" t="inlineStr">
        <is>
          <t>2007-09</t>
        </is>
      </c>
      <c r="B27" s="155" t="n">
        <v>2113.369667</v>
      </c>
      <c r="C27" s="155" t="n">
        <v>142.31</v>
      </c>
      <c r="D27" s="155" t="n">
        <v>400.52</v>
      </c>
      <c r="E27" s="155" t="n">
        <v>4158.4</v>
      </c>
      <c r="F27" s="152" t="n">
        <v>9.25</v>
      </c>
      <c r="G27" s="152" t="n">
        <v>4.94</v>
      </c>
      <c r="H27" s="152" t="n">
        <v>4.31</v>
      </c>
      <c r="I27" s="156" t="n">
        <v>-1130.152235</v>
      </c>
      <c r="J27" s="152" t="n">
        <v>2.644848962</v>
      </c>
      <c r="K27" s="152" t="n">
        <v>92.436595</v>
      </c>
      <c r="L27" s="152" t="n">
        <v>22.19894737</v>
      </c>
      <c r="M27" s="157" t="n">
        <v>0</v>
      </c>
      <c r="N27" s="155" t="n">
        <v>20547.95</v>
      </c>
      <c r="O27" s="152" t="n">
        <v>180.6</v>
      </c>
      <c r="P27" s="152" t="n">
        <v>1.806</v>
      </c>
      <c r="Q27" s="156" t="n">
        <v>-685.35</v>
      </c>
      <c r="R27" s="156" t="n">
        <v>890.7</v>
      </c>
      <c r="S27" s="152" t="n">
        <v>10.629</v>
      </c>
      <c r="T27" s="152" t="n">
        <v>5.976666667</v>
      </c>
      <c r="U27" s="152" t="n">
        <v>4.652333333</v>
      </c>
      <c r="V27" s="152" t="n">
        <v>1.964099991</v>
      </c>
      <c r="W27" s="152" t="n">
        <v>2.688233343</v>
      </c>
      <c r="X27" s="158" t="n">
        <v>1.902250004</v>
      </c>
      <c r="Y27" s="158" t="n">
        <v>515.917</v>
      </c>
      <c r="Z27" s="158" t="n">
        <v>11.03135</v>
      </c>
      <c r="AA27" s="158" t="n">
        <v>3.135545</v>
      </c>
      <c r="AB27" s="159" t="n">
        <v>-0.5679736805</v>
      </c>
      <c r="AC27" s="159" t="n">
        <v>-0.563683975</v>
      </c>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c r="A28" s="83" t="inlineStr">
        <is>
          <t>2007-10</t>
        </is>
      </c>
      <c r="B28" s="155" t="n">
        <v>2001.086129</v>
      </c>
      <c r="C28" s="155" t="n">
        <v>146.6</v>
      </c>
      <c r="D28" s="155" t="n">
        <v>427.78</v>
      </c>
      <c r="E28" s="155" t="n">
        <v>4254.58</v>
      </c>
      <c r="F28" s="152" t="n">
        <v>9.25</v>
      </c>
      <c r="G28" s="152" t="n">
        <v>4.76</v>
      </c>
      <c r="H28" s="152" t="n">
        <v>4.49</v>
      </c>
      <c r="I28" s="156" t="n">
        <v>-1390.805457</v>
      </c>
      <c r="J28" s="152" t="n">
        <v>2.714277456</v>
      </c>
      <c r="K28" s="152" t="n">
        <v>90.40017826</v>
      </c>
      <c r="L28" s="152" t="n">
        <v>19.11565217</v>
      </c>
      <c r="M28" s="157" t="n">
        <v>0</v>
      </c>
      <c r="N28" s="155" t="n">
        <v>20661.24</v>
      </c>
      <c r="O28" s="152" t="n">
        <v>160.6086957</v>
      </c>
      <c r="P28" s="152" t="n">
        <v>1.606086957</v>
      </c>
      <c r="Q28" s="156" t="n">
        <v>-716.0599999999999</v>
      </c>
      <c r="R28" s="156" t="n">
        <v>579.21</v>
      </c>
      <c r="S28" s="152" t="n">
        <v>10.35954545</v>
      </c>
      <c r="T28" s="152" t="n">
        <v>5.617</v>
      </c>
      <c r="U28" s="152" t="n">
        <v>4.742545455</v>
      </c>
      <c r="V28" s="152" t="n">
        <v>2.07450456</v>
      </c>
      <c r="W28" s="152" t="n">
        <v>2.668040895</v>
      </c>
      <c r="X28" s="158" t="n">
        <v>1.800999994</v>
      </c>
      <c r="Y28" s="158" t="n">
        <v>500.4286957</v>
      </c>
      <c r="Z28" s="158" t="n">
        <v>10.82617391</v>
      </c>
      <c r="AA28" s="158" t="n">
        <v>3.019427273</v>
      </c>
      <c r="AB28" s="159" t="n">
        <v>-1.20549523</v>
      </c>
      <c r="AC28" s="159" t="n">
        <v>-1.660645371</v>
      </c>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c r="A29" s="83" t="inlineStr">
        <is>
          <t>2007-11</t>
        </is>
      </c>
      <c r="B29" s="155" t="n">
        <v>2046.357</v>
      </c>
      <c r="C29" s="155" t="n">
        <v>145.74</v>
      </c>
      <c r="D29" s="155" t="n">
        <v>456.17</v>
      </c>
      <c r="E29" s="155" t="n">
        <v>4377.82</v>
      </c>
      <c r="F29" s="152" t="n">
        <v>9.291666666999999</v>
      </c>
      <c r="G29" s="152" t="n">
        <v>4.49</v>
      </c>
      <c r="H29" s="152" t="n">
        <v>4.801666667</v>
      </c>
      <c r="I29" s="156" t="n">
        <v>-1697.946855</v>
      </c>
      <c r="J29" s="152" t="n">
        <v>2.790847647</v>
      </c>
      <c r="K29" s="152" t="n">
        <v>89.05299545</v>
      </c>
      <c r="L29" s="152" t="n">
        <v>25.58238095</v>
      </c>
      <c r="M29" s="157" t="n">
        <v>0</v>
      </c>
      <c r="N29" s="155" t="n">
        <v>20882.4</v>
      </c>
      <c r="O29" s="152" t="n">
        <v>196.8636364</v>
      </c>
      <c r="P29" s="152" t="n">
        <v>1.968636364</v>
      </c>
      <c r="Q29" s="156" t="n">
        <v>-563.97</v>
      </c>
      <c r="R29" s="156" t="n">
        <v>408.26</v>
      </c>
      <c r="S29" s="152" t="n">
        <v>10.2685</v>
      </c>
      <c r="T29" s="152" t="n">
        <v>5.357142857</v>
      </c>
      <c r="U29" s="152" t="n">
        <v>4.911357143</v>
      </c>
      <c r="V29" s="152" t="n">
        <v>2.231260014</v>
      </c>
      <c r="W29" s="152" t="n">
        <v>2.680097129</v>
      </c>
      <c r="X29" s="158" t="n">
        <v>1.767590918</v>
      </c>
      <c r="Y29" s="158" t="n">
        <v>506.88</v>
      </c>
      <c r="Z29" s="158" t="n">
        <v>10.88077273</v>
      </c>
      <c r="AA29" s="158" t="n">
        <v>3.000890476</v>
      </c>
      <c r="AB29" s="159" t="n">
        <v>-0.05311277896</v>
      </c>
      <c r="AC29" s="159" t="n">
        <v>-0.1612297969</v>
      </c>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c r="A30" s="83" t="inlineStr">
        <is>
          <t>2007-12</t>
        </is>
      </c>
      <c r="B30" s="155" t="n">
        <v>2013.834516</v>
      </c>
      <c r="C30" s="155" t="n">
        <v>147.1</v>
      </c>
      <c r="D30" s="155" t="n">
        <v>427.25</v>
      </c>
      <c r="E30" s="155" t="n">
        <v>4429.73</v>
      </c>
      <c r="F30" s="152" t="n">
        <v>9.5</v>
      </c>
      <c r="G30" s="152" t="n">
        <v>4.24</v>
      </c>
      <c r="H30" s="152" t="n">
        <v>5.26</v>
      </c>
      <c r="I30" s="156" t="n">
        <v>-2177.068846</v>
      </c>
      <c r="J30" s="152" t="n">
        <v>2.710260117</v>
      </c>
      <c r="K30" s="152" t="n">
        <v>90.00495714</v>
      </c>
      <c r="L30" s="152" t="n">
        <v>21.651</v>
      </c>
      <c r="M30" s="157" t="n">
        <v>0</v>
      </c>
      <c r="N30" s="155" t="n">
        <v>20948.68</v>
      </c>
      <c r="O30" s="152" t="n">
        <v>187.7619048</v>
      </c>
      <c r="P30" s="152" t="n">
        <v>1.877619048</v>
      </c>
      <c r="Q30" s="156" t="n">
        <v>-781.75</v>
      </c>
      <c r="R30" s="156" t="n">
        <v>564.8099999999999</v>
      </c>
      <c r="S30" s="152" t="n">
        <v>10.22277778</v>
      </c>
      <c r="T30" s="152" t="n">
        <v>5.34</v>
      </c>
      <c r="U30" s="152" t="n">
        <v>4.882777778</v>
      </c>
      <c r="V30" s="152" t="n">
        <v>2.156349981</v>
      </c>
      <c r="W30" s="152" t="n">
        <v>2.726427797</v>
      </c>
      <c r="X30" s="158" t="n">
        <v>1.783350009</v>
      </c>
      <c r="Y30" s="158" t="n">
        <v>498.8742857</v>
      </c>
      <c r="Z30" s="158" t="n">
        <v>10.8462</v>
      </c>
      <c r="AA30" s="158" t="n">
        <v>2.98104</v>
      </c>
      <c r="AB30" s="159" t="n">
        <v>-0.2590944229</v>
      </c>
      <c r="AC30" s="159" t="n">
        <v>-0.3253449846</v>
      </c>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c r="A31" s="83" t="inlineStr">
        <is>
          <t>2008-01</t>
        </is>
      </c>
      <c r="B31" s="155" t="n">
        <v>1983.184194</v>
      </c>
      <c r="C31" s="155" t="n">
        <v>145.36</v>
      </c>
      <c r="D31" s="155" t="n">
        <v>380.82</v>
      </c>
      <c r="E31" s="155" t="n">
        <v>4505.27</v>
      </c>
      <c r="F31" s="152" t="n">
        <v>9.5</v>
      </c>
      <c r="G31" s="152" t="n">
        <v>3.94</v>
      </c>
      <c r="H31" s="152" t="n">
        <v>5.56</v>
      </c>
      <c r="I31" s="156" t="n">
        <v>-1131.468567</v>
      </c>
      <c r="J31" s="152" t="n">
        <v>2.465742275</v>
      </c>
      <c r="K31" s="152" t="n">
        <v>89.39711739000001</v>
      </c>
      <c r="L31" s="152" t="n">
        <v>25.81619048</v>
      </c>
      <c r="M31" s="157" t="n">
        <v>0</v>
      </c>
      <c r="N31" s="155" t="n">
        <v>21367.99</v>
      </c>
      <c r="O31" s="152" t="n">
        <v>239.5652174</v>
      </c>
      <c r="P31" s="152" t="n">
        <v>2.395652174</v>
      </c>
      <c r="Q31" s="156" t="n">
        <v>-729.85</v>
      </c>
      <c r="R31" s="156" t="n">
        <v>892.37</v>
      </c>
      <c r="S31" s="152" t="n">
        <v>10.76571429</v>
      </c>
      <c r="T31" s="152" t="n">
        <v>5.454444444</v>
      </c>
      <c r="U31" s="152" t="n">
        <v>5.311269841</v>
      </c>
      <c r="V31" s="152" t="n">
        <v>2.090871448</v>
      </c>
      <c r="W31" s="152" t="n">
        <v>3.220398394</v>
      </c>
      <c r="X31" s="158" t="n">
        <v>1.773130432</v>
      </c>
      <c r="Y31" s="158" t="n">
        <v>480.8963636</v>
      </c>
      <c r="Z31" s="158" t="n">
        <v>10.91004348</v>
      </c>
      <c r="AA31" s="158" t="n">
        <v>2.950168182</v>
      </c>
      <c r="AB31" s="159" t="n">
        <v>-0.5431162688</v>
      </c>
      <c r="AC31" s="159" t="n">
        <v>-0.6142527548</v>
      </c>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c r="A32" s="83" t="inlineStr">
        <is>
          <t>2008-02</t>
        </is>
      </c>
      <c r="B32" s="155" t="n">
        <v>1905.294138</v>
      </c>
      <c r="C32" s="155" t="n">
        <v>150.3</v>
      </c>
      <c r="D32" s="155" t="n">
        <v>357.81</v>
      </c>
      <c r="E32" s="155" t="n">
        <v>4563.11</v>
      </c>
      <c r="F32" s="152" t="n">
        <v>9.543103448</v>
      </c>
      <c r="G32" s="152" t="n">
        <v>2.98</v>
      </c>
      <c r="H32" s="152" t="n">
        <v>6.563103448</v>
      </c>
      <c r="I32" s="156" t="n">
        <v>-3897.160203</v>
      </c>
      <c r="J32" s="152" t="n">
        <v>2.599552424</v>
      </c>
      <c r="K32" s="152" t="n">
        <v>88.6434381</v>
      </c>
      <c r="L32" s="152" t="n">
        <v>25.456</v>
      </c>
      <c r="M32" s="157" t="n">
        <v>0</v>
      </c>
      <c r="N32" s="155" t="n">
        <v>21843.11</v>
      </c>
      <c r="O32" s="152" t="n">
        <v>249.6666667</v>
      </c>
      <c r="P32" s="152" t="n">
        <v>2.496666667</v>
      </c>
      <c r="Q32" s="156" t="n">
        <v>-726.6799999999999</v>
      </c>
      <c r="R32" s="156" t="n">
        <v>1007.79</v>
      </c>
      <c r="S32" s="152" t="n">
        <v>11.31</v>
      </c>
      <c r="T32" s="152" t="n">
        <v>5.615454545</v>
      </c>
      <c r="U32" s="152" t="n">
        <v>5.694545455</v>
      </c>
      <c r="V32" s="152" t="n">
        <v>2.151049995</v>
      </c>
      <c r="W32" s="152" t="n">
        <v>3.543495459</v>
      </c>
      <c r="X32" s="158" t="n">
        <v>1.731571442</v>
      </c>
      <c r="Y32" s="158" t="n">
        <v>467.2171429</v>
      </c>
      <c r="Z32" s="158" t="n">
        <v>10.76861905</v>
      </c>
      <c r="AA32" s="158" t="n">
        <v>2.905057143</v>
      </c>
      <c r="AB32" s="159" t="n">
        <v>-0.8350216922</v>
      </c>
      <c r="AC32" s="159" t="n">
        <v>-0.9337289352</v>
      </c>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83" t="inlineStr">
        <is>
          <t>2008-03</t>
        </is>
      </c>
      <c r="B33" s="155" t="n">
        <v>1843.493226</v>
      </c>
      <c r="C33" s="155" t="n">
        <v>156.16</v>
      </c>
      <c r="D33" s="155" t="n">
        <v>389.47</v>
      </c>
      <c r="E33" s="155" t="n">
        <v>4613.75</v>
      </c>
      <c r="F33" s="152" t="n">
        <v>9.75</v>
      </c>
      <c r="G33" s="152" t="n">
        <v>2.61</v>
      </c>
      <c r="H33" s="152" t="n">
        <v>7.14</v>
      </c>
      <c r="I33" s="156" t="n">
        <v>-487.437149</v>
      </c>
      <c r="J33" s="152" t="n">
        <v>2.375717758</v>
      </c>
      <c r="K33" s="152" t="n">
        <v>86.83986667000001</v>
      </c>
      <c r="L33" s="152" t="n">
        <v>27.1035</v>
      </c>
      <c r="M33" s="157" t="n">
        <v>0</v>
      </c>
      <c r="N33" s="155" t="n">
        <v>22130.06</v>
      </c>
      <c r="O33" s="152" t="n">
        <v>263.7142857</v>
      </c>
      <c r="P33" s="152" t="n">
        <v>2.637142857</v>
      </c>
      <c r="Q33" s="156" t="n">
        <v>-491.61</v>
      </c>
      <c r="R33" s="156" t="n">
        <v>626.16</v>
      </c>
      <c r="S33" s="152" t="n">
        <v>11.63055556</v>
      </c>
      <c r="T33" s="152" t="n">
        <v>5.805454545</v>
      </c>
      <c r="U33" s="152" t="n">
        <v>5.82510101</v>
      </c>
      <c r="V33" s="152" t="n">
        <v>2.209690469</v>
      </c>
      <c r="W33" s="152" t="n">
        <v>3.615410541</v>
      </c>
      <c r="X33" s="158" t="n">
        <v>1.709714282</v>
      </c>
      <c r="Y33" s="158" t="n">
        <v>442.942</v>
      </c>
      <c r="Z33" s="158" t="n">
        <v>10.7342381</v>
      </c>
      <c r="AA33" s="158" t="n">
        <v>2.810294737</v>
      </c>
      <c r="AB33" s="159" t="n">
        <v>-0.9227679546999999</v>
      </c>
      <c r="AC33" s="159" t="n">
        <v>-1.356639634</v>
      </c>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83" t="inlineStr">
        <is>
          <t>2008-04</t>
        </is>
      </c>
      <c r="B34" s="155" t="n">
        <v>1795.103</v>
      </c>
      <c r="C34" s="155" t="n">
        <v>154.39</v>
      </c>
      <c r="D34" s="155" t="n">
        <v>405.98</v>
      </c>
      <c r="E34" s="155" t="n">
        <v>4701.99</v>
      </c>
      <c r="F34" s="152" t="n">
        <v>9.75</v>
      </c>
      <c r="G34" s="152" t="n">
        <v>2.28</v>
      </c>
      <c r="H34" s="152" t="n">
        <v>7.47</v>
      </c>
      <c r="I34" s="156" t="n">
        <v>1170.9732</v>
      </c>
      <c r="J34" s="152" t="n">
        <v>1.714381493</v>
      </c>
      <c r="K34" s="152" t="n">
        <v>86.54753636</v>
      </c>
      <c r="L34" s="152" t="n">
        <v>21.56272727</v>
      </c>
      <c r="M34" s="157" t="n">
        <v>0</v>
      </c>
      <c r="N34" s="155" t="n">
        <v>22209.35</v>
      </c>
      <c r="O34" s="152" t="n">
        <v>215.7727273</v>
      </c>
      <c r="P34" s="152" t="n">
        <v>2.157727273</v>
      </c>
      <c r="Q34" s="156" t="n">
        <v>-656.4400000000001</v>
      </c>
      <c r="R34" s="156" t="n">
        <v>734.35</v>
      </c>
      <c r="S34" s="152" t="n">
        <v>11.28681818</v>
      </c>
      <c r="T34" s="152" t="n">
        <v>6.137142857</v>
      </c>
      <c r="U34" s="152" t="n">
        <v>5.149675325</v>
      </c>
      <c r="V34" s="152" t="n">
        <v>2.186009082</v>
      </c>
      <c r="W34" s="152" t="n">
        <v>2.963666243</v>
      </c>
      <c r="X34" s="158" t="n">
        <v>1.686500002</v>
      </c>
      <c r="Y34" s="158" t="n">
        <v>446.4336364</v>
      </c>
      <c r="Z34" s="158" t="n">
        <v>10.51513636</v>
      </c>
      <c r="AA34" s="158" t="n">
        <v>2.747650113</v>
      </c>
      <c r="AB34" s="159" t="n">
        <v>-0.3761245279</v>
      </c>
      <c r="AC34" s="159" t="n">
        <v>-0.7330476342</v>
      </c>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83" t="inlineStr">
        <is>
          <t>2008-05</t>
        </is>
      </c>
      <c r="B35" s="155" t="n">
        <v>1775.156129</v>
      </c>
      <c r="C35" s="155" t="n">
        <v>159.88</v>
      </c>
      <c r="D35" s="155" t="n">
        <v>405.55</v>
      </c>
      <c r="E35" s="155" t="n">
        <v>4767.66</v>
      </c>
      <c r="F35" s="152" t="n">
        <v>9.75</v>
      </c>
      <c r="G35" s="152" t="n">
        <v>1.98</v>
      </c>
      <c r="H35" s="152" t="n">
        <v>7.77</v>
      </c>
      <c r="I35" s="156" t="n">
        <v>2254.996348</v>
      </c>
      <c r="J35" s="152" t="n">
        <v>2.192299404</v>
      </c>
      <c r="K35" s="152" t="n">
        <v>86.82446364</v>
      </c>
      <c r="L35" s="152" t="n">
        <v>18.30333333</v>
      </c>
      <c r="M35" s="157" t="n">
        <v>0</v>
      </c>
      <c r="N35" s="155" t="n">
        <v>22377.81</v>
      </c>
      <c r="O35" s="152" t="n">
        <v>179.0454545</v>
      </c>
      <c r="P35" s="152" t="n">
        <v>1.790454545</v>
      </c>
      <c r="Q35" s="156" t="n">
        <v>-616.8099999999999</v>
      </c>
      <c r="R35" s="156" t="n">
        <v>481.67</v>
      </c>
      <c r="S35" s="152" t="n">
        <v>11.35</v>
      </c>
      <c r="T35" s="152" t="n">
        <v>5.781818182</v>
      </c>
      <c r="U35" s="152" t="n">
        <v>5.568181818</v>
      </c>
      <c r="V35" s="152" t="n">
        <v>2.369638114</v>
      </c>
      <c r="W35" s="152" t="n">
        <v>3.198543704</v>
      </c>
      <c r="X35" s="158" t="n">
        <v>1.659409084</v>
      </c>
      <c r="Y35" s="158" t="n">
        <v>470.1</v>
      </c>
      <c r="Z35" s="158" t="n">
        <v>10.44022727</v>
      </c>
      <c r="AA35" s="158" t="n">
        <v>2.8045</v>
      </c>
      <c r="AB35" s="159" t="n">
        <v>0.3089908804</v>
      </c>
      <c r="AC35" s="159" t="n">
        <v>0.6461093397</v>
      </c>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83" t="inlineStr">
        <is>
          <t>2008-06</t>
        </is>
      </c>
      <c r="B36" s="155" t="n">
        <v>1732.286333</v>
      </c>
      <c r="C36" s="155" t="n">
        <v>162.14</v>
      </c>
      <c r="D36" s="155" t="n">
        <v>362.75</v>
      </c>
      <c r="E36" s="155" t="n">
        <v>4795.46</v>
      </c>
      <c r="F36" s="152" t="n">
        <v>9.75</v>
      </c>
      <c r="G36" s="152" t="n">
        <v>2</v>
      </c>
      <c r="H36" s="152" t="n">
        <v>7.75</v>
      </c>
      <c r="I36" s="156" t="n">
        <v>1772.505974</v>
      </c>
      <c r="J36" s="152" t="n">
        <v>1.507950545</v>
      </c>
      <c r="K36" s="152" t="n">
        <v>87.07280476</v>
      </c>
      <c r="L36" s="152" t="n">
        <v>22.11047619</v>
      </c>
      <c r="M36" s="157" t="n">
        <v>0</v>
      </c>
      <c r="N36" s="155" t="n">
        <v>22847.51</v>
      </c>
      <c r="O36" s="152" t="n">
        <v>180.6190476</v>
      </c>
      <c r="P36" s="152" t="n">
        <v>1.806190476</v>
      </c>
      <c r="Q36" s="156" t="n">
        <v>-712.03</v>
      </c>
      <c r="R36" s="156" t="n">
        <v>1179.02</v>
      </c>
      <c r="S36" s="152" t="n">
        <v>12.18894737</v>
      </c>
      <c r="T36" s="152" t="n">
        <v>5.945333333</v>
      </c>
      <c r="U36" s="152" t="n">
        <v>6.243614035</v>
      </c>
      <c r="V36" s="152" t="n">
        <v>2.493171465</v>
      </c>
      <c r="W36" s="152" t="n">
        <v>3.75044257</v>
      </c>
      <c r="X36" s="158" t="n">
        <v>1.618904761</v>
      </c>
      <c r="Y36" s="158" t="n">
        <v>497.0119048</v>
      </c>
      <c r="Z36" s="158" t="n">
        <v>10.32814286</v>
      </c>
      <c r="AA36" s="158" t="n">
        <v>2.89227619</v>
      </c>
      <c r="AB36" s="159" t="n">
        <v>0.2380224945</v>
      </c>
      <c r="AC36" s="159" t="n">
        <v>0.8008393393</v>
      </c>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c r="A37" s="83" t="inlineStr">
        <is>
          <t>2008-07</t>
        </is>
      </c>
      <c r="B37" s="155" t="n">
        <v>1781.045161</v>
      </c>
      <c r="C37" s="155" t="n">
        <v>159.92</v>
      </c>
      <c r="D37" s="155" t="n">
        <v>465.82</v>
      </c>
      <c r="E37" s="155" t="n">
        <v>4892.65</v>
      </c>
      <c r="F37" s="152" t="n">
        <v>9.782258065000001</v>
      </c>
      <c r="G37" s="152" t="n">
        <v>2.01</v>
      </c>
      <c r="H37" s="152" t="n">
        <v>7.772258065</v>
      </c>
      <c r="I37" s="156" t="n">
        <v>-1018.414518</v>
      </c>
      <c r="J37" s="152" t="n">
        <v>1.38078604</v>
      </c>
      <c r="K37" s="152" t="n">
        <v>86.45375652</v>
      </c>
      <c r="L37" s="152" t="n">
        <v>24.32181818</v>
      </c>
      <c r="M37" s="157" t="n">
        <v>0</v>
      </c>
      <c r="N37" s="155" t="n">
        <v>23345.58</v>
      </c>
      <c r="O37" s="152" t="n">
        <v>217.5217391</v>
      </c>
      <c r="P37" s="152" t="n">
        <v>2.175217391</v>
      </c>
      <c r="Q37" s="156" t="n">
        <v>-764.6799999999999</v>
      </c>
      <c r="R37" s="156" t="n">
        <v>998.73</v>
      </c>
      <c r="S37" s="152" t="n">
        <v>13.07869565</v>
      </c>
      <c r="T37" s="152" t="n">
        <v>6.157857143</v>
      </c>
      <c r="U37" s="152" t="n">
        <v>6.920838509</v>
      </c>
      <c r="V37" s="152" t="n">
        <v>2.420181805</v>
      </c>
      <c r="W37" s="152" t="n">
        <v>4.500656704</v>
      </c>
      <c r="X37" s="158" t="n">
        <v>1.591434769</v>
      </c>
      <c r="Y37" s="158" t="n">
        <v>499.8806522</v>
      </c>
      <c r="Z37" s="158" t="n">
        <v>10.21717391</v>
      </c>
      <c r="AA37" s="158" t="n">
        <v>2.84752381</v>
      </c>
      <c r="AB37" s="159" t="n">
        <v>-0.3160464393</v>
      </c>
      <c r="AC37" s="159" t="n">
        <v>-0.5482165141999999</v>
      </c>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c r="A38" s="83" t="inlineStr">
        <is>
          <t>2008-08</t>
        </is>
      </c>
      <c r="B38" s="155" t="n">
        <v>1847.477419</v>
      </c>
      <c r="C38" s="155" t="n">
        <v>147.49</v>
      </c>
      <c r="D38" s="155" t="n">
        <v>369.55</v>
      </c>
      <c r="E38" s="155" t="n">
        <v>4849.47</v>
      </c>
      <c r="F38" s="152" t="n">
        <v>10</v>
      </c>
      <c r="G38" s="152" t="n">
        <v>2</v>
      </c>
      <c r="H38" s="152" t="n">
        <v>8</v>
      </c>
      <c r="I38" s="156" t="n">
        <v>-1108.479733</v>
      </c>
      <c r="J38" s="152" t="n">
        <v>1.855080021</v>
      </c>
      <c r="K38" s="152" t="n">
        <v>88.94499524</v>
      </c>
      <c r="L38" s="152" t="n">
        <v>20.69571429</v>
      </c>
      <c r="M38" s="157" t="n">
        <v>0</v>
      </c>
      <c r="N38" s="155" t="n">
        <v>23638.88</v>
      </c>
      <c r="O38" s="152" t="n">
        <v>221.952381</v>
      </c>
      <c r="P38" s="152" t="n">
        <v>2.21952381</v>
      </c>
      <c r="Q38" s="156" t="n">
        <v>-735.95</v>
      </c>
      <c r="R38" s="156" t="n">
        <v>695.09</v>
      </c>
      <c r="S38" s="152" t="n">
        <v>12.01526316</v>
      </c>
      <c r="T38" s="152" t="n">
        <v>5.994545455</v>
      </c>
      <c r="U38" s="152" t="n">
        <v>6.020717703</v>
      </c>
      <c r="V38" s="152" t="n">
        <v>1.932185724</v>
      </c>
      <c r="W38" s="152" t="n">
        <v>4.08853198</v>
      </c>
      <c r="X38" s="158" t="n">
        <v>1.612666664</v>
      </c>
      <c r="Y38" s="158" t="n">
        <v>516.51</v>
      </c>
      <c r="Z38" s="158" t="n">
        <v>10.10866667</v>
      </c>
      <c r="AA38" s="158" t="n">
        <v>2.893338095</v>
      </c>
      <c r="AB38" s="159" t="n">
        <v>0.2982139333</v>
      </c>
      <c r="AC38" s="159" t="n">
        <v>0.5471528608</v>
      </c>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83" t="inlineStr">
        <is>
          <t>2008-09</t>
        </is>
      </c>
      <c r="B39" s="155" t="n">
        <v>2066.187</v>
      </c>
      <c r="C39" s="155" t="n">
        <v>144.57</v>
      </c>
      <c r="D39" s="155" t="n">
        <v>476.54</v>
      </c>
      <c r="E39" s="155" t="n">
        <v>4925.49</v>
      </c>
      <c r="F39" s="152" t="n">
        <v>10</v>
      </c>
      <c r="G39" s="152" t="n">
        <v>1.81</v>
      </c>
      <c r="H39" s="152" t="n">
        <v>8.19</v>
      </c>
      <c r="I39" s="156" t="n">
        <v>-692.0362976</v>
      </c>
      <c r="J39" s="152" t="n">
        <v>1.763145856</v>
      </c>
      <c r="K39" s="152" t="n">
        <v>91.26510909</v>
      </c>
      <c r="L39" s="152" t="n">
        <v>30.23857143</v>
      </c>
      <c r="M39" s="157" t="n">
        <v>0</v>
      </c>
      <c r="N39" s="155" t="n">
        <v>24082.29</v>
      </c>
      <c r="O39" s="152" t="n">
        <v>270.4545455</v>
      </c>
      <c r="P39" s="152" t="n">
        <v>2.704545455</v>
      </c>
      <c r="Q39" s="156" t="n">
        <v>-713.33</v>
      </c>
      <c r="R39" s="156" t="n">
        <v>812.95</v>
      </c>
      <c r="S39" s="152" t="n">
        <v>11.93681818</v>
      </c>
      <c r="T39" s="152" t="n">
        <v>6.006428571</v>
      </c>
      <c r="U39" s="152" t="n">
        <v>5.93038961</v>
      </c>
      <c r="V39" s="152" t="n">
        <v>1.333100007</v>
      </c>
      <c r="W39" s="152" t="n">
        <v>4.597289604</v>
      </c>
      <c r="X39" s="158" t="n">
        <v>1.794590907</v>
      </c>
      <c r="Y39" s="158" t="n">
        <v>533.3625</v>
      </c>
      <c r="Z39" s="158" t="n">
        <v>10.64740909</v>
      </c>
      <c r="AA39" s="158" t="n">
        <v>2.966263636</v>
      </c>
      <c r="AB39" s="159" t="n">
        <v>1.891190367</v>
      </c>
      <c r="AC39" s="159" t="n">
        <v>1.921518671</v>
      </c>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83" t="inlineStr">
        <is>
          <t>2008-10</t>
        </is>
      </c>
      <c r="B40" s="155" t="n">
        <v>2288.858065</v>
      </c>
      <c r="C40" s="155" t="n">
        <v>132.19</v>
      </c>
      <c r="D40" s="155" t="n">
        <v>421.17</v>
      </c>
      <c r="E40" s="155" t="n">
        <v>4918.88</v>
      </c>
      <c r="F40" s="152" t="n">
        <v>10</v>
      </c>
      <c r="G40" s="152" t="n">
        <v>0.97</v>
      </c>
      <c r="H40" s="152" t="n">
        <v>9.029999999999999</v>
      </c>
      <c r="I40" s="156" t="n">
        <v>-1086.107683</v>
      </c>
      <c r="J40" s="152" t="n">
        <v>1.699208134</v>
      </c>
      <c r="K40" s="152" t="n">
        <v>98.04000000000001</v>
      </c>
      <c r="L40" s="152" t="n">
        <v>61.1773913</v>
      </c>
      <c r="M40" s="157" t="n">
        <v>0</v>
      </c>
      <c r="N40" s="155" t="n">
        <v>23407.49</v>
      </c>
      <c r="O40" s="152" t="n">
        <v>534.3478261</v>
      </c>
      <c r="P40" s="152" t="n">
        <v>5.343478261</v>
      </c>
      <c r="Q40" s="156" t="n">
        <v>-644.2</v>
      </c>
      <c r="R40" s="156" t="n">
        <v>-219.71</v>
      </c>
      <c r="S40" s="152" t="n">
        <v>12.65863636</v>
      </c>
      <c r="T40" s="152" t="n">
        <v>6.652</v>
      </c>
      <c r="U40" s="152" t="n">
        <v>6.006636364</v>
      </c>
      <c r="V40" s="152" t="n">
        <v>0.0598090904</v>
      </c>
      <c r="W40" s="152" t="n">
        <v>5.946827273</v>
      </c>
      <c r="X40" s="158" t="n">
        <v>2.176434776</v>
      </c>
      <c r="Y40" s="158" t="n">
        <v>627.3641304</v>
      </c>
      <c r="Z40" s="158" t="n">
        <v>12.64386957</v>
      </c>
      <c r="AA40" s="158" t="n">
        <v>3.073586364</v>
      </c>
      <c r="AB40" s="159" t="n">
        <v>5.734449444</v>
      </c>
      <c r="AC40" s="159" t="n">
        <v>5.01816254</v>
      </c>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83" t="inlineStr">
        <is>
          <t>2008-11</t>
        </is>
      </c>
      <c r="B41" s="155" t="n">
        <v>2333.660333</v>
      </c>
      <c r="C41" s="155" t="n">
        <v>117.74</v>
      </c>
      <c r="D41" s="155" t="n">
        <v>317.42</v>
      </c>
      <c r="E41" s="155" t="n">
        <v>4780.13</v>
      </c>
      <c r="F41" s="152" t="n">
        <v>10</v>
      </c>
      <c r="G41" s="152" t="n">
        <v>0.39</v>
      </c>
      <c r="H41" s="152" t="n">
        <v>9.609999999999999</v>
      </c>
      <c r="I41" s="156" t="n">
        <v>-4714.333891</v>
      </c>
      <c r="J41" s="152" t="n">
        <v>2.332166211</v>
      </c>
      <c r="K41" s="152" t="n">
        <v>100.76666</v>
      </c>
      <c r="L41" s="152" t="n">
        <v>62.66894737</v>
      </c>
      <c r="M41" s="157" t="n">
        <v>0</v>
      </c>
      <c r="N41" s="155" t="n">
        <v>23604.5</v>
      </c>
      <c r="O41" s="152" t="n">
        <v>549.6</v>
      </c>
      <c r="P41" s="152" t="n">
        <v>5.496</v>
      </c>
      <c r="Q41" s="156" t="n">
        <v>-663.52</v>
      </c>
      <c r="R41" s="156" t="n">
        <v>550.88</v>
      </c>
      <c r="S41" s="152" t="n">
        <v>12.2775</v>
      </c>
      <c r="T41" s="152" t="n">
        <v>6.116363636</v>
      </c>
      <c r="U41" s="152" t="n">
        <v>6.161136364</v>
      </c>
      <c r="V41" s="152" t="n">
        <v>-1.110811108</v>
      </c>
      <c r="W41" s="152" t="n">
        <v>7.271947471</v>
      </c>
      <c r="X41" s="158" t="n">
        <v>2.267949998</v>
      </c>
      <c r="Y41" s="158" t="n">
        <v>650.734</v>
      </c>
      <c r="Z41" s="158" t="n">
        <v>13.1082</v>
      </c>
      <c r="AA41" s="158" t="n">
        <v>3.092088889</v>
      </c>
      <c r="AB41" s="159" t="n">
        <v>1.159772216</v>
      </c>
      <c r="AC41" s="159" t="n">
        <v>0.9930082398</v>
      </c>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83" t="inlineStr">
        <is>
          <t>2008-12</t>
        </is>
      </c>
      <c r="B42" s="155" t="n">
        <v>2251.510323</v>
      </c>
      <c r="C42" s="155" t="n">
        <v>127.1</v>
      </c>
      <c r="D42" s="155" t="n">
        <v>432.04</v>
      </c>
      <c r="E42" s="155" t="n">
        <v>4784.92</v>
      </c>
      <c r="F42" s="152" t="n">
        <v>9.838709677000001</v>
      </c>
      <c r="G42" s="152" t="n">
        <v>0.16</v>
      </c>
      <c r="H42" s="152" t="n">
        <v>9.678709677000001</v>
      </c>
      <c r="I42" s="156" t="n">
        <v>-2130.803741</v>
      </c>
      <c r="J42" s="152" t="n">
        <v>2.32245795</v>
      </c>
      <c r="K42" s="152" t="n">
        <v>99.66224783</v>
      </c>
      <c r="L42" s="152" t="n">
        <v>52.405</v>
      </c>
      <c r="M42" s="157" t="n">
        <v>0</v>
      </c>
      <c r="N42" s="155" t="n">
        <v>24029.69</v>
      </c>
      <c r="O42" s="152" t="n">
        <v>536.2608696</v>
      </c>
      <c r="P42" s="152" t="n">
        <v>5.362608696</v>
      </c>
      <c r="Q42" s="156" t="n">
        <v>-907.6900000000001</v>
      </c>
      <c r="R42" s="156" t="n">
        <v>911.98</v>
      </c>
      <c r="S42" s="152" t="n">
        <v>10.842</v>
      </c>
      <c r="T42" s="152" t="n">
        <v>5.477272727</v>
      </c>
      <c r="U42" s="152" t="n">
        <v>5.364727273</v>
      </c>
      <c r="V42" s="152" t="n">
        <v>-1.385790901</v>
      </c>
      <c r="W42" s="152" t="n">
        <v>6.750518173</v>
      </c>
      <c r="X42" s="158" t="n">
        <v>2.398400009</v>
      </c>
      <c r="Y42" s="158" t="n">
        <v>650.0565</v>
      </c>
      <c r="Z42" s="158" t="n">
        <v>13.4171</v>
      </c>
      <c r="AA42" s="158" t="n">
        <v>3.11397</v>
      </c>
      <c r="AB42" s="159" t="n">
        <v>0.6713216209</v>
      </c>
      <c r="AC42" s="159" t="n">
        <v>0.6477842907</v>
      </c>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83" t="inlineStr">
        <is>
          <t>2009-01</t>
        </is>
      </c>
      <c r="B43" s="155" t="n">
        <v>2253.506129</v>
      </c>
      <c r="C43" s="155" t="n">
        <v>114.11</v>
      </c>
      <c r="D43" s="155" t="n">
        <v>319.24</v>
      </c>
      <c r="E43" s="155" t="n">
        <v>4723.34</v>
      </c>
      <c r="F43" s="152" t="n">
        <v>9.5</v>
      </c>
      <c r="G43" s="152" t="n">
        <v>0.15</v>
      </c>
      <c r="H43" s="152" t="n">
        <v>9.35</v>
      </c>
      <c r="I43" s="156" t="n">
        <v>1131.622516</v>
      </c>
      <c r="J43" s="152" t="n">
        <v>1.755409008</v>
      </c>
      <c r="K43" s="152" t="n">
        <v>100.3520842</v>
      </c>
      <c r="L43" s="152" t="n">
        <v>44.683</v>
      </c>
      <c r="M43" s="157" t="n">
        <v>0</v>
      </c>
      <c r="N43" s="155" t="n">
        <v>23621.15</v>
      </c>
      <c r="O43" s="152" t="n">
        <v>502.9545455</v>
      </c>
      <c r="P43" s="152" t="n">
        <v>5.029545455</v>
      </c>
      <c r="Q43" s="156" t="n">
        <v>-495.03</v>
      </c>
      <c r="R43" s="156" t="n">
        <v>-95.91</v>
      </c>
      <c r="S43" s="152" t="n">
        <v>9.871499999999999</v>
      </c>
      <c r="T43" s="152" t="n">
        <v>4.736666667</v>
      </c>
      <c r="U43" s="152" t="n">
        <v>5.134833333</v>
      </c>
      <c r="V43" s="152" t="n">
        <v>-0.5874400007</v>
      </c>
      <c r="W43" s="152" t="n">
        <v>5.722273334</v>
      </c>
      <c r="X43" s="158" t="n">
        <v>2.314149988</v>
      </c>
      <c r="Y43" s="158" t="n">
        <v>621.865</v>
      </c>
      <c r="Z43" s="158" t="n">
        <v>13.91065</v>
      </c>
      <c r="AA43" s="158" t="n">
        <v>3.151542105</v>
      </c>
      <c r="AB43" s="159" t="n">
        <v>-0.5491106589</v>
      </c>
      <c r="AC43" s="159" t="n">
        <v>-0.168142793</v>
      </c>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83" t="inlineStr">
        <is>
          <t>2009-02</t>
        </is>
      </c>
      <c r="B44" s="155" t="n">
        <v>2512.344286</v>
      </c>
      <c r="C44" s="155" t="n">
        <v>114.79</v>
      </c>
      <c r="D44" s="155" t="n">
        <v>374.71</v>
      </c>
      <c r="E44" s="155" t="n">
        <v>4740.24</v>
      </c>
      <c r="F44" s="152" t="n">
        <v>9.017857143000001</v>
      </c>
      <c r="G44" s="152" t="n">
        <v>0.22</v>
      </c>
      <c r="H44" s="152" t="n">
        <v>8.797857143</v>
      </c>
      <c r="I44" s="156" t="n">
        <v>-3211.483497</v>
      </c>
      <c r="J44" s="152" t="n">
        <v>1.618704014</v>
      </c>
      <c r="K44" s="152" t="n">
        <v>102.9737263</v>
      </c>
      <c r="L44" s="152" t="n">
        <v>45.57052632</v>
      </c>
      <c r="M44" s="157" t="n">
        <v>0</v>
      </c>
      <c r="N44" s="155" t="n">
        <v>23341.55</v>
      </c>
      <c r="O44" s="152" t="n">
        <v>477.75</v>
      </c>
      <c r="P44" s="152" t="n">
        <v>4.7775</v>
      </c>
      <c r="Q44" s="156" t="n">
        <v>-616.8</v>
      </c>
      <c r="R44" s="156" t="n">
        <v>1.28</v>
      </c>
      <c r="S44" s="152" t="n">
        <v>9.644444443999999</v>
      </c>
      <c r="T44" s="152" t="n">
        <v>4.836666667</v>
      </c>
      <c r="U44" s="152" t="n">
        <v>4.807777778</v>
      </c>
      <c r="V44" s="152" t="n">
        <v>0.2000052623</v>
      </c>
      <c r="W44" s="152" t="n">
        <v>4.607772515</v>
      </c>
      <c r="X44" s="158" t="n">
        <v>2.320700002</v>
      </c>
      <c r="Y44" s="158" t="n">
        <v>605.1975</v>
      </c>
      <c r="Z44" s="158" t="n">
        <v>14.6087</v>
      </c>
      <c r="AA44" s="158" t="n">
        <v>3.236695</v>
      </c>
      <c r="AB44" s="159" t="n">
        <v>0.1696952617</v>
      </c>
      <c r="AC44" s="159" t="n">
        <v>0.6659698589</v>
      </c>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83" t="inlineStr">
        <is>
          <t>2009-03</t>
        </is>
      </c>
      <c r="B45" s="155" t="n">
        <v>2469.634839</v>
      </c>
      <c r="C45" s="155" t="n">
        <v>129.27</v>
      </c>
      <c r="D45" s="155" t="n">
        <v>385.91</v>
      </c>
      <c r="E45" s="155" t="n">
        <v>4736.68</v>
      </c>
      <c r="F45" s="152" t="n">
        <v>7.774193548</v>
      </c>
      <c r="G45" s="152" t="n">
        <v>0.18</v>
      </c>
      <c r="H45" s="152" t="n">
        <v>7.594193548</v>
      </c>
      <c r="I45" s="156" t="n">
        <v>-1171.186926</v>
      </c>
      <c r="J45" s="152" t="n">
        <v>1.755024832</v>
      </c>
      <c r="K45" s="152" t="n">
        <v>103.4397455</v>
      </c>
      <c r="L45" s="152" t="n">
        <v>44.79545455</v>
      </c>
      <c r="M45" s="157" t="n">
        <v>0</v>
      </c>
      <c r="N45" s="155" t="n">
        <v>23840.96</v>
      </c>
      <c r="O45" s="152" t="n">
        <v>483.4090909</v>
      </c>
      <c r="P45" s="152" t="n">
        <v>4.834090909</v>
      </c>
      <c r="Q45" s="156" t="n">
        <v>-536.61</v>
      </c>
      <c r="R45" s="156" t="n">
        <v>808.55</v>
      </c>
      <c r="S45" s="152" t="n">
        <v>9.003333333</v>
      </c>
      <c r="T45" s="152" t="n">
        <v>4.991538462</v>
      </c>
      <c r="U45" s="152" t="n">
        <v>4.011794872</v>
      </c>
      <c r="V45" s="152" t="n">
        <v>0.2514045435</v>
      </c>
      <c r="W45" s="152" t="n">
        <v>3.760390328</v>
      </c>
      <c r="X45" s="158" t="n">
        <v>2.314863628</v>
      </c>
      <c r="Y45" s="158" t="n">
        <v>592.2181818</v>
      </c>
      <c r="Z45" s="158" t="n">
        <v>14.641</v>
      </c>
      <c r="AA45" s="158" t="n">
        <v>3.174786364</v>
      </c>
      <c r="AB45" s="159" t="n">
        <v>-0.3700534773</v>
      </c>
      <c r="AC45" s="159" t="n">
        <v>-0.6635102659</v>
      </c>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83" t="inlineStr">
        <is>
          <t>2009-04</t>
        </is>
      </c>
      <c r="B46" s="155" t="n">
        <v>2374.607667</v>
      </c>
      <c r="C46" s="155" t="n">
        <v>127.57</v>
      </c>
      <c r="D46" s="155" t="n">
        <v>340.08</v>
      </c>
      <c r="E46" s="155" t="n">
        <v>4670.78</v>
      </c>
      <c r="F46" s="152" t="n">
        <v>7</v>
      </c>
      <c r="G46" s="152" t="n">
        <v>0.15</v>
      </c>
      <c r="H46" s="152" t="n">
        <v>6.85</v>
      </c>
      <c r="I46" s="156" t="n">
        <v>2912.885466</v>
      </c>
      <c r="J46" s="152" t="n">
        <v>1.407735645</v>
      </c>
      <c r="K46" s="152" t="n">
        <v>100.7161864</v>
      </c>
      <c r="L46" s="152" t="n">
        <v>38.06380952</v>
      </c>
      <c r="M46" s="157" t="n">
        <v>0</v>
      </c>
      <c r="N46" s="155" t="n">
        <v>23413.66</v>
      </c>
      <c r="O46" s="152" t="n">
        <v>417.5454545</v>
      </c>
      <c r="P46" s="152" t="n">
        <v>4.175454545</v>
      </c>
      <c r="Q46" s="156" t="n">
        <v>-702.1</v>
      </c>
      <c r="R46" s="156" t="n">
        <v>387.22</v>
      </c>
      <c r="S46" s="152" t="n">
        <v>8.4125</v>
      </c>
      <c r="T46" s="152" t="n">
        <v>4.679333333</v>
      </c>
      <c r="U46" s="152" t="n">
        <v>3.733166667</v>
      </c>
      <c r="V46" s="152" t="n">
        <v>0.6342142849</v>
      </c>
      <c r="W46" s="152" t="n">
        <v>3.098952382</v>
      </c>
      <c r="X46" s="158" t="n">
        <v>2.202636361</v>
      </c>
      <c r="Y46" s="158" t="n">
        <v>582.4590909</v>
      </c>
      <c r="Z46" s="158" t="n">
        <v>13.409</v>
      </c>
      <c r="AA46" s="158" t="n">
        <v>3.084215</v>
      </c>
      <c r="AB46" s="159" t="n">
        <v>-1.814431296</v>
      </c>
      <c r="AC46" s="159" t="n">
        <v>-1.940499072</v>
      </c>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83" t="inlineStr">
        <is>
          <t>2009-05</t>
        </is>
      </c>
      <c r="B47" s="155" t="n">
        <v>2227.317742</v>
      </c>
      <c r="C47" s="155" t="n">
        <v>139.83</v>
      </c>
      <c r="D47" s="155" t="n">
        <v>341.62</v>
      </c>
      <c r="E47" s="155" t="n">
        <v>4606.85</v>
      </c>
      <c r="F47" s="152" t="n">
        <v>6.096774194</v>
      </c>
      <c r="G47" s="152" t="n">
        <v>0.18</v>
      </c>
      <c r="H47" s="152" t="n">
        <v>5.916774194</v>
      </c>
      <c r="I47" s="156" t="n">
        <v>-1876.659441</v>
      </c>
      <c r="J47" s="152" t="n">
        <v>2.231473675</v>
      </c>
      <c r="K47" s="152" t="n">
        <v>97.55188</v>
      </c>
      <c r="L47" s="152" t="n">
        <v>31.978</v>
      </c>
      <c r="M47" s="157" t="n">
        <v>0</v>
      </c>
      <c r="N47" s="155" t="n">
        <v>23584.69</v>
      </c>
      <c r="O47" s="152" t="n">
        <v>322.4761905</v>
      </c>
      <c r="P47" s="152" t="n">
        <v>3.224761905</v>
      </c>
      <c r="Q47" s="156" t="n">
        <v>-499.12</v>
      </c>
      <c r="R47" s="156" t="n">
        <v>619.6799999999999</v>
      </c>
      <c r="S47" s="152" t="n">
        <v>7.94</v>
      </c>
      <c r="T47" s="152" t="n">
        <v>4.489411765</v>
      </c>
      <c r="U47" s="152" t="n">
        <v>3.450588235</v>
      </c>
      <c r="V47" s="152" t="n">
        <v>0.8413999975000001</v>
      </c>
      <c r="W47" s="152" t="n">
        <v>2.609188238</v>
      </c>
      <c r="X47" s="158" t="n">
        <v>2.066761902</v>
      </c>
      <c r="Y47" s="158" t="n">
        <v>565.3952381</v>
      </c>
      <c r="Z47" s="158" t="n">
        <v>13.18757143</v>
      </c>
      <c r="AA47" s="158" t="n">
        <v>2.99438</v>
      </c>
      <c r="AB47" s="159" t="n">
        <v>-1.252373374</v>
      </c>
      <c r="AC47" s="159" t="n">
        <v>-1.531361328</v>
      </c>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83" t="inlineStr">
        <is>
          <t>2009-06</t>
        </is>
      </c>
      <c r="B48" s="155" t="n">
        <v>2089.460333</v>
      </c>
      <c r="C48" s="155" t="n">
        <v>146.13</v>
      </c>
      <c r="D48" s="155" t="n">
        <v>313.08</v>
      </c>
      <c r="E48" s="155" t="n">
        <v>4557.18</v>
      </c>
      <c r="F48" s="152" t="n">
        <v>4.866666667</v>
      </c>
      <c r="G48" s="152" t="n">
        <v>0.21</v>
      </c>
      <c r="H48" s="152" t="n">
        <v>4.656666667</v>
      </c>
      <c r="I48" s="156" t="n">
        <v>-2008.01347</v>
      </c>
      <c r="J48" s="152" t="n">
        <v>2.985204818</v>
      </c>
      <c r="K48" s="152" t="n">
        <v>96.04261818000001</v>
      </c>
      <c r="L48" s="152" t="n">
        <v>29.14045455</v>
      </c>
      <c r="M48" s="157" t="n">
        <v>0</v>
      </c>
      <c r="N48" s="155" t="n">
        <v>23723.36</v>
      </c>
      <c r="O48" s="152" t="n">
        <v>297.5454545</v>
      </c>
      <c r="P48" s="152" t="n">
        <v>2.975454545</v>
      </c>
      <c r="Q48" s="156" t="n">
        <v>-510.76</v>
      </c>
      <c r="R48" s="156" t="n">
        <v>679.65</v>
      </c>
      <c r="S48" s="152" t="n">
        <v>8.901176470999999</v>
      </c>
      <c r="T48" s="152" t="n">
        <v>4.832666667</v>
      </c>
      <c r="U48" s="152" t="n">
        <v>4.068509804</v>
      </c>
      <c r="V48" s="152" t="n">
        <v>1.306950006</v>
      </c>
      <c r="W48" s="152" t="n">
        <v>2.761559798</v>
      </c>
      <c r="X48" s="158" t="n">
        <v>1.958118184</v>
      </c>
      <c r="Y48" s="158" t="n">
        <v>550.3431818</v>
      </c>
      <c r="Z48" s="158" t="n">
        <v>13.33204545</v>
      </c>
      <c r="AA48" s="158" t="n">
        <v>2.990747619</v>
      </c>
      <c r="AB48" s="159" t="n">
        <v>-0.800337655</v>
      </c>
      <c r="AC48" s="159" t="n">
        <v>-0.6222029274</v>
      </c>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83" t="inlineStr">
        <is>
          <t>2009-07</t>
        </is>
      </c>
      <c r="B49" s="155" t="n">
        <v>2049.239677</v>
      </c>
      <c r="C49" s="155" t="n">
        <v>137.48</v>
      </c>
      <c r="D49" s="155" t="n">
        <v>314.47</v>
      </c>
      <c r="E49" s="155" t="n">
        <v>4405.83</v>
      </c>
      <c r="F49" s="152" t="n">
        <v>4.5</v>
      </c>
      <c r="G49" s="152" t="n">
        <v>0.16</v>
      </c>
      <c r="H49" s="152" t="n">
        <v>4.34</v>
      </c>
      <c r="I49" s="156" t="n">
        <v>-2738.042198</v>
      </c>
      <c r="J49" s="152" t="n">
        <v>3.328051074</v>
      </c>
      <c r="K49" s="152" t="n">
        <v>95.66055909000001</v>
      </c>
      <c r="L49" s="152" t="n">
        <v>26.16272727</v>
      </c>
      <c r="M49" s="157" t="n">
        <v>0</v>
      </c>
      <c r="N49" s="155" t="n">
        <v>24122.44</v>
      </c>
      <c r="O49" s="152" t="n">
        <v>297.6086957</v>
      </c>
      <c r="P49" s="152" t="n">
        <v>2.976086957</v>
      </c>
      <c r="Q49" s="156" t="n">
        <v>-772.5599999999999</v>
      </c>
      <c r="R49" s="156" t="n">
        <v>1101.62</v>
      </c>
      <c r="S49" s="152" t="n">
        <v>8.719545455</v>
      </c>
      <c r="T49" s="152" t="n">
        <v>4.783157895</v>
      </c>
      <c r="U49" s="152" t="n">
        <v>3.93638756</v>
      </c>
      <c r="V49" s="152" t="n">
        <v>1.039150005</v>
      </c>
      <c r="W49" s="152" t="n">
        <v>2.897237555</v>
      </c>
      <c r="X49" s="158" t="n">
        <v>1.933521742</v>
      </c>
      <c r="Y49" s="158" t="n">
        <v>540.2934782999999</v>
      </c>
      <c r="Z49" s="158" t="n">
        <v>13.36169565</v>
      </c>
      <c r="AA49" s="158" t="n">
        <v>3.012625</v>
      </c>
      <c r="AB49" s="159" t="n">
        <v>-0.4213658576</v>
      </c>
      <c r="AC49" s="159" t="n">
        <v>-0.1669678198</v>
      </c>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83" t="inlineStr">
        <is>
          <t>2009-08</t>
        </is>
      </c>
      <c r="B50" s="155" t="n">
        <v>2017.618065</v>
      </c>
      <c r="C50" s="155" t="n">
        <v>144.15</v>
      </c>
      <c r="D50" s="155" t="n">
        <v>304.05</v>
      </c>
      <c r="E50" s="155" t="n">
        <v>4340.33</v>
      </c>
      <c r="F50" s="152" t="n">
        <v>4.5</v>
      </c>
      <c r="G50" s="152" t="n">
        <v>0.16</v>
      </c>
      <c r="H50" s="152" t="n">
        <v>4.34</v>
      </c>
      <c r="I50" s="156" t="n">
        <v>746.6916332</v>
      </c>
      <c r="J50" s="152" t="n">
        <v>2.958181152</v>
      </c>
      <c r="K50" s="152" t="n">
        <v>94.37304286</v>
      </c>
      <c r="L50" s="152" t="n">
        <v>25.33714286</v>
      </c>
      <c r="M50" s="157" t="n">
        <v>0</v>
      </c>
      <c r="N50" s="155" t="n">
        <v>25238.94</v>
      </c>
      <c r="O50" s="152" t="n">
        <v>261.1428571</v>
      </c>
      <c r="P50" s="152" t="n">
        <v>2.611428571</v>
      </c>
      <c r="Q50" s="156" t="n">
        <v>-568.66</v>
      </c>
      <c r="R50" s="156" t="n">
        <v>1421.3</v>
      </c>
      <c r="S50" s="152" t="n">
        <v>8.878421053</v>
      </c>
      <c r="T50" s="152" t="n">
        <v>4.555263158</v>
      </c>
      <c r="U50" s="152" t="n">
        <v>4.323157895</v>
      </c>
      <c r="V50" s="152" t="n">
        <v>1.0577238</v>
      </c>
      <c r="W50" s="152" t="n">
        <v>3.265434094</v>
      </c>
      <c r="X50" s="158" t="n">
        <v>1.84495239</v>
      </c>
      <c r="Y50" s="158" t="n">
        <v>547.2857143</v>
      </c>
      <c r="Z50" s="158" t="n">
        <v>13.00761905</v>
      </c>
      <c r="AA50" s="158" t="n">
        <v>2.950680952</v>
      </c>
      <c r="AB50" s="159" t="n">
        <v>-0.6902847953</v>
      </c>
      <c r="AC50" s="159" t="n">
        <v>-0.9331176316999999</v>
      </c>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83" t="inlineStr">
        <is>
          <t>2009-09</t>
        </is>
      </c>
      <c r="B51" s="155" t="n">
        <v>1978.033</v>
      </c>
      <c r="C51" s="155" t="n">
        <v>148.17</v>
      </c>
      <c r="D51" s="155" t="n">
        <v>313.7</v>
      </c>
      <c r="E51" s="155" t="n">
        <v>4177.49</v>
      </c>
      <c r="F51" s="152" t="n">
        <v>4.45</v>
      </c>
      <c r="G51" s="152" t="n">
        <v>0.15</v>
      </c>
      <c r="H51" s="152" t="n">
        <v>4.3</v>
      </c>
      <c r="I51" s="156" t="n">
        <v>-1297.365731</v>
      </c>
      <c r="J51" s="152" t="n">
        <v>3.078867119</v>
      </c>
      <c r="K51" s="152" t="n">
        <v>93.66379999999999</v>
      </c>
      <c r="L51" s="152" t="n">
        <v>24.92666667</v>
      </c>
      <c r="M51" s="157" t="n">
        <v>0</v>
      </c>
      <c r="N51" s="155" t="n">
        <v>25122.6</v>
      </c>
      <c r="O51" s="152" t="n">
        <v>250.3181818</v>
      </c>
      <c r="P51" s="152" t="n">
        <v>2.503181818</v>
      </c>
      <c r="Q51" s="156" t="n">
        <v>-802.12</v>
      </c>
      <c r="R51" s="156" t="n">
        <v>729.3</v>
      </c>
      <c r="S51" s="152" t="n">
        <v>8.915714286</v>
      </c>
      <c r="T51" s="152" t="n">
        <v>4.322352941</v>
      </c>
      <c r="U51" s="152" t="n">
        <v>4.593361345</v>
      </c>
      <c r="V51" s="152" t="n">
        <v>1.1555</v>
      </c>
      <c r="W51" s="152" t="n">
        <v>3.437861344</v>
      </c>
      <c r="X51" s="158" t="n">
        <v>1.81959091</v>
      </c>
      <c r="Y51" s="158" t="n">
        <v>548.8113636</v>
      </c>
      <c r="Z51" s="158" t="n">
        <v>13.40490909</v>
      </c>
      <c r="AA51" s="158" t="n">
        <v>2.909509091</v>
      </c>
      <c r="AB51" s="159" t="n">
        <v>0.1660605909</v>
      </c>
      <c r="AC51" s="159" t="n">
        <v>-0.1556133066</v>
      </c>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83" t="inlineStr">
        <is>
          <t>2009-10</t>
        </is>
      </c>
      <c r="B52" s="155" t="n">
        <v>1901.400323</v>
      </c>
      <c r="C52" s="155" t="n">
        <v>154.41</v>
      </c>
      <c r="D52" s="155" t="n">
        <v>334.92</v>
      </c>
      <c r="E52" s="155" t="n">
        <v>4091.24</v>
      </c>
      <c r="F52" s="152" t="n">
        <v>4</v>
      </c>
      <c r="G52" s="152" t="n">
        <v>0.12</v>
      </c>
      <c r="H52" s="152" t="n">
        <v>3.88</v>
      </c>
      <c r="I52" s="156" t="n">
        <v>-3707.944669</v>
      </c>
      <c r="J52" s="152" t="n">
        <v>3.601588988</v>
      </c>
      <c r="K52" s="152" t="n">
        <v>92.2597619</v>
      </c>
      <c r="L52" s="152" t="n">
        <v>24.25227273</v>
      </c>
      <c r="M52" s="157" t="n">
        <v>0</v>
      </c>
      <c r="N52" s="155" t="n">
        <v>25185.77</v>
      </c>
      <c r="O52" s="152" t="n">
        <v>218.3636364</v>
      </c>
      <c r="P52" s="152" t="n">
        <v>2.183636364</v>
      </c>
      <c r="Q52" s="156" t="n">
        <v>-662.67</v>
      </c>
      <c r="R52" s="156" t="n">
        <v>800.88</v>
      </c>
      <c r="S52" s="152" t="n">
        <v>8.307619047999999</v>
      </c>
      <c r="T52" s="152" t="n">
        <v>3.988095238</v>
      </c>
      <c r="U52" s="152" t="n">
        <v>4.31952381</v>
      </c>
      <c r="V52" s="152" t="n">
        <v>1.348490477</v>
      </c>
      <c r="W52" s="152" t="n">
        <v>2.971033333</v>
      </c>
      <c r="X52" s="158" t="n">
        <v>1.73913636</v>
      </c>
      <c r="Y52" s="158" t="n">
        <v>545.2545454999999</v>
      </c>
      <c r="Z52" s="158" t="n">
        <v>13.21986364</v>
      </c>
      <c r="AA52" s="158" t="n">
        <v>2.872</v>
      </c>
      <c r="AB52" s="159" t="n">
        <v>-0.7617096426</v>
      </c>
      <c r="AC52" s="159" t="n">
        <v>-0.8298014733</v>
      </c>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83" t="inlineStr">
        <is>
          <t>2009-11</t>
        </is>
      </c>
      <c r="B53" s="155" t="n">
        <v>1976.879333</v>
      </c>
      <c r="C53" s="155" t="n">
        <v>153.54</v>
      </c>
      <c r="D53" s="155" t="n">
        <v>340.87</v>
      </c>
      <c r="E53" s="155" t="n">
        <v>4114.69</v>
      </c>
      <c r="F53" s="152" t="n">
        <v>3.883333333</v>
      </c>
      <c r="G53" s="152" t="n">
        <v>0.12</v>
      </c>
      <c r="H53" s="152" t="n">
        <v>3.763333333</v>
      </c>
      <c r="I53" s="156" t="n">
        <v>-3446.245145</v>
      </c>
      <c r="J53" s="152" t="n">
        <v>3.348767122</v>
      </c>
      <c r="K53" s="152" t="n">
        <v>91.79961053</v>
      </c>
      <c r="L53" s="152" t="n">
        <v>23.789</v>
      </c>
      <c r="M53" s="157" t="n">
        <v>0</v>
      </c>
      <c r="N53" s="155" t="n">
        <v>25440.54</v>
      </c>
      <c r="O53" s="152" t="n">
        <v>213.3333333</v>
      </c>
      <c r="P53" s="152" t="n">
        <v>2.133333333</v>
      </c>
      <c r="Q53" s="156" t="n">
        <v>-615.96</v>
      </c>
      <c r="R53" s="156" t="n">
        <v>661.52</v>
      </c>
      <c r="S53" s="152" t="n">
        <v>7.293684211</v>
      </c>
      <c r="T53" s="152" t="n">
        <v>3.785</v>
      </c>
      <c r="U53" s="152" t="n">
        <v>3.508684211</v>
      </c>
      <c r="V53" s="152" t="n">
        <v>1.60220527</v>
      </c>
      <c r="W53" s="152" t="n">
        <v>1.90647894</v>
      </c>
      <c r="X53" s="158" t="n">
        <v>1.728666663</v>
      </c>
      <c r="Y53" s="158" t="n">
        <v>505.4904762</v>
      </c>
      <c r="Z53" s="158" t="n">
        <v>13.10947619</v>
      </c>
      <c r="AA53" s="158" t="n">
        <v>2.8843</v>
      </c>
      <c r="AB53" s="159" t="n">
        <v>-1.203479883</v>
      </c>
      <c r="AC53" s="159" t="n">
        <v>-0.814190776</v>
      </c>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83" t="inlineStr">
        <is>
          <t>2009-12</t>
        </is>
      </c>
      <c r="B54" s="155" t="n">
        <v>2018.012581</v>
      </c>
      <c r="C54" s="155" t="n">
        <v>153.1</v>
      </c>
      <c r="D54" s="155" t="n">
        <v>407.63</v>
      </c>
      <c r="E54" s="155" t="n">
        <v>4090.28</v>
      </c>
      <c r="F54" s="152" t="n">
        <v>3.5</v>
      </c>
      <c r="G54" s="152" t="n">
        <v>0.12</v>
      </c>
      <c r="H54" s="152" t="n">
        <v>3.38</v>
      </c>
      <c r="I54" s="156" t="n">
        <v>-6049.282194</v>
      </c>
      <c r="J54" s="152" t="n">
        <v>4.13000348</v>
      </c>
      <c r="K54" s="152" t="n">
        <v>92.25861904999999</v>
      </c>
      <c r="L54" s="152" t="n">
        <v>21.23954545</v>
      </c>
      <c r="M54" s="157" t="n">
        <v>0</v>
      </c>
      <c r="N54" s="155" t="n">
        <v>25355.74</v>
      </c>
      <c r="O54" s="152" t="n">
        <v>208.1304348</v>
      </c>
      <c r="P54" s="152" t="n">
        <v>2.081304348</v>
      </c>
      <c r="Q54" s="156" t="n">
        <v>-699.85</v>
      </c>
      <c r="R54" s="156" t="n">
        <v>412.46</v>
      </c>
      <c r="S54" s="152" t="n">
        <v>7.1525</v>
      </c>
      <c r="T54" s="152" t="n">
        <v>3.602857143</v>
      </c>
      <c r="U54" s="152" t="n">
        <v>3.549642857</v>
      </c>
      <c r="V54" s="152" t="n">
        <v>1.733800005</v>
      </c>
      <c r="W54" s="152" t="n">
        <v>1.815842852</v>
      </c>
      <c r="X54" s="158" t="n">
        <v>1.751347827</v>
      </c>
      <c r="Y54" s="158" t="n">
        <v>502.6913043</v>
      </c>
      <c r="Z54" s="158" t="n">
        <v>12.85830435</v>
      </c>
      <c r="AA54" s="158" t="n">
        <v>2.877578947</v>
      </c>
      <c r="AB54" s="159" t="n">
        <v>-0.2853463917</v>
      </c>
      <c r="AC54" s="159" t="n">
        <v>-0.2584688735</v>
      </c>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83" t="inlineStr">
        <is>
          <t>2010-01</t>
        </is>
      </c>
      <c r="B55" s="155" t="n">
        <v>1983.426774</v>
      </c>
      <c r="C55" s="155" t="n">
        <v>158.66</v>
      </c>
      <c r="D55" s="155" t="n">
        <v>265.31</v>
      </c>
      <c r="E55" s="155" t="n">
        <v>4036.35</v>
      </c>
      <c r="F55" s="152" t="n">
        <v>3.5</v>
      </c>
      <c r="G55" s="152" t="n">
        <v>0.11</v>
      </c>
      <c r="H55" s="152" t="n">
        <v>3.39</v>
      </c>
      <c r="I55" s="156" t="n">
        <v>2168.018762</v>
      </c>
      <c r="J55" s="152" t="n">
        <v>3.616995811</v>
      </c>
      <c r="K55" s="152" t="n">
        <v>92.44029999999999</v>
      </c>
      <c r="L55" s="152" t="n">
        <v>20.64315789</v>
      </c>
      <c r="M55" s="157" t="n">
        <v>0</v>
      </c>
      <c r="N55" s="155" t="n">
        <v>25259.19</v>
      </c>
      <c r="O55" s="152" t="n">
        <v>209.7142857</v>
      </c>
      <c r="P55" s="152" t="n">
        <v>2.097142857</v>
      </c>
      <c r="Q55" s="156" t="n">
        <v>-832.88</v>
      </c>
      <c r="R55" s="156" t="n">
        <v>717.35</v>
      </c>
      <c r="S55" s="152" t="n">
        <v>7.905263158</v>
      </c>
      <c r="T55" s="152" t="n">
        <v>3.542222222</v>
      </c>
      <c r="U55" s="152" t="n">
        <v>4.363040936</v>
      </c>
      <c r="V55" s="152" t="n">
        <v>1.934999993</v>
      </c>
      <c r="W55" s="152" t="n">
        <v>2.428040943</v>
      </c>
      <c r="X55" s="158" t="n">
        <v>1.780857149</v>
      </c>
      <c r="Y55" s="158" t="n">
        <v>502.0785714</v>
      </c>
      <c r="Z55" s="158" t="n">
        <v>12.81809524</v>
      </c>
      <c r="AA55" s="158" t="n">
        <v>2.856255</v>
      </c>
      <c r="AB55" s="159" t="n">
        <v>-0.003769763674</v>
      </c>
      <c r="AC55" s="159" t="n">
        <v>-0.1499648446</v>
      </c>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83" t="inlineStr">
        <is>
          <t>2010-02</t>
        </is>
      </c>
      <c r="B56" s="155" t="n">
        <v>1951.723929</v>
      </c>
      <c r="C56" s="155" t="n">
        <v>154.55</v>
      </c>
      <c r="D56" s="155" t="n">
        <v>273.2</v>
      </c>
      <c r="E56" s="155" t="n">
        <v>3934.84</v>
      </c>
      <c r="F56" s="152" t="n">
        <v>3.5</v>
      </c>
      <c r="G56" s="152" t="n">
        <v>0.13</v>
      </c>
      <c r="H56" s="152" t="n">
        <v>3.37</v>
      </c>
      <c r="I56" s="156" t="n">
        <v>-450.9388046</v>
      </c>
      <c r="J56" s="152" t="n">
        <v>3.109598706</v>
      </c>
      <c r="K56" s="152" t="n">
        <v>93.88668</v>
      </c>
      <c r="L56" s="152" t="n">
        <v>22.54</v>
      </c>
      <c r="M56" s="157" t="n">
        <v>0</v>
      </c>
      <c r="N56" s="155" t="n">
        <v>25205.3</v>
      </c>
      <c r="O56" s="152" t="n">
        <v>235.1</v>
      </c>
      <c r="P56" s="152" t="n">
        <v>2.351</v>
      </c>
      <c r="Q56" s="156" t="n">
        <v>-841.4</v>
      </c>
      <c r="R56" s="156" t="n">
        <v>839.52</v>
      </c>
      <c r="S56" s="152" t="n">
        <v>8.4435</v>
      </c>
      <c r="T56" s="152" t="n">
        <v>3.3495</v>
      </c>
      <c r="U56" s="152" t="n">
        <v>5.094</v>
      </c>
      <c r="V56" s="152" t="n">
        <v>1.882184204</v>
      </c>
      <c r="W56" s="152" t="n">
        <v>3.211815796</v>
      </c>
      <c r="X56" s="158" t="n">
        <v>1.841100007</v>
      </c>
      <c r="Y56" s="158" t="n">
        <v>532.01</v>
      </c>
      <c r="Z56" s="158" t="n">
        <v>12.9288</v>
      </c>
      <c r="AA56" s="158" t="n">
        <v>2.853985</v>
      </c>
      <c r="AB56" s="159" t="n">
        <v>1.025260927</v>
      </c>
      <c r="AC56" s="159" t="n">
        <v>0.7554181934</v>
      </c>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83" t="inlineStr">
        <is>
          <t>2010-03</t>
        </is>
      </c>
      <c r="B57" s="155" t="n">
        <v>1908.991935</v>
      </c>
      <c r="C57" s="155" t="n">
        <v>159.54</v>
      </c>
      <c r="D57" s="155" t="n">
        <v>361.06</v>
      </c>
      <c r="E57" s="155" t="n">
        <v>3909.99</v>
      </c>
      <c r="F57" s="152" t="n">
        <v>3.5</v>
      </c>
      <c r="G57" s="152" t="n">
        <v>0.16</v>
      </c>
      <c r="H57" s="152" t="n">
        <v>3.34</v>
      </c>
      <c r="I57" s="156" t="n">
        <v>-989.6072038</v>
      </c>
      <c r="J57" s="152" t="n">
        <v>3.076223761</v>
      </c>
      <c r="K57" s="152" t="n">
        <v>93.14987825999999</v>
      </c>
      <c r="L57" s="152" t="n">
        <v>17.7673913</v>
      </c>
      <c r="M57" s="157" t="n">
        <v>0</v>
      </c>
      <c r="N57" s="155" t="n">
        <v>25501.04</v>
      </c>
      <c r="O57" s="152" t="n">
        <v>189</v>
      </c>
      <c r="P57" s="152" t="n">
        <v>1.89</v>
      </c>
      <c r="Q57" s="156" t="n">
        <v>-751.64</v>
      </c>
      <c r="R57" s="156" t="n">
        <v>1290.25</v>
      </c>
      <c r="S57" s="152" t="n">
        <v>8.435454545000001</v>
      </c>
      <c r="T57" s="152" t="n">
        <v>3.57952381</v>
      </c>
      <c r="U57" s="152" t="n">
        <v>4.855930736</v>
      </c>
      <c r="V57" s="152" t="n">
        <v>1.870039137</v>
      </c>
      <c r="W57" s="152" t="n">
        <v>2.985891599</v>
      </c>
      <c r="X57" s="158" t="n">
        <v>1.78543479</v>
      </c>
      <c r="Y57" s="158" t="n">
        <v>522.7130435</v>
      </c>
      <c r="Z57" s="158" t="n">
        <v>12.57069565</v>
      </c>
      <c r="AA57" s="158" t="n">
        <v>2.839278261</v>
      </c>
      <c r="AB57" s="159" t="n">
        <v>-0.9384199028</v>
      </c>
      <c r="AC57" s="159" t="n">
        <v>-0.8052634607</v>
      </c>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83" t="inlineStr">
        <is>
          <t>2010-04</t>
        </is>
      </c>
      <c r="B58" s="155" t="n">
        <v>1937.449</v>
      </c>
      <c r="C58" s="155" t="n">
        <v>164.62</v>
      </c>
      <c r="D58" s="155" t="n">
        <v>317.54</v>
      </c>
      <c r="E58" s="155" t="n">
        <v>3887.45</v>
      </c>
      <c r="F58" s="152" t="n">
        <v>3.5</v>
      </c>
      <c r="G58" s="152" t="n">
        <v>0.2</v>
      </c>
      <c r="H58" s="152" t="n">
        <v>3.3</v>
      </c>
      <c r="I58" s="156" t="n">
        <v>314.8964864</v>
      </c>
      <c r="J58" s="152" t="n">
        <v>3.553742597</v>
      </c>
      <c r="K58" s="152" t="n">
        <v>92.63908635999999</v>
      </c>
      <c r="L58" s="152" t="n">
        <v>17.42428571</v>
      </c>
      <c r="M58" s="157" t="n">
        <v>0</v>
      </c>
      <c r="N58" s="155" t="n">
        <v>25905.52</v>
      </c>
      <c r="O58" s="152" t="n">
        <v>172.7727273</v>
      </c>
      <c r="P58" s="152" t="n">
        <v>1.727727273</v>
      </c>
      <c r="Q58" s="156" t="n">
        <v>-636.67</v>
      </c>
      <c r="R58" s="156" t="n">
        <v>1056.83</v>
      </c>
      <c r="S58" s="152" t="n">
        <v>8.07</v>
      </c>
      <c r="T58" s="152" t="n">
        <v>4.034736842</v>
      </c>
      <c r="U58" s="152" t="n">
        <v>4.035263158</v>
      </c>
      <c r="V58" s="152" t="n">
        <v>1.999209095</v>
      </c>
      <c r="W58" s="152" t="n">
        <v>2.036054063</v>
      </c>
      <c r="X58" s="158" t="n">
        <v>1.7595</v>
      </c>
      <c r="Y58" s="158" t="n">
        <v>519.775</v>
      </c>
      <c r="Z58" s="158" t="n">
        <v>12.24972727</v>
      </c>
      <c r="AA58" s="158" t="n">
        <v>2.8398</v>
      </c>
      <c r="AB58" s="159" t="n">
        <v>-0.6159872758</v>
      </c>
      <c r="AC58" s="159" t="n">
        <v>-0.4558311011</v>
      </c>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83" t="inlineStr">
        <is>
          <t>2010-05</t>
        </is>
      </c>
      <c r="B59" s="155" t="n">
        <v>1983.593226</v>
      </c>
      <c r="C59" s="155" t="n">
        <v>155.44</v>
      </c>
      <c r="D59" s="155" t="n">
        <v>329.87</v>
      </c>
      <c r="E59" s="155" t="n">
        <v>3875.7</v>
      </c>
      <c r="F59" s="152" t="n">
        <v>3.032258065</v>
      </c>
      <c r="G59" s="152" t="n">
        <v>0.2</v>
      </c>
      <c r="H59" s="152" t="n">
        <v>2.832258065</v>
      </c>
      <c r="I59" s="156" t="n">
        <v>-1793.193985</v>
      </c>
      <c r="J59" s="152" t="n">
        <v>3.538401375</v>
      </c>
      <c r="K59" s="152" t="n">
        <v>95.53064000000001</v>
      </c>
      <c r="L59" s="152" t="n">
        <v>31.9295</v>
      </c>
      <c r="M59" s="157" t="n">
        <v>0</v>
      </c>
      <c r="N59" s="155" t="n">
        <v>25933.86</v>
      </c>
      <c r="O59" s="152" t="n">
        <v>231.047619</v>
      </c>
      <c r="P59" s="152" t="n">
        <v>2.31047619</v>
      </c>
      <c r="Q59" s="156" t="n">
        <v>-764.96</v>
      </c>
      <c r="R59" s="156" t="n">
        <v>893.4</v>
      </c>
      <c r="S59" s="152" t="n">
        <v>7.8595</v>
      </c>
      <c r="T59" s="152" t="n">
        <v>4.047368421</v>
      </c>
      <c r="U59" s="152" t="n">
        <v>3.812131579</v>
      </c>
      <c r="V59" s="152" t="n">
        <v>1.754359984</v>
      </c>
      <c r="W59" s="152" t="n">
        <v>2.057771595</v>
      </c>
      <c r="X59" s="158" t="n">
        <v>1.813714294</v>
      </c>
      <c r="Y59" s="158" t="n">
        <v>533.3666667</v>
      </c>
      <c r="Z59" s="158" t="n">
        <v>12.7382381</v>
      </c>
      <c r="AA59" s="158" t="n">
        <v>2.845452381</v>
      </c>
      <c r="AB59" s="159" t="n">
        <v>0.9632611718</v>
      </c>
      <c r="AC59" s="159" t="n">
        <v>0.7649034159</v>
      </c>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83" t="inlineStr">
        <is>
          <t>2010-06</t>
        </is>
      </c>
      <c r="B60" s="155" t="n">
        <v>1926.846</v>
      </c>
      <c r="C60" s="155" t="n">
        <v>160.18</v>
      </c>
      <c r="D60" s="155" t="n">
        <v>319.07</v>
      </c>
      <c r="E60" s="155" t="n">
        <v>3881.69</v>
      </c>
      <c r="F60" s="152" t="n">
        <v>3</v>
      </c>
      <c r="G60" s="152" t="n">
        <v>0.18</v>
      </c>
      <c r="H60" s="152" t="n">
        <v>2.82</v>
      </c>
      <c r="I60" s="156" t="n">
        <v>-3600.618051</v>
      </c>
      <c r="J60" s="152" t="n">
        <v>3.831127284</v>
      </c>
      <c r="K60" s="152" t="n">
        <v>96.06062727</v>
      </c>
      <c r="L60" s="152" t="n">
        <v>29.91636364</v>
      </c>
      <c r="M60" s="157" t="n">
        <v>0</v>
      </c>
      <c r="N60" s="155" t="n">
        <v>26402.22</v>
      </c>
      <c r="O60" s="152" t="n">
        <v>223.0454545</v>
      </c>
      <c r="P60" s="152" t="n">
        <v>2.230454545</v>
      </c>
      <c r="Q60" s="156" t="n">
        <v>-987.02</v>
      </c>
      <c r="R60" s="156" t="n">
        <v>1647.53</v>
      </c>
      <c r="S60" s="152" t="n">
        <v>7.6075</v>
      </c>
      <c r="T60" s="152" t="n">
        <v>3.884736842</v>
      </c>
      <c r="U60" s="152" t="n">
        <v>3.722763158</v>
      </c>
      <c r="V60" s="152" t="n">
        <v>1.543190907</v>
      </c>
      <c r="W60" s="152" t="n">
        <v>2.179572251</v>
      </c>
      <c r="X60" s="158" t="n">
        <v>1.805318182</v>
      </c>
      <c r="Y60" s="158" t="n">
        <v>537.4727273</v>
      </c>
      <c r="Z60" s="158" t="n">
        <v>12.717</v>
      </c>
      <c r="AA60" s="158" t="n">
        <v>2.83802</v>
      </c>
      <c r="AB60" s="159" t="n">
        <v>-0.06941040028999999</v>
      </c>
      <c r="AC60" s="159" t="n">
        <v>-0.1021988389</v>
      </c>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83" t="inlineStr">
        <is>
          <t>2010-07</t>
        </is>
      </c>
      <c r="B61" s="155" t="n">
        <v>1874.41129</v>
      </c>
      <c r="C61" s="155" t="n">
        <v>155.63</v>
      </c>
      <c r="D61" s="155" t="n">
        <v>341.59</v>
      </c>
      <c r="E61" s="155" t="n">
        <v>3908.81</v>
      </c>
      <c r="F61" s="152" t="n">
        <v>3</v>
      </c>
      <c r="G61" s="152" t="n">
        <v>0.18</v>
      </c>
      <c r="H61" s="152" t="n">
        <v>2.82</v>
      </c>
      <c r="I61" s="156" t="n">
        <v>-2150.40688</v>
      </c>
      <c r="J61" s="152" t="n">
        <v>3.723117998</v>
      </c>
      <c r="K61" s="152" t="n">
        <v>94.45469048</v>
      </c>
      <c r="L61" s="152" t="n">
        <v>25.5652381</v>
      </c>
      <c r="M61" s="157" t="n">
        <v>0</v>
      </c>
      <c r="N61" s="155" t="n">
        <v>26665.02</v>
      </c>
      <c r="O61" s="152" t="n">
        <v>199.0454545</v>
      </c>
      <c r="P61" s="152" t="n">
        <v>1.990454545</v>
      </c>
      <c r="Q61" s="156" t="n">
        <v>-1028.52</v>
      </c>
      <c r="R61" s="156" t="n">
        <v>1358.97</v>
      </c>
      <c r="S61" s="152" t="n">
        <v>7.229</v>
      </c>
      <c r="T61" s="152" t="n">
        <v>3.3095</v>
      </c>
      <c r="U61" s="152" t="n">
        <v>3.9195</v>
      </c>
      <c r="V61" s="152" t="n">
        <v>1.310180942</v>
      </c>
      <c r="W61" s="152" t="n">
        <v>2.609319058</v>
      </c>
      <c r="X61" s="158" t="n">
        <v>1.76931818</v>
      </c>
      <c r="Y61" s="158" t="n">
        <v>530.2136364</v>
      </c>
      <c r="Z61" s="158" t="n">
        <v>12.8205</v>
      </c>
      <c r="AA61" s="158" t="n">
        <v>2.823015789</v>
      </c>
      <c r="AB61" s="159" t="n">
        <v>-0.3588252628</v>
      </c>
      <c r="AC61" s="159" t="n">
        <v>-0.3732728373</v>
      </c>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83" t="inlineStr">
        <is>
          <t>2010-08</t>
        </is>
      </c>
      <c r="B62" s="155" t="n">
        <v>1821.200645</v>
      </c>
      <c r="C62" s="155" t="n">
        <v>158.98</v>
      </c>
      <c r="D62" s="155" t="n">
        <v>337</v>
      </c>
      <c r="E62" s="155" t="n">
        <v>3941.76</v>
      </c>
      <c r="F62" s="152" t="n">
        <v>3</v>
      </c>
      <c r="G62" s="152" t="n">
        <v>0.19</v>
      </c>
      <c r="H62" s="152" t="n">
        <v>2.81</v>
      </c>
      <c r="I62" s="156" t="n">
        <v>134.6172056</v>
      </c>
      <c r="J62" s="152" t="n">
        <v>3.835619272</v>
      </c>
      <c r="K62" s="152" t="n">
        <v>93.68223182</v>
      </c>
      <c r="L62" s="152" t="n">
        <v>24.74590909</v>
      </c>
      <c r="M62" s="157" t="n">
        <v>0</v>
      </c>
      <c r="N62" s="155" t="n">
        <v>26701.9</v>
      </c>
      <c r="O62" s="152" t="n">
        <v>165.7727273</v>
      </c>
      <c r="P62" s="152" t="n">
        <v>1.657727273</v>
      </c>
      <c r="Q62" s="156" t="n">
        <v>-900.77</v>
      </c>
      <c r="R62" s="156" t="n">
        <v>998.17</v>
      </c>
      <c r="S62" s="152" t="n">
        <v>6.921904762</v>
      </c>
      <c r="T62" s="152" t="n">
        <v>3.147222222</v>
      </c>
      <c r="U62" s="152" t="n">
        <v>3.77468254</v>
      </c>
      <c r="V62" s="152" t="n">
        <v>1.219454532</v>
      </c>
      <c r="W62" s="152" t="n">
        <v>2.555228007</v>
      </c>
      <c r="X62" s="158" t="n">
        <v>1.758727279</v>
      </c>
      <c r="Y62" s="158" t="n">
        <v>508.0090909</v>
      </c>
      <c r="Z62" s="158" t="n">
        <v>12.76863636</v>
      </c>
      <c r="AA62" s="158" t="n">
        <v>2.801847619</v>
      </c>
      <c r="AB62" s="159" t="n">
        <v>-0.740102386</v>
      </c>
      <c r="AC62" s="159" t="n">
        <v>-0.7039985068</v>
      </c>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83" t="inlineStr">
        <is>
          <t>2010-09</t>
        </is>
      </c>
      <c r="B63" s="155" t="n">
        <v>1805.772333</v>
      </c>
      <c r="C63" s="155" t="n">
        <v>158.74</v>
      </c>
      <c r="D63" s="155" t="n">
        <v>330.33</v>
      </c>
      <c r="E63" s="155" t="n">
        <v>3958.39</v>
      </c>
      <c r="F63" s="152" t="n">
        <v>3</v>
      </c>
      <c r="G63" s="152" t="n">
        <v>0.19</v>
      </c>
      <c r="H63" s="152" t="n">
        <v>2.81</v>
      </c>
      <c r="I63" s="156" t="n">
        <v>424.749597</v>
      </c>
      <c r="J63" s="152" t="n">
        <v>3.519088865</v>
      </c>
      <c r="K63" s="152" t="n">
        <v>92.76259524</v>
      </c>
      <c r="L63" s="152" t="n">
        <v>22.51761905</v>
      </c>
      <c r="M63" s="157" t="n">
        <v>0</v>
      </c>
      <c r="N63" s="155" t="n">
        <v>27286.08</v>
      </c>
      <c r="O63" s="152" t="n">
        <v>175.7727273</v>
      </c>
      <c r="P63" s="152" t="n">
        <v>1.757727273</v>
      </c>
      <c r="Q63" s="156" t="n">
        <v>-1120.01</v>
      </c>
      <c r="R63" s="156" t="n">
        <v>1716.03</v>
      </c>
      <c r="S63" s="152" t="n">
        <v>6.744545455</v>
      </c>
      <c r="T63" s="152" t="n">
        <v>2.988095238</v>
      </c>
      <c r="U63" s="152" t="n">
        <v>3.756450216</v>
      </c>
      <c r="V63" s="152" t="n">
        <v>1.219790476</v>
      </c>
      <c r="W63" s="152" t="n">
        <v>2.536659741</v>
      </c>
      <c r="X63" s="158" t="n">
        <v>1.717727271</v>
      </c>
      <c r="Y63" s="158" t="n">
        <v>493.4136364</v>
      </c>
      <c r="Z63" s="158" t="n">
        <v>12.803</v>
      </c>
      <c r="AA63" s="158" t="n">
        <v>2.790590909</v>
      </c>
      <c r="AB63" s="159" t="n">
        <v>-0.6491606132</v>
      </c>
      <c r="AC63" s="159" t="n">
        <v>-0.565376246</v>
      </c>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83" t="inlineStr">
        <is>
          <t>2010-10</t>
        </is>
      </c>
      <c r="B64" s="155" t="n">
        <v>1808.607097</v>
      </c>
      <c r="C64" s="155" t="n">
        <v>163.94</v>
      </c>
      <c r="D64" s="155" t="n">
        <v>343.74</v>
      </c>
      <c r="E64" s="155" t="n">
        <v>3967.21</v>
      </c>
      <c r="F64" s="152" t="n">
        <v>3</v>
      </c>
      <c r="G64" s="152" t="n">
        <v>0.19</v>
      </c>
      <c r="H64" s="152" t="n">
        <v>2.81</v>
      </c>
      <c r="I64" s="156" t="n">
        <v>-2495.162226</v>
      </c>
      <c r="J64" s="152" t="n">
        <v>3.296175502</v>
      </c>
      <c r="K64" s="152" t="n">
        <v>90.22911999999999</v>
      </c>
      <c r="L64" s="152" t="n">
        <v>20.37333333</v>
      </c>
      <c r="M64" s="157" t="n">
        <v>0</v>
      </c>
      <c r="N64" s="155" t="n">
        <v>27838.86</v>
      </c>
      <c r="O64" s="152" t="n">
        <v>158.1428571</v>
      </c>
      <c r="P64" s="152" t="n">
        <v>1.581428571</v>
      </c>
      <c r="Q64" s="156" t="n">
        <v>-942.47</v>
      </c>
      <c r="R64" s="156" t="n">
        <v>1600.73</v>
      </c>
      <c r="S64" s="152" t="n">
        <v>6.5605</v>
      </c>
      <c r="T64" s="152" t="n">
        <v>3.052</v>
      </c>
      <c r="U64" s="152" t="n">
        <v>3.5085</v>
      </c>
      <c r="V64" s="152" t="n">
        <v>1.476570004</v>
      </c>
      <c r="W64" s="152" t="n">
        <v>2.031929996</v>
      </c>
      <c r="X64" s="158" t="n">
        <v>1.683904761</v>
      </c>
      <c r="Y64" s="158" t="n">
        <v>484.6142857</v>
      </c>
      <c r="Z64" s="158" t="n">
        <v>12.44404762</v>
      </c>
      <c r="AA64" s="158" t="n">
        <v>2.79163</v>
      </c>
      <c r="AB64" s="159" t="n">
        <v>-0.8488139257</v>
      </c>
      <c r="AC64" s="159" t="n">
        <v>-0.6266588473</v>
      </c>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83" t="inlineStr">
        <is>
          <t>2010-11</t>
        </is>
      </c>
      <c r="B65" s="155" t="n">
        <v>1862.994</v>
      </c>
      <c r="C65" s="155" t="n">
        <v>166.7</v>
      </c>
      <c r="D65" s="155" t="n">
        <v>360.89</v>
      </c>
      <c r="E65" s="155" t="n">
        <v>3987.23</v>
      </c>
      <c r="F65" s="152" t="n">
        <v>3</v>
      </c>
      <c r="G65" s="152" t="n">
        <v>0.19</v>
      </c>
      <c r="H65" s="152" t="n">
        <v>2.81</v>
      </c>
      <c r="I65" s="156" t="n">
        <v>-2609.406444</v>
      </c>
      <c r="J65" s="152" t="n">
        <v>3.142361823</v>
      </c>
      <c r="K65" s="152" t="n">
        <v>90.509535</v>
      </c>
      <c r="L65" s="152" t="n">
        <v>20.09571429</v>
      </c>
      <c r="M65" s="157" t="n">
        <v>0</v>
      </c>
      <c r="N65" s="155" t="n">
        <v>27871.06</v>
      </c>
      <c r="O65" s="152" t="n">
        <v>151.6363636</v>
      </c>
      <c r="P65" s="152" t="n">
        <v>1.516363636</v>
      </c>
      <c r="Q65" s="156" t="n">
        <v>-935.16</v>
      </c>
      <c r="R65" s="156" t="n">
        <v>859.0700000000001</v>
      </c>
      <c r="S65" s="152" t="n">
        <v>6.665</v>
      </c>
      <c r="T65" s="152" t="n">
        <v>3.047647059</v>
      </c>
      <c r="U65" s="152" t="n">
        <v>3.617352941</v>
      </c>
      <c r="V65" s="152" t="n">
        <v>1.541384989</v>
      </c>
      <c r="W65" s="152" t="n">
        <v>2.075967952</v>
      </c>
      <c r="X65" s="158" t="n">
        <v>1.713499996</v>
      </c>
      <c r="Y65" s="158" t="n">
        <v>482.5886364</v>
      </c>
      <c r="Z65" s="158" t="n">
        <v>12.33477273</v>
      </c>
      <c r="AA65" s="158" t="n">
        <v>2.805819048</v>
      </c>
      <c r="AB65" s="159" t="n">
        <v>-0.1024320116</v>
      </c>
      <c r="AC65" s="159" t="n">
        <v>0.02761029498</v>
      </c>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83" t="inlineStr">
        <is>
          <t>2010-12</t>
        </is>
      </c>
      <c r="B66" s="155" t="n">
        <v>1922.33129</v>
      </c>
      <c r="C66" s="155" t="n">
        <v>167.94</v>
      </c>
      <c r="D66" s="155" t="n">
        <v>416.74</v>
      </c>
      <c r="E66" s="155" t="n">
        <v>3996.34</v>
      </c>
      <c r="F66" s="152" t="n">
        <v>3</v>
      </c>
      <c r="G66" s="152" t="n">
        <v>0.18</v>
      </c>
      <c r="H66" s="152" t="n">
        <v>2.82</v>
      </c>
      <c r="I66" s="156" t="n">
        <v>-9971.978206</v>
      </c>
      <c r="J66" s="152" t="n">
        <v>3.863366127</v>
      </c>
      <c r="K66" s="152" t="n">
        <v>91.18347143</v>
      </c>
      <c r="L66" s="152" t="n">
        <v>17.56954545</v>
      </c>
      <c r="M66" s="157" t="n">
        <v>0</v>
      </c>
      <c r="N66" s="155" t="n">
        <v>28451.84</v>
      </c>
      <c r="O66" s="152" t="n">
        <v>160.7391304</v>
      </c>
      <c r="P66" s="152" t="n">
        <v>1.607391304</v>
      </c>
      <c r="Q66" s="156" t="n">
        <v>-1117.54</v>
      </c>
      <c r="R66" s="156" t="n">
        <v>2157.34</v>
      </c>
      <c r="S66" s="152" t="n">
        <v>7.146666667</v>
      </c>
      <c r="T66" s="152" t="n">
        <v>2.864736842</v>
      </c>
      <c r="U66" s="152" t="n">
        <v>4.281929825</v>
      </c>
      <c r="V66" s="152" t="n">
        <v>1.747586359</v>
      </c>
      <c r="W66" s="152" t="n">
        <v>2.534343466</v>
      </c>
      <c r="X66" s="158" t="n">
        <v>1.693173906</v>
      </c>
      <c r="Y66" s="158" t="n">
        <v>473.523913</v>
      </c>
      <c r="Z66" s="158" t="n">
        <v>12.38904348</v>
      </c>
      <c r="AA66" s="158" t="n">
        <v>2.815455</v>
      </c>
      <c r="AB66" s="159" t="n">
        <v>-0.3956209811</v>
      </c>
      <c r="AC66" s="159" t="n">
        <v>-0.2252961463</v>
      </c>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83" t="inlineStr">
        <is>
          <t>2011-01</t>
        </is>
      </c>
      <c r="B67" s="155" t="n">
        <v>1867.076774</v>
      </c>
      <c r="C67" s="155" t="n">
        <v>168.24</v>
      </c>
      <c r="D67" s="155" t="n">
        <v>291.37</v>
      </c>
      <c r="E67" s="155" t="n">
        <v>4022.4</v>
      </c>
      <c r="F67" s="152" t="n">
        <v>3</v>
      </c>
      <c r="G67" s="152" t="n">
        <v>0.17</v>
      </c>
      <c r="H67" s="152" t="n">
        <v>2.83</v>
      </c>
      <c r="I67" s="156" t="n">
        <v>4073.462465</v>
      </c>
      <c r="J67" s="152" t="n">
        <v>3.08770208</v>
      </c>
      <c r="K67" s="152" t="n">
        <v>90.11122</v>
      </c>
      <c r="L67" s="152" t="n">
        <v>17.3155</v>
      </c>
      <c r="M67" s="157" t="n">
        <v>0</v>
      </c>
      <c r="N67" s="155" t="n">
        <v>28896.21</v>
      </c>
      <c r="O67" s="152" t="n">
        <v>145.7619048</v>
      </c>
      <c r="P67" s="152" t="n">
        <v>1.457619048</v>
      </c>
      <c r="Q67" s="156" t="n">
        <v>-1190.37</v>
      </c>
      <c r="R67" s="156" t="n">
        <v>1665.29</v>
      </c>
      <c r="S67" s="152" t="n">
        <v>7.557</v>
      </c>
      <c r="T67" s="152" t="n">
        <v>2.694</v>
      </c>
      <c r="U67" s="152" t="n">
        <v>4.863</v>
      </c>
      <c r="V67" s="152" t="n">
        <v>1.98001501</v>
      </c>
      <c r="W67" s="152" t="n">
        <v>2.88298499</v>
      </c>
      <c r="X67" s="158" t="n">
        <v>1.67485714</v>
      </c>
      <c r="Y67" s="158" t="n">
        <v>490.2095238</v>
      </c>
      <c r="Z67" s="158" t="n">
        <v>12.1236619</v>
      </c>
      <c r="AA67" s="158" t="n">
        <v>2.786671429</v>
      </c>
      <c r="AB67" s="159" t="n">
        <v>-0.02879319328</v>
      </c>
      <c r="AC67" s="159" t="n">
        <v>-0.2258149193</v>
      </c>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83" t="inlineStr">
        <is>
          <t>2011-02</t>
        </is>
      </c>
      <c r="B68" s="155" t="n">
        <v>1882.371429</v>
      </c>
      <c r="C68" s="155" t="n">
        <v>173.53</v>
      </c>
      <c r="D68" s="155" t="n">
        <v>320.09</v>
      </c>
      <c r="E68" s="155" t="n">
        <v>4069.29</v>
      </c>
      <c r="F68" s="152" t="n">
        <v>3.008928571</v>
      </c>
      <c r="G68" s="152" t="n">
        <v>0.16</v>
      </c>
      <c r="H68" s="152" t="n">
        <v>2.848928571</v>
      </c>
      <c r="I68" s="156" t="n">
        <v>-788.2202759</v>
      </c>
      <c r="J68" s="152" t="n">
        <v>3.142188177</v>
      </c>
      <c r="K68" s="152" t="n">
        <v>89.39668947</v>
      </c>
      <c r="L68" s="152" t="n">
        <v>17.43</v>
      </c>
      <c r="M68" s="157" t="n">
        <v>0</v>
      </c>
      <c r="N68" s="155" t="n">
        <v>29311.9</v>
      </c>
      <c r="O68" s="152" t="n">
        <v>150.95</v>
      </c>
      <c r="P68" s="152" t="n">
        <v>1.5095</v>
      </c>
      <c r="Q68" s="156" t="n">
        <v>-806.14</v>
      </c>
      <c r="R68" s="156" t="n">
        <v>1029.76</v>
      </c>
      <c r="S68" s="152" t="n">
        <v>7.9305</v>
      </c>
      <c r="T68" s="152" t="n">
        <v>3.0285</v>
      </c>
      <c r="U68" s="152" t="n">
        <v>4.902</v>
      </c>
      <c r="V68" s="152" t="n">
        <v>2.127331571</v>
      </c>
      <c r="W68" s="152" t="n">
        <v>2.774668429</v>
      </c>
      <c r="X68" s="158" t="n">
        <v>1.666649991</v>
      </c>
      <c r="Y68" s="158" t="n">
        <v>474.815</v>
      </c>
      <c r="Z68" s="158" t="n">
        <v>12.06545</v>
      </c>
      <c r="AA68" s="158" t="n">
        <v>2.77041</v>
      </c>
      <c r="AB68" s="159" t="n">
        <v>-0.6035450963</v>
      </c>
      <c r="AC68" s="159" t="n">
        <v>-0.5679079487000001</v>
      </c>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83" t="inlineStr">
        <is>
          <t>2011-03</t>
        </is>
      </c>
      <c r="B69" s="155" t="n">
        <v>1881.814839</v>
      </c>
      <c r="C69" s="155" t="n">
        <v>184.97</v>
      </c>
      <c r="D69" s="155" t="n">
        <v>359.04</v>
      </c>
      <c r="E69" s="155" t="n">
        <v>4067.27</v>
      </c>
      <c r="F69" s="152" t="n">
        <v>3.330645161</v>
      </c>
      <c r="G69" s="152" t="n">
        <v>0.14</v>
      </c>
      <c r="H69" s="152" t="n">
        <v>3.190645161</v>
      </c>
      <c r="I69" s="156" t="n">
        <v>468.7181054</v>
      </c>
      <c r="J69" s="152" t="n">
        <v>2.906603181</v>
      </c>
      <c r="K69" s="152" t="n">
        <v>88.48722608999999</v>
      </c>
      <c r="L69" s="152" t="n">
        <v>20.72347826</v>
      </c>
      <c r="M69" s="157" t="n">
        <v>0</v>
      </c>
      <c r="N69" s="155" t="n">
        <v>29846.61</v>
      </c>
      <c r="O69" s="152" t="n">
        <v>155.1304348</v>
      </c>
      <c r="P69" s="152" t="n">
        <v>1.551304348</v>
      </c>
      <c r="Q69" s="156" t="n">
        <v>-1175.09</v>
      </c>
      <c r="R69" s="156" t="n">
        <v>1938.43</v>
      </c>
      <c r="S69" s="152" t="n">
        <v>7.988636364</v>
      </c>
      <c r="T69" s="152" t="n">
        <v>3.502105263</v>
      </c>
      <c r="U69" s="152" t="n">
        <v>4.4865311</v>
      </c>
      <c r="V69" s="152" t="n">
        <v>2.302900024</v>
      </c>
      <c r="W69" s="152" t="n">
        <v>2.183631076</v>
      </c>
      <c r="X69" s="158" t="n">
        <v>1.657260874</v>
      </c>
      <c r="Y69" s="158" t="n">
        <v>479.3173913</v>
      </c>
      <c r="Z69" s="158" t="n">
        <v>11.99795652</v>
      </c>
      <c r="AA69" s="158" t="n">
        <v>2.779508696</v>
      </c>
      <c r="AB69" s="159" t="n">
        <v>-0.1036843936</v>
      </c>
      <c r="AC69" s="159" t="n">
        <v>-0.009351239486</v>
      </c>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83" t="inlineStr">
        <is>
          <t>2011-04</t>
        </is>
      </c>
      <c r="B70" s="155" t="n">
        <v>1809.834</v>
      </c>
      <c r="C70" s="155" t="n">
        <v>192.99</v>
      </c>
      <c r="D70" s="155" t="n">
        <v>308.01</v>
      </c>
      <c r="E70" s="155" t="n">
        <v>4057.74</v>
      </c>
      <c r="F70" s="152" t="n">
        <v>3.5</v>
      </c>
      <c r="G70" s="152" t="n">
        <v>0.1</v>
      </c>
      <c r="H70" s="152" t="n">
        <v>3.4</v>
      </c>
      <c r="I70" s="156" t="n">
        <v>3929.227352</v>
      </c>
      <c r="J70" s="152" t="n">
        <v>2.322726513</v>
      </c>
      <c r="K70" s="152" t="n">
        <v>86.92136667</v>
      </c>
      <c r="L70" s="152" t="n">
        <v>16.244</v>
      </c>
      <c r="M70" s="157" t="n">
        <v>0</v>
      </c>
      <c r="N70" s="155" t="n">
        <v>30555.51</v>
      </c>
      <c r="O70" s="152" t="n">
        <v>151.5238095</v>
      </c>
      <c r="P70" s="152" t="n">
        <v>1.515238095</v>
      </c>
      <c r="Q70" s="156" t="n">
        <v>-1207.35</v>
      </c>
      <c r="R70" s="156" t="n">
        <v>2149.83</v>
      </c>
      <c r="S70" s="152" t="n">
        <v>7.794736842</v>
      </c>
      <c r="T70" s="152" t="n">
        <v>3.724</v>
      </c>
      <c r="U70" s="152" t="n">
        <v>4.070736842</v>
      </c>
      <c r="V70" s="152" t="n">
        <v>2.426485014</v>
      </c>
      <c r="W70" s="152" t="n">
        <v>1.644251828</v>
      </c>
      <c r="X70" s="158" t="n">
        <v>1.584190482</v>
      </c>
      <c r="Y70" s="158" t="n">
        <v>469.7095238</v>
      </c>
      <c r="Z70" s="158" t="n">
        <v>11.70142857</v>
      </c>
      <c r="AA70" s="158" t="n">
        <v>2.815842105</v>
      </c>
      <c r="AB70" s="159" t="n">
        <v>-1.065286415</v>
      </c>
      <c r="AC70" s="159" t="n">
        <v>-0.5352875091</v>
      </c>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83" t="inlineStr">
        <is>
          <t>2011-05</t>
        </is>
      </c>
      <c r="B71" s="155" t="n">
        <v>1800.50871</v>
      </c>
      <c r="C71" s="155" t="n">
        <v>188.49</v>
      </c>
      <c r="D71" s="155" t="n">
        <v>349.67</v>
      </c>
      <c r="E71" s="155" t="n">
        <v>4077.54</v>
      </c>
      <c r="F71" s="152" t="n">
        <v>3.75</v>
      </c>
      <c r="G71" s="152" t="n">
        <v>0.09</v>
      </c>
      <c r="H71" s="152" t="n">
        <v>3.66</v>
      </c>
      <c r="I71" s="156" t="n">
        <v>106.1759116</v>
      </c>
      <c r="J71" s="152" t="n">
        <v>2.01589302</v>
      </c>
      <c r="K71" s="152" t="n">
        <v>86.94640475999999</v>
      </c>
      <c r="L71" s="152" t="n">
        <v>16.91142857</v>
      </c>
      <c r="M71" s="157" t="n">
        <v>0</v>
      </c>
      <c r="N71" s="155" t="n">
        <v>30811.65</v>
      </c>
      <c r="O71" s="152" t="n">
        <v>147.5909091</v>
      </c>
      <c r="P71" s="152" t="n">
        <v>1.475909091</v>
      </c>
      <c r="Q71" s="156" t="n">
        <v>-1137.89</v>
      </c>
      <c r="R71" s="156" t="n">
        <v>1440.63</v>
      </c>
      <c r="S71" s="152" t="n">
        <v>7.635909091</v>
      </c>
      <c r="T71" s="152" t="n">
        <v>3.661904762</v>
      </c>
      <c r="U71" s="152" t="n">
        <v>3.974004329</v>
      </c>
      <c r="V71" s="152" t="n">
        <v>2.198523805</v>
      </c>
      <c r="W71" s="152" t="n">
        <v>1.775480524</v>
      </c>
      <c r="X71" s="158" t="n">
        <v>1.613090911</v>
      </c>
      <c r="Y71" s="158" t="n">
        <v>467.8863636</v>
      </c>
      <c r="Z71" s="158" t="n">
        <v>11.653</v>
      </c>
      <c r="AA71" s="158" t="n">
        <v>2.774390476</v>
      </c>
      <c r="AB71" s="159" t="n">
        <v>-0.0367921051</v>
      </c>
      <c r="AC71" s="159" t="n">
        <v>-0.3234146804</v>
      </c>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83" t="inlineStr">
        <is>
          <t>2011-06</t>
        </is>
      </c>
      <c r="B72" s="155" t="n">
        <v>1783.159333</v>
      </c>
      <c r="C72" s="155" t="n">
        <v>185.71</v>
      </c>
      <c r="D72" s="155" t="n">
        <v>326.63</v>
      </c>
      <c r="E72" s="155" t="n">
        <v>4085.1</v>
      </c>
      <c r="F72" s="152" t="n">
        <v>4.091666667</v>
      </c>
      <c r="G72" s="152" t="n">
        <v>0.09</v>
      </c>
      <c r="H72" s="152" t="n">
        <v>4.001666667</v>
      </c>
      <c r="I72" s="156" t="n">
        <v>206.31011</v>
      </c>
      <c r="J72" s="152" t="n">
        <v>1.400903244</v>
      </c>
      <c r="K72" s="152" t="n">
        <v>86.94125455</v>
      </c>
      <c r="L72" s="152" t="n">
        <v>19.15318182</v>
      </c>
      <c r="M72" s="157" t="n">
        <v>0</v>
      </c>
      <c r="N72" s="155" t="n">
        <v>31197.83</v>
      </c>
      <c r="O72" s="152" t="n">
        <v>144.6363636</v>
      </c>
      <c r="P72" s="152" t="n">
        <v>1.446363636</v>
      </c>
      <c r="Q72" s="156" t="n">
        <v>-1162.65</v>
      </c>
      <c r="R72" s="156" t="n">
        <v>1728.3</v>
      </c>
      <c r="S72" s="152" t="n">
        <v>7.2005</v>
      </c>
      <c r="T72" s="152" t="n">
        <v>3.427894737</v>
      </c>
      <c r="U72" s="152" t="n">
        <v>3.772605263</v>
      </c>
      <c r="V72" s="152" t="n">
        <v>1.954959084</v>
      </c>
      <c r="W72" s="152" t="n">
        <v>1.817646179</v>
      </c>
      <c r="X72" s="158" t="n">
        <v>1.58590909</v>
      </c>
      <c r="Y72" s="158" t="n">
        <v>469.4954545</v>
      </c>
      <c r="Z72" s="158" t="n">
        <v>11.80381818</v>
      </c>
      <c r="AA72" s="158" t="n">
        <v>2.76382381</v>
      </c>
      <c r="AB72" s="159" t="n">
        <v>-0.06070425238</v>
      </c>
      <c r="AC72" s="159" t="n">
        <v>-0.1198146521</v>
      </c>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83" t="inlineStr">
        <is>
          <t>2011-07</t>
        </is>
      </c>
      <c r="B73" s="155" t="n">
        <v>1761.593871</v>
      </c>
      <c r="C73" s="155" t="n">
        <v>185.45</v>
      </c>
      <c r="D73" s="155" t="n">
        <v>319.42</v>
      </c>
      <c r="E73" s="155" t="n">
        <v>4062.93</v>
      </c>
      <c r="F73" s="152" t="n">
        <v>4.25</v>
      </c>
      <c r="G73" s="152" t="n">
        <v>0.07000000000000001</v>
      </c>
      <c r="H73" s="152" t="n">
        <v>4.18</v>
      </c>
      <c r="I73" s="156" t="n">
        <v>-123.3717723</v>
      </c>
      <c r="J73" s="152" t="n">
        <v>1.073446088</v>
      </c>
      <c r="K73" s="152" t="n">
        <v>86.31780500000001</v>
      </c>
      <c r="L73" s="152" t="n">
        <v>19.2275</v>
      </c>
      <c r="M73" s="157" t="n">
        <v>0</v>
      </c>
      <c r="N73" s="155" t="n">
        <v>32144.6</v>
      </c>
      <c r="O73" s="152" t="n">
        <v>140.7142857</v>
      </c>
      <c r="P73" s="152" t="n">
        <v>1.407142857</v>
      </c>
      <c r="Q73" s="156" t="n">
        <v>-794.88</v>
      </c>
      <c r="R73" s="156" t="n">
        <v>1838.09</v>
      </c>
      <c r="S73" s="152" t="n">
        <v>7.075789474</v>
      </c>
      <c r="T73" s="152" t="n">
        <v>3.507857143</v>
      </c>
      <c r="U73" s="152" t="n">
        <v>3.567932331</v>
      </c>
      <c r="V73" s="152" t="n">
        <v>2.05825001</v>
      </c>
      <c r="W73" s="152" t="n">
        <v>1.509682321</v>
      </c>
      <c r="X73" s="158" t="n">
        <v>1.562238103</v>
      </c>
      <c r="Y73" s="158" t="n">
        <v>461.9190476</v>
      </c>
      <c r="Z73" s="158" t="n">
        <v>11.669</v>
      </c>
      <c r="AA73" s="158" t="n">
        <v>2.741405263</v>
      </c>
      <c r="AB73" s="159" t="n">
        <v>-0.5802948451</v>
      </c>
      <c r="AC73" s="159" t="n">
        <v>-0.5965692081</v>
      </c>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83" t="inlineStr">
        <is>
          <t>2011-08</t>
        </is>
      </c>
      <c r="B74" s="155" t="n">
        <v>1785.56</v>
      </c>
      <c r="C74" s="155" t="n">
        <v>180.66</v>
      </c>
      <c r="D74" s="155" t="n">
        <v>369.65</v>
      </c>
      <c r="E74" s="155" t="n">
        <v>4095.58</v>
      </c>
      <c r="F74" s="152" t="n">
        <v>4.5</v>
      </c>
      <c r="G74" s="152" t="n">
        <v>0.1</v>
      </c>
      <c r="H74" s="152" t="n">
        <v>4.4</v>
      </c>
      <c r="I74" s="156" t="n">
        <v>-3295.813115</v>
      </c>
      <c r="J74" s="152" t="n">
        <v>1.627614564</v>
      </c>
      <c r="K74" s="152" t="n">
        <v>86.89824348</v>
      </c>
      <c r="L74" s="152" t="n">
        <v>35.02913043</v>
      </c>
      <c r="M74" s="157" t="n">
        <v>0</v>
      </c>
      <c r="N74" s="155" t="n">
        <v>32355.27</v>
      </c>
      <c r="O74" s="152" t="n">
        <v>170.826087</v>
      </c>
      <c r="P74" s="152" t="n">
        <v>1.70826087</v>
      </c>
      <c r="Q74" s="156" t="n">
        <v>-829.45</v>
      </c>
      <c r="R74" s="156" t="n">
        <v>877.22</v>
      </c>
      <c r="S74" s="152" t="n">
        <v>6.763181818</v>
      </c>
      <c r="T74" s="152" t="n">
        <v>3.344210526</v>
      </c>
      <c r="U74" s="152" t="n">
        <v>3.418971292</v>
      </c>
      <c r="V74" s="152" t="n">
        <v>1.762778251</v>
      </c>
      <c r="W74" s="152" t="n">
        <v>1.656193041</v>
      </c>
      <c r="X74" s="158" t="n">
        <v>1.595739121</v>
      </c>
      <c r="Y74" s="158" t="n">
        <v>466.6369565</v>
      </c>
      <c r="Z74" s="158" t="n">
        <v>12.231</v>
      </c>
      <c r="AA74" s="158" t="n">
        <v>2.739519048</v>
      </c>
      <c r="AB74" s="159" t="n">
        <v>0.7798503499</v>
      </c>
      <c r="AC74" s="159" t="n">
        <v>0.5735079299</v>
      </c>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83" t="inlineStr">
        <is>
          <t>2011-09</t>
        </is>
      </c>
      <c r="B75" s="155" t="n">
        <v>1833.319667</v>
      </c>
      <c r="C75" s="155" t="n">
        <v>186.69</v>
      </c>
      <c r="D75" s="155" t="n">
        <v>339.35</v>
      </c>
      <c r="E75" s="155" t="n">
        <v>4104.6</v>
      </c>
      <c r="F75" s="152" t="n">
        <v>4.5</v>
      </c>
      <c r="G75" s="152" t="n">
        <v>0.08</v>
      </c>
      <c r="H75" s="152" t="n">
        <v>4.42</v>
      </c>
      <c r="I75" s="156" t="n">
        <v>1273.770036</v>
      </c>
      <c r="J75" s="152" t="n">
        <v>1.490459654</v>
      </c>
      <c r="K75" s="152" t="n">
        <v>89.72526667</v>
      </c>
      <c r="L75" s="152" t="n">
        <v>36.53</v>
      </c>
      <c r="M75" s="157" t="n">
        <v>0</v>
      </c>
      <c r="N75" s="155" t="n">
        <v>32434.11</v>
      </c>
      <c r="O75" s="152" t="n">
        <v>214.8181818</v>
      </c>
      <c r="P75" s="152" t="n">
        <v>2.148181818</v>
      </c>
      <c r="Q75" s="156" t="n">
        <v>-575.03</v>
      </c>
      <c r="R75" s="156" t="n">
        <v>595.6799999999999</v>
      </c>
      <c r="S75" s="152" t="n">
        <v>6.550909091</v>
      </c>
      <c r="T75" s="152" t="n">
        <v>3.203529412</v>
      </c>
      <c r="U75" s="152" t="n">
        <v>3.347379679</v>
      </c>
      <c r="V75" s="152" t="n">
        <v>1.567080941</v>
      </c>
      <c r="W75" s="152" t="n">
        <v>1.780298739</v>
      </c>
      <c r="X75" s="158" t="n">
        <v>1.749954538</v>
      </c>
      <c r="Y75" s="158" t="n">
        <v>486.3363636</v>
      </c>
      <c r="Z75" s="158" t="n">
        <v>13.05427273</v>
      </c>
      <c r="AA75" s="158" t="n">
        <v>2.74415</v>
      </c>
      <c r="AB75" s="159" t="n">
        <v>2.031721955</v>
      </c>
      <c r="AC75" s="159" t="n">
        <v>1.560226337</v>
      </c>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83" t="inlineStr">
        <is>
          <t>2011-10</t>
        </is>
      </c>
      <c r="B76" s="155" t="n">
        <v>1907.609032</v>
      </c>
      <c r="C76" s="155" t="n">
        <v>185.34</v>
      </c>
      <c r="D76" s="155" t="n">
        <v>351.16</v>
      </c>
      <c r="E76" s="155" t="n">
        <v>4112.02</v>
      </c>
      <c r="F76" s="152" t="n">
        <v>4.5</v>
      </c>
      <c r="G76" s="152" t="n">
        <v>0.07000000000000001</v>
      </c>
      <c r="H76" s="152" t="n">
        <v>4.43</v>
      </c>
      <c r="I76" s="156" t="n">
        <v>-3200.593164</v>
      </c>
      <c r="J76" s="152" t="n">
        <v>1.604418414</v>
      </c>
      <c r="K76" s="152" t="n">
        <v>90.60984500000001</v>
      </c>
      <c r="L76" s="152" t="n">
        <v>32.82904762</v>
      </c>
      <c r="M76" s="157" t="n">
        <v>0</v>
      </c>
      <c r="N76" s="155" t="n">
        <v>32739.02</v>
      </c>
      <c r="O76" s="152" t="n">
        <v>207.0952381</v>
      </c>
      <c r="P76" s="152" t="n">
        <v>2.070952381</v>
      </c>
      <c r="Q76" s="156" t="n">
        <v>-771.61</v>
      </c>
      <c r="R76" s="156" t="n">
        <v>1156.01</v>
      </c>
      <c r="S76" s="152" t="n">
        <v>6.891</v>
      </c>
      <c r="T76" s="152" t="n">
        <v>3.232352941</v>
      </c>
      <c r="U76" s="152" t="n">
        <v>3.658647059</v>
      </c>
      <c r="V76" s="152" t="n">
        <v>1.625824988</v>
      </c>
      <c r="W76" s="152" t="n">
        <v>2.032822071</v>
      </c>
      <c r="X76" s="158" t="n">
        <v>1.772285722</v>
      </c>
      <c r="Y76" s="158" t="n">
        <v>509.1928571</v>
      </c>
      <c r="Z76" s="158" t="n">
        <v>13.43847619</v>
      </c>
      <c r="AA76" s="158" t="n">
        <v>2.73113</v>
      </c>
      <c r="AB76" s="159" t="n">
        <v>0.9328167599</v>
      </c>
      <c r="AC76" s="159" t="n">
        <v>0.6064194266</v>
      </c>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83" t="inlineStr">
        <is>
          <t>2011-11</t>
        </is>
      </c>
      <c r="B77" s="155" t="n">
        <v>1919.475</v>
      </c>
      <c r="C77" s="155" t="n">
        <v>191.56</v>
      </c>
      <c r="D77" s="155" t="n">
        <v>354.01</v>
      </c>
      <c r="E77" s="155" t="n">
        <v>4105.14</v>
      </c>
      <c r="F77" s="152" t="n">
        <v>4.525</v>
      </c>
      <c r="G77" s="152" t="n">
        <v>0.08</v>
      </c>
      <c r="H77" s="152" t="n">
        <v>4.445</v>
      </c>
      <c r="I77" s="156" t="n">
        <v>-9099.518620999999</v>
      </c>
      <c r="J77" s="152" t="n">
        <v>2.652862846</v>
      </c>
      <c r="K77" s="152" t="n">
        <v>91.26488000000001</v>
      </c>
      <c r="L77" s="152" t="n">
        <v>31.94190476</v>
      </c>
      <c r="M77" s="157" t="n">
        <v>0</v>
      </c>
      <c r="N77" s="155" t="n">
        <v>32588.96</v>
      </c>
      <c r="O77" s="152" t="n">
        <v>197.0454545</v>
      </c>
      <c r="P77" s="152" t="n">
        <v>1.970454545</v>
      </c>
      <c r="Q77" s="156" t="n">
        <v>-523.34</v>
      </c>
      <c r="R77" s="156" t="n">
        <v>239.96</v>
      </c>
      <c r="S77" s="152" t="n">
        <v>7.0495</v>
      </c>
      <c r="T77" s="152" t="n">
        <v>3.002105263</v>
      </c>
      <c r="U77" s="152" t="n">
        <v>4.047394737</v>
      </c>
      <c r="V77" s="152" t="n">
        <v>1.758014995</v>
      </c>
      <c r="W77" s="152" t="n">
        <v>2.289379742</v>
      </c>
      <c r="X77" s="158" t="n">
        <v>1.786136367</v>
      </c>
      <c r="Y77" s="158" t="n">
        <v>508.6477273</v>
      </c>
      <c r="Z77" s="158" t="n">
        <v>13.69709091</v>
      </c>
      <c r="AA77" s="158" t="n">
        <v>2.705104762</v>
      </c>
      <c r="AB77" s="159" t="n">
        <v>0.1826083147</v>
      </c>
      <c r="AC77" s="159" t="n">
        <v>-0.05315976247</v>
      </c>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83" t="inlineStr">
        <is>
          <t>2011-12</t>
        </is>
      </c>
      <c r="B78" s="155" t="n">
        <v>1933.35129</v>
      </c>
      <c r="C78" s="155" t="n">
        <v>183.64</v>
      </c>
      <c r="D78" s="155" t="n">
        <v>375.7</v>
      </c>
      <c r="E78" s="155" t="n">
        <v>4064.1</v>
      </c>
      <c r="F78" s="152" t="n">
        <v>4.75</v>
      </c>
      <c r="G78" s="152" t="n">
        <v>0.07000000000000001</v>
      </c>
      <c r="H78" s="152" t="n">
        <v>4.68</v>
      </c>
      <c r="I78" s="156" t="n">
        <v>-11056.86197</v>
      </c>
      <c r="J78" s="152" t="n">
        <v>2.82812027</v>
      </c>
      <c r="K78" s="152" t="n">
        <v>92.20559048</v>
      </c>
      <c r="L78" s="152" t="n">
        <v>25.04761905</v>
      </c>
      <c r="M78" s="157" t="n">
        <v>0</v>
      </c>
      <c r="N78" s="155" t="n">
        <v>32300.44</v>
      </c>
      <c r="O78" s="152" t="n">
        <v>187.1363636</v>
      </c>
      <c r="P78" s="152" t="n">
        <v>1.871363636</v>
      </c>
      <c r="Q78" s="156" t="n">
        <v>-870.63</v>
      </c>
      <c r="R78" s="156" t="n">
        <v>615.38</v>
      </c>
      <c r="S78" s="152" t="n">
        <v>7.0905</v>
      </c>
      <c r="T78" s="152" t="n">
        <v>2.998333333</v>
      </c>
      <c r="U78" s="152" t="n">
        <v>4.092166667</v>
      </c>
      <c r="V78" s="152" t="n">
        <v>1.722495244</v>
      </c>
      <c r="W78" s="152" t="n">
        <v>2.369671423</v>
      </c>
      <c r="X78" s="158" t="n">
        <v>1.837681825</v>
      </c>
      <c r="Y78" s="158" t="n">
        <v>516.8840909</v>
      </c>
      <c r="Z78" s="158" t="n">
        <v>13.76968182</v>
      </c>
      <c r="AA78" s="158" t="n">
        <v>2.696178947</v>
      </c>
      <c r="AB78" s="159" t="n">
        <v>0.4194774238</v>
      </c>
      <c r="AC78" s="159" t="n">
        <v>0.2505962464</v>
      </c>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83" t="inlineStr">
        <is>
          <t>2012-01</t>
        </is>
      </c>
      <c r="B79" s="155" t="n">
        <v>1853.282258</v>
      </c>
      <c r="C79" s="155" t="n">
        <v>188.84</v>
      </c>
      <c r="D79" s="155" t="n">
        <v>294.54</v>
      </c>
      <c r="E79" s="155" t="n">
        <v>4067.27</v>
      </c>
      <c r="F79" s="152" t="n">
        <v>4.758064516</v>
      </c>
      <c r="G79" s="152" t="n">
        <v>0.08</v>
      </c>
      <c r="H79" s="152" t="n">
        <v>4.678064516</v>
      </c>
      <c r="I79" s="156" t="n">
        <v>3977.500343</v>
      </c>
      <c r="J79" s="152" t="n">
        <v>2.641034086</v>
      </c>
      <c r="K79" s="152" t="n">
        <v>91.646265</v>
      </c>
      <c r="L79" s="152" t="n">
        <v>20.228</v>
      </c>
      <c r="M79" s="157" t="n">
        <v>0</v>
      </c>
      <c r="N79" s="155" t="n">
        <v>32518.33</v>
      </c>
      <c r="O79" s="152" t="n">
        <v>197.1363636</v>
      </c>
      <c r="P79" s="152" t="n">
        <v>1.971363636</v>
      </c>
      <c r="Q79" s="156" t="n">
        <v>-918.67</v>
      </c>
      <c r="R79" s="156" t="n">
        <v>1248.34</v>
      </c>
      <c r="S79" s="152" t="n">
        <v>6.962857143</v>
      </c>
      <c r="T79" s="152" t="n">
        <v>2.852222222</v>
      </c>
      <c r="U79" s="152" t="n">
        <v>4.110634921</v>
      </c>
      <c r="V79" s="152" t="n">
        <v>1.799820006</v>
      </c>
      <c r="W79" s="152" t="n">
        <v>2.310814915</v>
      </c>
      <c r="X79" s="158" t="n">
        <v>1.788272733</v>
      </c>
      <c r="Y79" s="158" t="n">
        <v>499.7409091</v>
      </c>
      <c r="Z79" s="158" t="n">
        <v>13.40286364</v>
      </c>
      <c r="AA79" s="158" t="n">
        <v>2.6925</v>
      </c>
      <c r="AB79" s="159" t="n">
        <v>-1.095017501</v>
      </c>
      <c r="AC79" s="159" t="n">
        <v>-0.8462626431</v>
      </c>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83" t="inlineStr">
        <is>
          <t>2012-02</t>
        </is>
      </c>
      <c r="B80" s="155" t="n">
        <v>1782.754828</v>
      </c>
      <c r="C80" s="155" t="n">
        <v>191.26</v>
      </c>
      <c r="D80" s="155" t="n">
        <v>302.52</v>
      </c>
      <c r="E80" s="155" t="n">
        <v>4049.7</v>
      </c>
      <c r="F80" s="152" t="n">
        <v>5.025862069</v>
      </c>
      <c r="G80" s="152" t="n">
        <v>0.1</v>
      </c>
      <c r="H80" s="152" t="n">
        <v>4.925862069</v>
      </c>
      <c r="I80" s="156" t="n">
        <v>-372.308152</v>
      </c>
      <c r="J80" s="152" t="n">
        <v>2.578632323</v>
      </c>
      <c r="K80" s="152" t="n">
        <v>89.9605</v>
      </c>
      <c r="L80" s="152" t="n">
        <v>18.4205</v>
      </c>
      <c r="M80" s="157" t="n">
        <v>0</v>
      </c>
      <c r="N80" s="155" t="n">
        <v>32818.29</v>
      </c>
      <c r="O80" s="152" t="n">
        <v>175.5714286</v>
      </c>
      <c r="P80" s="152" t="n">
        <v>1.755714286</v>
      </c>
      <c r="Q80" s="156" t="n">
        <v>-651.4</v>
      </c>
      <c r="R80" s="156" t="n">
        <v>909.95</v>
      </c>
      <c r="S80" s="152" t="n">
        <v>6.967619048</v>
      </c>
      <c r="T80" s="152" t="n">
        <v>2.997894737</v>
      </c>
      <c r="U80" s="152" t="n">
        <v>3.969724311</v>
      </c>
      <c r="V80" s="152" t="n">
        <v>2.037274992</v>
      </c>
      <c r="W80" s="152" t="n">
        <v>1.932449318</v>
      </c>
      <c r="X80" s="158" t="n">
        <v>1.715619042</v>
      </c>
      <c r="Y80" s="158" t="n">
        <v>480.8690476</v>
      </c>
      <c r="Z80" s="158" t="n">
        <v>12.77552381</v>
      </c>
      <c r="AA80" s="158" t="n">
        <v>2.683271429</v>
      </c>
      <c r="AB80" s="159" t="n">
        <v>-1.534431971</v>
      </c>
      <c r="AC80" s="159" t="n">
        <v>-1.217416785</v>
      </c>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83" t="inlineStr">
        <is>
          <t>2012-03</t>
        </is>
      </c>
      <c r="B81" s="155" t="n">
        <v>1766.331613</v>
      </c>
      <c r="C81" s="155" t="n">
        <v>193.11</v>
      </c>
      <c r="D81" s="155" t="n">
        <v>338.47</v>
      </c>
      <c r="E81" s="155" t="n">
        <v>4029.13</v>
      </c>
      <c r="F81" s="152" t="n">
        <v>5.25</v>
      </c>
      <c r="G81" s="152" t="n">
        <v>0.13</v>
      </c>
      <c r="H81" s="152" t="n">
        <v>5.12</v>
      </c>
      <c r="I81" s="156" t="n">
        <v>-598.6766777</v>
      </c>
      <c r="J81" s="152" t="n">
        <v>2.738779895</v>
      </c>
      <c r="K81" s="152" t="n">
        <v>90.51121363999999</v>
      </c>
      <c r="L81" s="152" t="n">
        <v>16.16727273</v>
      </c>
      <c r="M81" s="157" t="n">
        <v>0</v>
      </c>
      <c r="N81" s="155" t="n">
        <v>33121.74</v>
      </c>
      <c r="O81" s="152" t="n">
        <v>149.0909091</v>
      </c>
      <c r="P81" s="152" t="n">
        <v>1.490909091</v>
      </c>
      <c r="Q81" s="156" t="n">
        <v>-570.85</v>
      </c>
      <c r="R81" s="156" t="n">
        <v>888.26</v>
      </c>
      <c r="S81" s="152" t="n">
        <v>6.788095238</v>
      </c>
      <c r="T81" s="152" t="n">
        <v>3.228888889</v>
      </c>
      <c r="U81" s="152" t="n">
        <v>3.559206349</v>
      </c>
      <c r="V81" s="152" t="n">
        <v>2.17007727</v>
      </c>
      <c r="W81" s="152" t="n">
        <v>1.389129079</v>
      </c>
      <c r="X81" s="158" t="n">
        <v>1.794590912</v>
      </c>
      <c r="Y81" s="158" t="n">
        <v>485.6181818</v>
      </c>
      <c r="Z81" s="158" t="n">
        <v>12.74281818</v>
      </c>
      <c r="AA81" s="158" t="n">
        <v>2.670872727</v>
      </c>
      <c r="AB81" s="159" t="n">
        <v>0.3981916376</v>
      </c>
      <c r="AC81" s="159" t="n">
        <v>0.2079542913</v>
      </c>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83" t="inlineStr">
        <is>
          <t>2012-04</t>
        </is>
      </c>
      <c r="B82" s="155" t="n">
        <v>1774.249</v>
      </c>
      <c r="C82" s="155" t="n">
        <v>189.48</v>
      </c>
      <c r="D82" s="155" t="n">
        <v>330.6</v>
      </c>
      <c r="E82" s="155" t="n">
        <v>4051.72</v>
      </c>
      <c r="F82" s="152" t="n">
        <v>5.25</v>
      </c>
      <c r="G82" s="152" t="n">
        <v>0.14</v>
      </c>
      <c r="H82" s="152" t="n">
        <v>5.11</v>
      </c>
      <c r="I82" s="156" t="n">
        <v>9730.221583</v>
      </c>
      <c r="J82" s="152" t="n">
        <v>1.86842231</v>
      </c>
      <c r="K82" s="152" t="n">
        <v>90.81560952</v>
      </c>
      <c r="L82" s="152" t="n">
        <v>17.823</v>
      </c>
      <c r="M82" s="157" t="n">
        <v>0</v>
      </c>
      <c r="N82" s="155" t="n">
        <v>33554.52</v>
      </c>
      <c r="O82" s="152" t="n">
        <v>147.4761905</v>
      </c>
      <c r="P82" s="152" t="n">
        <v>1.474761905</v>
      </c>
      <c r="Q82" s="156" t="n">
        <v>-507.33</v>
      </c>
      <c r="R82" s="156" t="n">
        <v>989.5599999999999</v>
      </c>
      <c r="S82" s="152" t="n">
        <v>6.592631579</v>
      </c>
      <c r="T82" s="152" t="n">
        <v>3.293529412</v>
      </c>
      <c r="U82" s="152" t="n">
        <v>3.299102167</v>
      </c>
      <c r="V82" s="152" t="n">
        <v>2.065314282</v>
      </c>
      <c r="W82" s="152" t="n">
        <v>1.233787886</v>
      </c>
      <c r="X82" s="158" t="n">
        <v>1.852952389</v>
      </c>
      <c r="Y82" s="158" t="n">
        <v>485.4452381</v>
      </c>
      <c r="Z82" s="158" t="n">
        <v>13.05628571</v>
      </c>
      <c r="AA82" s="158" t="n">
        <v>2.656622222</v>
      </c>
      <c r="AB82" s="159" t="n">
        <v>0.4744600182</v>
      </c>
      <c r="AC82" s="159" t="n">
        <v>0.2507070853</v>
      </c>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83" t="inlineStr">
        <is>
          <t>2012-05</t>
        </is>
      </c>
      <c r="B83" s="155" t="n">
        <v>1793.276774</v>
      </c>
      <c r="C83" s="155" t="n">
        <v>172.38</v>
      </c>
      <c r="D83" s="155" t="n">
        <v>354.33</v>
      </c>
      <c r="E83" s="155" t="n">
        <v>4056.38</v>
      </c>
      <c r="F83" s="152" t="n">
        <v>5.25</v>
      </c>
      <c r="G83" s="152" t="n">
        <v>0.16</v>
      </c>
      <c r="H83" s="152" t="n">
        <v>5.09</v>
      </c>
      <c r="I83" s="156" t="n">
        <v>777.0797026</v>
      </c>
      <c r="J83" s="152" t="n">
        <v>1.767762633</v>
      </c>
      <c r="K83" s="152" t="n">
        <v>92.49278636</v>
      </c>
      <c r="L83" s="152" t="n">
        <v>21.00181818</v>
      </c>
      <c r="M83" s="157" t="n">
        <v>0</v>
      </c>
      <c r="N83" s="155" t="n">
        <v>33669.15</v>
      </c>
      <c r="O83" s="152" t="n">
        <v>174.3043478</v>
      </c>
      <c r="P83" s="152" t="n">
        <v>1.743043478</v>
      </c>
      <c r="Q83" s="156" t="n">
        <v>-416.53</v>
      </c>
      <c r="R83" s="156" t="n">
        <v>496.59</v>
      </c>
      <c r="S83" s="152" t="n">
        <v>6.642857143</v>
      </c>
      <c r="T83" s="152" t="n">
        <v>3.336666667</v>
      </c>
      <c r="U83" s="152" t="n">
        <v>3.306190476</v>
      </c>
      <c r="V83" s="152" t="n">
        <v>1.931013644</v>
      </c>
      <c r="W83" s="152" t="n">
        <v>1.375176832</v>
      </c>
      <c r="X83" s="158" t="n">
        <v>1.98134783</v>
      </c>
      <c r="Y83" s="158" t="n">
        <v>498.226087</v>
      </c>
      <c r="Z83" s="158" t="n">
        <v>13.62604348</v>
      </c>
      <c r="AA83" s="158" t="n">
        <v>2.669736364</v>
      </c>
      <c r="AB83" s="159" t="n">
        <v>1.341861733</v>
      </c>
      <c r="AC83" s="159" t="n">
        <v>1.107902435</v>
      </c>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83" t="inlineStr">
        <is>
          <t>2012-06</t>
        </is>
      </c>
      <c r="B84" s="155" t="n">
        <v>1792.546667</v>
      </c>
      <c r="C84" s="155" t="n">
        <v>160.51</v>
      </c>
      <c r="D84" s="155" t="n">
        <v>319.67</v>
      </c>
      <c r="E84" s="155" t="n">
        <v>4049.42</v>
      </c>
      <c r="F84" s="152" t="n">
        <v>5.25</v>
      </c>
      <c r="G84" s="152" t="n">
        <v>0.16</v>
      </c>
      <c r="H84" s="152" t="n">
        <v>5.09</v>
      </c>
      <c r="I84" s="156" t="n">
        <v>2603.840731</v>
      </c>
      <c r="J84" s="152" t="n">
        <v>1.408046888</v>
      </c>
      <c r="K84" s="152" t="n">
        <v>93.88086667</v>
      </c>
      <c r="L84" s="152" t="n">
        <v>21.13095238</v>
      </c>
      <c r="M84" s="157" t="n">
        <v>0</v>
      </c>
      <c r="N84" s="155" t="n">
        <v>34265.53</v>
      </c>
      <c r="O84" s="152" t="n">
        <v>172.7619048</v>
      </c>
      <c r="P84" s="152" t="n">
        <v>1.727619048</v>
      </c>
      <c r="Q84" s="156" t="n">
        <v>-488.08</v>
      </c>
      <c r="R84" s="156" t="n">
        <v>1266.02</v>
      </c>
      <c r="S84" s="152" t="n">
        <v>6.504736842</v>
      </c>
      <c r="T84" s="152" t="n">
        <v>3.328333333</v>
      </c>
      <c r="U84" s="152" t="n">
        <v>3.176403509</v>
      </c>
      <c r="V84" s="152" t="n">
        <v>1.782585717</v>
      </c>
      <c r="W84" s="152" t="n">
        <v>1.393817791</v>
      </c>
      <c r="X84" s="158" t="n">
        <v>2.048904759</v>
      </c>
      <c r="Y84" s="158" t="n">
        <v>504.3857143</v>
      </c>
      <c r="Z84" s="158" t="n">
        <v>13.9137619</v>
      </c>
      <c r="AA84" s="158" t="n">
        <v>2.67096</v>
      </c>
      <c r="AB84" s="159" t="n">
        <v>0.6053731685</v>
      </c>
      <c r="AC84" s="159" t="n">
        <v>0.4657101043</v>
      </c>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83" t="inlineStr">
        <is>
          <t>2012-07</t>
        </is>
      </c>
      <c r="B85" s="155" t="n">
        <v>1783.820323</v>
      </c>
      <c r="C85" s="155" t="n">
        <v>162.14</v>
      </c>
      <c r="D85" s="155" t="n">
        <v>330.39</v>
      </c>
      <c r="E85" s="155" t="n">
        <v>4060.39</v>
      </c>
      <c r="F85" s="152" t="n">
        <v>5.233870968</v>
      </c>
      <c r="G85" s="152" t="n">
        <v>0.16</v>
      </c>
      <c r="H85" s="152" t="n">
        <v>5.073870968</v>
      </c>
      <c r="I85" s="156" t="n">
        <v>-739.9800067</v>
      </c>
      <c r="J85" s="152" t="n">
        <v>1.500560281</v>
      </c>
      <c r="K85" s="152" t="n">
        <v>93.40616667</v>
      </c>
      <c r="L85" s="152" t="n">
        <v>17.5652381</v>
      </c>
      <c r="M85" s="157" t="n">
        <v>0</v>
      </c>
      <c r="N85" s="155" t="n">
        <v>34712.56</v>
      </c>
      <c r="O85" s="152" t="n">
        <v>150.9545455</v>
      </c>
      <c r="P85" s="152" t="n">
        <v>1.509545455</v>
      </c>
      <c r="Q85" s="156" t="n">
        <v>-510.66</v>
      </c>
      <c r="R85" s="156" t="n">
        <v>1098.05</v>
      </c>
      <c r="S85" s="152" t="n">
        <v>6.223</v>
      </c>
      <c r="T85" s="152" t="n">
        <v>3.334375</v>
      </c>
      <c r="U85" s="152" t="n">
        <v>2.888625</v>
      </c>
      <c r="V85" s="152" t="n">
        <v>1.783238104</v>
      </c>
      <c r="W85" s="152" t="n">
        <v>1.105386896</v>
      </c>
      <c r="X85" s="158" t="n">
        <v>2.027727268</v>
      </c>
      <c r="Y85" s="158" t="n">
        <v>490.9340909</v>
      </c>
      <c r="Z85" s="158" t="n">
        <v>13.35668182</v>
      </c>
      <c r="AA85" s="158" t="n">
        <v>2.634985714</v>
      </c>
      <c r="AB85" s="159" t="n">
        <v>-1.023997101</v>
      </c>
      <c r="AC85" s="159" t="n">
        <v>-1.038272808</v>
      </c>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83" t="inlineStr">
        <is>
          <t>2012-08</t>
        </is>
      </c>
      <c r="B86" s="155" t="n">
        <v>1805.523226</v>
      </c>
      <c r="C86" s="155" t="n">
        <v>155.67</v>
      </c>
      <c r="D86" s="155" t="n">
        <v>346.78</v>
      </c>
      <c r="E86" s="155" t="n">
        <v>4037.52</v>
      </c>
      <c r="F86" s="152" t="n">
        <v>4.959677419</v>
      </c>
      <c r="G86" s="152" t="n">
        <v>0.13</v>
      </c>
      <c r="H86" s="152" t="n">
        <v>4.829677419</v>
      </c>
      <c r="I86" s="156" t="n">
        <v>-3395.703087</v>
      </c>
      <c r="J86" s="152" t="n">
        <v>1.515547366</v>
      </c>
      <c r="K86" s="152" t="n">
        <v>92.52826521999999</v>
      </c>
      <c r="L86" s="152" t="n">
        <v>15.68956522</v>
      </c>
      <c r="M86" s="157" t="n">
        <v>0</v>
      </c>
      <c r="N86" s="155" t="n">
        <v>35270.04</v>
      </c>
      <c r="O86" s="152" t="n">
        <v>128.7826087</v>
      </c>
      <c r="P86" s="152" t="n">
        <v>1.287826087</v>
      </c>
      <c r="Q86" s="156" t="n">
        <v>-387.72</v>
      </c>
      <c r="R86" s="156" t="n">
        <v>867.16</v>
      </c>
      <c r="S86" s="152" t="n">
        <v>5.871904762</v>
      </c>
      <c r="T86" s="152" t="n">
        <v>3.06</v>
      </c>
      <c r="U86" s="152" t="n">
        <v>2.811904762</v>
      </c>
      <c r="V86" s="152" t="n">
        <v>1.941217391</v>
      </c>
      <c r="W86" s="152" t="n">
        <v>0.8706873705</v>
      </c>
      <c r="X86" s="158" t="n">
        <v>2.027913031</v>
      </c>
      <c r="Y86" s="158" t="n">
        <v>480.8956522</v>
      </c>
      <c r="Z86" s="158" t="n">
        <v>13.178</v>
      </c>
      <c r="AA86" s="158" t="n">
        <v>2.61587619</v>
      </c>
      <c r="AB86" s="159" t="n">
        <v>-0.5212470283</v>
      </c>
      <c r="AC86" s="159" t="n">
        <v>-0.5348684544</v>
      </c>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83" t="inlineStr">
        <is>
          <t>2012-09</t>
        </is>
      </c>
      <c r="B87" s="155" t="n">
        <v>1802.746333</v>
      </c>
      <c r="C87" s="155" t="n">
        <v>169.21</v>
      </c>
      <c r="D87" s="155" t="n">
        <v>313.1</v>
      </c>
      <c r="E87" s="155" t="n">
        <v>4011.27</v>
      </c>
      <c r="F87" s="152" t="n">
        <v>4.75</v>
      </c>
      <c r="G87" s="152" t="n">
        <v>0.14</v>
      </c>
      <c r="H87" s="152" t="n">
        <v>4.61</v>
      </c>
      <c r="I87" s="156" t="n">
        <v>590.9353321</v>
      </c>
      <c r="J87" s="152" t="n">
        <v>1.617997108</v>
      </c>
      <c r="K87" s="152" t="n">
        <v>90.9802</v>
      </c>
      <c r="L87" s="152" t="n">
        <v>15.28473684</v>
      </c>
      <c r="M87" s="157" t="n">
        <v>0</v>
      </c>
      <c r="N87" s="155" t="n">
        <v>35829.46</v>
      </c>
      <c r="O87" s="152" t="n">
        <v>126.5</v>
      </c>
      <c r="P87" s="152" t="n">
        <v>1.265</v>
      </c>
      <c r="Q87" s="156" t="n">
        <v>-419.47</v>
      </c>
      <c r="R87" s="156" t="n">
        <v>998.3200000000001</v>
      </c>
      <c r="S87" s="152" t="n">
        <v>5.797</v>
      </c>
      <c r="T87" s="152" t="n">
        <v>2.645789474</v>
      </c>
      <c r="U87" s="152" t="n">
        <v>3.151210526</v>
      </c>
      <c r="V87" s="152" t="n">
        <v>2.172694721</v>
      </c>
      <c r="W87" s="152" t="n">
        <v>0.9785158056</v>
      </c>
      <c r="X87" s="158" t="n">
        <v>2.02650001</v>
      </c>
      <c r="Y87" s="158" t="n">
        <v>473.5725</v>
      </c>
      <c r="Z87" s="158" t="n">
        <v>12.9339</v>
      </c>
      <c r="AA87" s="158" t="n">
        <v>2.60267</v>
      </c>
      <c r="AB87" s="159" t="n">
        <v>-0.5246747376000001</v>
      </c>
      <c r="AC87" s="159" t="n">
        <v>-0.4928404222</v>
      </c>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83" t="inlineStr">
        <is>
          <t>2012-10</t>
        </is>
      </c>
      <c r="B88" s="155" t="n">
        <v>1804.400968</v>
      </c>
      <c r="C88" s="155" t="n">
        <v>170.07</v>
      </c>
      <c r="D88" s="155" t="n">
        <v>353.61</v>
      </c>
      <c r="E88" s="155" t="n">
        <v>4013.72</v>
      </c>
      <c r="F88" s="152" t="n">
        <v>4.75</v>
      </c>
      <c r="G88" s="152" t="n">
        <v>0.16</v>
      </c>
      <c r="H88" s="152" t="n">
        <v>4.59</v>
      </c>
      <c r="I88" s="156" t="n">
        <v>-5623.009116</v>
      </c>
      <c r="J88" s="152" t="n">
        <v>1.981446547</v>
      </c>
      <c r="K88" s="152" t="n">
        <v>90.75663</v>
      </c>
      <c r="L88" s="152" t="n">
        <v>16.27619048</v>
      </c>
      <c r="M88" s="157" t="n">
        <v>0</v>
      </c>
      <c r="N88" s="155" t="n">
        <v>36395.33</v>
      </c>
      <c r="O88" s="152" t="n">
        <v>110.6521739</v>
      </c>
      <c r="P88" s="152" t="n">
        <v>1.106521739</v>
      </c>
      <c r="Q88" s="156" t="n">
        <v>-293.83</v>
      </c>
      <c r="R88" s="156" t="n">
        <v>994.42</v>
      </c>
      <c r="S88" s="152" t="n">
        <v>5.562272727</v>
      </c>
      <c r="T88" s="152" t="n">
        <v>2.343333333</v>
      </c>
      <c r="U88" s="152" t="n">
        <v>3.218939394</v>
      </c>
      <c r="V88" s="152" t="n">
        <v>2.215485709</v>
      </c>
      <c r="W88" s="152" t="n">
        <v>1.003453685</v>
      </c>
      <c r="X88" s="158" t="n">
        <v>2.029304328</v>
      </c>
      <c r="Y88" s="158" t="n">
        <v>475.4326087</v>
      </c>
      <c r="Z88" s="158" t="n">
        <v>12.88921739</v>
      </c>
      <c r="AA88" s="158" t="n">
        <v>2.58766</v>
      </c>
      <c r="AB88" s="159" t="n">
        <v>-0.08289523778000001</v>
      </c>
      <c r="AC88" s="159" t="n">
        <v>-0.176039286</v>
      </c>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83" t="inlineStr">
        <is>
          <t>2012-11</t>
        </is>
      </c>
      <c r="B89" s="155" t="n">
        <v>1821.013667</v>
      </c>
      <c r="C89" s="155" t="n">
        <v>167.03</v>
      </c>
      <c r="D89" s="155" t="n">
        <v>327.24</v>
      </c>
      <c r="E89" s="155" t="n">
        <v>3986.95</v>
      </c>
      <c r="F89" s="152" t="n">
        <v>4.708333333</v>
      </c>
      <c r="G89" s="152" t="n">
        <v>0.16</v>
      </c>
      <c r="H89" s="152" t="n">
        <v>4.548333333</v>
      </c>
      <c r="I89" s="156" t="n">
        <v>-2810.256374</v>
      </c>
      <c r="J89" s="152" t="n">
        <v>1.037831214</v>
      </c>
      <c r="K89" s="152" t="n">
        <v>91.47508000000001</v>
      </c>
      <c r="L89" s="152" t="n">
        <v>16.70190476</v>
      </c>
      <c r="M89" s="157" t="n">
        <v>0</v>
      </c>
      <c r="N89" s="155" t="n">
        <v>36889.85</v>
      </c>
      <c r="O89" s="152" t="n">
        <v>122.8181818</v>
      </c>
      <c r="P89" s="152" t="n">
        <v>1.228181818</v>
      </c>
      <c r="Q89" s="156" t="n">
        <v>-363.11</v>
      </c>
      <c r="R89" s="156" t="n">
        <v>861.1799999999999</v>
      </c>
      <c r="S89" s="152" t="n">
        <v>5.598</v>
      </c>
      <c r="T89" s="152" t="n">
        <v>2.34</v>
      </c>
      <c r="U89" s="152" t="n">
        <v>3.258</v>
      </c>
      <c r="V89" s="152" t="n">
        <v>2.123420012</v>
      </c>
      <c r="W89" s="152" t="n">
        <v>1.134579988</v>
      </c>
      <c r="X89" s="158" t="n">
        <v>2.066954537</v>
      </c>
      <c r="Y89" s="158" t="n">
        <v>480.0122727</v>
      </c>
      <c r="Z89" s="158" t="n">
        <v>13.06513636</v>
      </c>
      <c r="AA89" s="158" t="n">
        <v>2.598605</v>
      </c>
      <c r="AB89" s="159" t="n">
        <v>0.3461067737</v>
      </c>
      <c r="AC89" s="159" t="n">
        <v>0.3469369418</v>
      </c>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83" t="inlineStr">
        <is>
          <t>2012-12</t>
        </is>
      </c>
      <c r="B90" s="155" t="n">
        <v>1792.494839</v>
      </c>
      <c r="C90" s="155" t="n">
        <v>166.52</v>
      </c>
      <c r="D90" s="155" t="n">
        <v>358.42</v>
      </c>
      <c r="E90" s="155" t="n">
        <v>3969.67</v>
      </c>
      <c r="F90" s="152" t="n">
        <v>4.435483871</v>
      </c>
      <c r="G90" s="152" t="n">
        <v>0.16</v>
      </c>
      <c r="H90" s="152" t="n">
        <v>4.275483871</v>
      </c>
      <c r="I90" s="156" t="n">
        <v>-19579.2955</v>
      </c>
      <c r="J90" s="152" t="n">
        <v>2.316502485</v>
      </c>
      <c r="K90" s="152" t="n">
        <v>90.88039000000001</v>
      </c>
      <c r="L90" s="152" t="n">
        <v>17.307</v>
      </c>
      <c r="M90" s="157" t="n">
        <v>0</v>
      </c>
      <c r="N90" s="155" t="n">
        <v>37466.61</v>
      </c>
      <c r="O90" s="152" t="n">
        <v>116.1428571</v>
      </c>
      <c r="P90" s="152" t="n">
        <v>1.161428571</v>
      </c>
      <c r="Q90" s="156" t="n">
        <v>-578.73</v>
      </c>
      <c r="R90" s="156" t="n">
        <v>1207.44</v>
      </c>
      <c r="S90" s="152" t="n">
        <v>5.325263158</v>
      </c>
      <c r="T90" s="152" t="n">
        <v>2.421428571</v>
      </c>
      <c r="U90" s="152" t="n">
        <v>2.903834586</v>
      </c>
      <c r="V90" s="152" t="n">
        <v>2.206884992</v>
      </c>
      <c r="W90" s="152" t="n">
        <v>0.6969495943</v>
      </c>
      <c r="X90" s="158" t="n">
        <v>2.075904778</v>
      </c>
      <c r="Y90" s="158" t="n">
        <v>476.672381</v>
      </c>
      <c r="Z90" s="158" t="n">
        <v>12.8622381</v>
      </c>
      <c r="AA90" s="158" t="n">
        <v>2.566561111</v>
      </c>
      <c r="AB90" s="159" t="n">
        <v>-0.3382040945</v>
      </c>
      <c r="AC90" s="159" t="n">
        <v>-0.5007506455</v>
      </c>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83" t="inlineStr">
        <is>
          <t>2013-01</t>
        </is>
      </c>
      <c r="B91" s="155" t="n">
        <v>1769.672581</v>
      </c>
      <c r="C91" s="155" t="n">
        <v>167.43</v>
      </c>
      <c r="D91" s="155" t="n">
        <v>329.4</v>
      </c>
      <c r="E91" s="155" t="n">
        <v>4004.53</v>
      </c>
      <c r="F91" s="152" t="n">
        <v>4.225806452</v>
      </c>
      <c r="G91" s="152" t="n">
        <v>0.14</v>
      </c>
      <c r="H91" s="152" t="n">
        <v>4.085806452</v>
      </c>
      <c r="I91" s="156" t="n">
        <v>8920.333169</v>
      </c>
      <c r="J91" s="152" t="n">
        <v>1.469951168</v>
      </c>
      <c r="K91" s="152" t="n">
        <v>90.82551429</v>
      </c>
      <c r="L91" s="152" t="n">
        <v>13.5052381</v>
      </c>
      <c r="M91" s="157" t="n">
        <v>0</v>
      </c>
      <c r="N91" s="155" t="n">
        <v>37862.51</v>
      </c>
      <c r="O91" s="152" t="n">
        <v>112.4347826</v>
      </c>
      <c r="P91" s="152" t="n">
        <v>1.124347826</v>
      </c>
      <c r="Q91" s="156" t="n">
        <v>-462.35</v>
      </c>
      <c r="R91" s="156" t="n">
        <v>975.46</v>
      </c>
      <c r="S91" s="152" t="n">
        <v>4.87952381</v>
      </c>
      <c r="T91" s="152" t="n">
        <v>2.092941176</v>
      </c>
      <c r="U91" s="152" t="n">
        <v>2.786582633</v>
      </c>
      <c r="V91" s="152" t="n">
        <v>2.308266674</v>
      </c>
      <c r="W91" s="152" t="n">
        <v>0.4783159593</v>
      </c>
      <c r="X91" s="158" t="n">
        <v>2.029043472</v>
      </c>
      <c r="Y91" s="158" t="n">
        <v>471.8052174</v>
      </c>
      <c r="Z91" s="158" t="n">
        <v>12.69817391</v>
      </c>
      <c r="AA91" s="158" t="n">
        <v>2.552172727</v>
      </c>
      <c r="AB91" s="159" t="n">
        <v>-0.5923571245</v>
      </c>
      <c r="AC91" s="159" t="n">
        <v>-0.5548777429</v>
      </c>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83" t="inlineStr">
        <is>
          <t>2013-02</t>
        </is>
      </c>
      <c r="B92" s="155" t="n">
        <v>1790.547857</v>
      </c>
      <c r="C92" s="155" t="n">
        <v>170.29</v>
      </c>
      <c r="D92" s="155" t="n">
        <v>317.32</v>
      </c>
      <c r="E92" s="155" t="n">
        <v>4019.33</v>
      </c>
      <c r="F92" s="152" t="n">
        <v>3.964285714</v>
      </c>
      <c r="G92" s="152" t="n">
        <v>0.15</v>
      </c>
      <c r="H92" s="152" t="n">
        <v>3.814285714</v>
      </c>
      <c r="I92" s="156" t="n">
        <v>-1878.951326</v>
      </c>
      <c r="J92" s="152" t="n">
        <v>1.680938137</v>
      </c>
      <c r="K92" s="152" t="n">
        <v>91.55087368</v>
      </c>
      <c r="L92" s="152" t="n">
        <v>14.07263158</v>
      </c>
      <c r="M92" s="157" t="n">
        <v>0</v>
      </c>
      <c r="N92" s="155" t="n">
        <v>38535.79</v>
      </c>
      <c r="O92" s="152" t="n">
        <v>131.3</v>
      </c>
      <c r="P92" s="152" t="n">
        <v>1.313</v>
      </c>
      <c r="Q92" s="156" t="n">
        <v>-260.93</v>
      </c>
      <c r="R92" s="156" t="n">
        <v>737.1799999999999</v>
      </c>
      <c r="S92" s="152" t="n">
        <v>4.587</v>
      </c>
      <c r="T92" s="152" t="n">
        <v>1.917692308</v>
      </c>
      <c r="U92" s="152" t="n">
        <v>2.669307692</v>
      </c>
      <c r="V92" s="152" t="n">
        <v>2.449884226</v>
      </c>
      <c r="W92" s="152" t="n">
        <v>0.2194234659</v>
      </c>
      <c r="X92" s="158" t="n">
        <v>1.972700006</v>
      </c>
      <c r="Y92" s="158" t="n">
        <v>472.018</v>
      </c>
      <c r="Z92" s="158" t="n">
        <v>12.71625</v>
      </c>
      <c r="AA92" s="158" t="n">
        <v>2.578347368</v>
      </c>
      <c r="AB92" s="159" t="n">
        <v>-0.3363675092</v>
      </c>
      <c r="AC92" s="159" t="n">
        <v>-0.04458517608</v>
      </c>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83" t="inlineStr">
        <is>
          <t>2013-03</t>
        </is>
      </c>
      <c r="B93" s="155" t="n">
        <v>1813.74871</v>
      </c>
      <c r="C93" s="155" t="n">
        <v>164.81</v>
      </c>
      <c r="D93" s="155" t="n">
        <v>334.17</v>
      </c>
      <c r="E93" s="155" t="n">
        <v>4015.03</v>
      </c>
      <c r="F93" s="152" t="n">
        <v>3.653225806</v>
      </c>
      <c r="G93" s="152" t="n">
        <v>0.14</v>
      </c>
      <c r="H93" s="152" t="n">
        <v>3.513225806</v>
      </c>
      <c r="I93" s="156" t="n">
        <v>-3909.373406</v>
      </c>
      <c r="J93" s="152" t="n">
        <v>2.144560764</v>
      </c>
      <c r="K93" s="152" t="n">
        <v>92.41318</v>
      </c>
      <c r="L93" s="152" t="n">
        <v>13.0315</v>
      </c>
      <c r="M93" s="157" t="n">
        <v>0</v>
      </c>
      <c r="N93" s="155" t="n">
        <v>39334.93</v>
      </c>
      <c r="O93" s="152" t="n">
        <v>141.8095238</v>
      </c>
      <c r="P93" s="152" t="n">
        <v>1.418095238</v>
      </c>
      <c r="Q93" s="156" t="n">
        <v>-133.72</v>
      </c>
      <c r="R93" s="156" t="n">
        <v>1025.15</v>
      </c>
      <c r="S93" s="152" t="n">
        <v>4.474444444</v>
      </c>
      <c r="T93" s="152" t="n">
        <v>1.701538462</v>
      </c>
      <c r="U93" s="152" t="n">
        <v>2.772905983</v>
      </c>
      <c r="V93" s="152" t="n">
        <v>2.481630003</v>
      </c>
      <c r="W93" s="152" t="n">
        <v>0.2912759795</v>
      </c>
      <c r="X93" s="158" t="n">
        <v>1.98509524</v>
      </c>
      <c r="Y93" s="158" t="n">
        <v>472.0547619</v>
      </c>
      <c r="Z93" s="158" t="n">
        <v>12.49833333</v>
      </c>
      <c r="AA93" s="158" t="n">
        <v>2.594173684</v>
      </c>
      <c r="AB93" s="159" t="n">
        <v>-0.2519671956</v>
      </c>
      <c r="AC93" s="159" t="n">
        <v>-0.06343102824000001</v>
      </c>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83" t="inlineStr">
        <is>
          <t>2013-04</t>
        </is>
      </c>
      <c r="B94" s="155" t="n">
        <v>1830.231333</v>
      </c>
      <c r="C94" s="155" t="n">
        <v>156.96</v>
      </c>
      <c r="D94" s="155" t="n">
        <v>387.13</v>
      </c>
      <c r="E94" s="155" t="n">
        <v>4071.56</v>
      </c>
      <c r="F94" s="152" t="n">
        <v>3.25</v>
      </c>
      <c r="G94" s="152" t="n">
        <v>0.15</v>
      </c>
      <c r="H94" s="152" t="n">
        <v>3.1</v>
      </c>
      <c r="I94" s="156" t="n">
        <v>3956.848764</v>
      </c>
      <c r="J94" s="152" t="n">
        <v>2.953051089</v>
      </c>
      <c r="K94" s="152" t="n">
        <v>92.04782272999999</v>
      </c>
      <c r="L94" s="152" t="n">
        <v>13.96727273</v>
      </c>
      <c r="M94" s="157" t="n">
        <v>0</v>
      </c>
      <c r="N94" s="155" t="n">
        <v>40089.66</v>
      </c>
      <c r="O94" s="152" t="n">
        <v>131.9545455</v>
      </c>
      <c r="P94" s="152" t="n">
        <v>1.319545455</v>
      </c>
      <c r="Q94" s="156" t="n">
        <v>-442.14</v>
      </c>
      <c r="R94" s="156" t="n">
        <v>1245.43</v>
      </c>
      <c r="S94" s="152" t="n">
        <v>4.490909091</v>
      </c>
      <c r="T94" s="152" t="n">
        <v>1.738666667</v>
      </c>
      <c r="U94" s="152" t="n">
        <v>2.752242424</v>
      </c>
      <c r="V94" s="152" t="n">
        <v>2.290472713</v>
      </c>
      <c r="W94" s="152" t="n">
        <v>0.4617697109</v>
      </c>
      <c r="X94" s="158" t="n">
        <v>2.001409075</v>
      </c>
      <c r="Y94" s="158" t="n">
        <v>471.8686364</v>
      </c>
      <c r="Z94" s="158" t="n">
        <v>12.21318182</v>
      </c>
      <c r="AA94" s="158" t="n">
        <v>2.598068182</v>
      </c>
      <c r="AB94" s="159" t="n">
        <v>-0.3097547991</v>
      </c>
      <c r="AC94" s="159" t="n">
        <v>-0.1996801271</v>
      </c>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83" t="inlineStr">
        <is>
          <t>2013-05</t>
        </is>
      </c>
      <c r="B95" s="155" t="n">
        <v>1847.92129</v>
      </c>
      <c r="C95" s="155" t="n">
        <v>156.56</v>
      </c>
      <c r="D95" s="155" t="n">
        <v>395.79</v>
      </c>
      <c r="E95" s="155" t="n">
        <v>4113.02</v>
      </c>
      <c r="F95" s="152" t="n">
        <v>3.25</v>
      </c>
      <c r="G95" s="152" t="n">
        <v>0.11</v>
      </c>
      <c r="H95" s="152" t="n">
        <v>3.14</v>
      </c>
      <c r="I95" s="156" t="n">
        <v>526.3185837</v>
      </c>
      <c r="J95" s="152" t="n">
        <v>2.98816712</v>
      </c>
      <c r="K95" s="152" t="n">
        <v>92.52896818000001</v>
      </c>
      <c r="L95" s="152" t="n">
        <v>13.49363636</v>
      </c>
      <c r="M95" s="157" t="n">
        <v>0</v>
      </c>
      <c r="N95" s="155" t="n">
        <v>40509.26</v>
      </c>
      <c r="O95" s="152" t="n">
        <v>135.3913043</v>
      </c>
      <c r="P95" s="152" t="n">
        <v>1.353913043</v>
      </c>
      <c r="Q95" s="156" t="n">
        <v>-261.47</v>
      </c>
      <c r="R95" s="156" t="n">
        <v>544.87</v>
      </c>
      <c r="S95" s="152" t="n">
        <v>4.784285714</v>
      </c>
      <c r="T95" s="152" t="n">
        <v>2.002666667</v>
      </c>
      <c r="U95" s="152" t="n">
        <v>2.781619048</v>
      </c>
      <c r="V95" s="152" t="n">
        <v>2.064354523</v>
      </c>
      <c r="W95" s="152" t="n">
        <v>0.717264525</v>
      </c>
      <c r="X95" s="158" t="n">
        <v>2.039238101</v>
      </c>
      <c r="Y95" s="158" t="n">
        <v>481.2471429</v>
      </c>
      <c r="Z95" s="158" t="n">
        <v>12.31371429</v>
      </c>
      <c r="AA95" s="158" t="n">
        <v>2.645718182</v>
      </c>
      <c r="AB95" s="159" t="n">
        <v>0.4110659314</v>
      </c>
      <c r="AC95" s="159" t="n">
        <v>0.6763080216</v>
      </c>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83" t="inlineStr">
        <is>
          <t>2013-06</t>
        </is>
      </c>
      <c r="B96" s="155" t="n">
        <v>1909.849333</v>
      </c>
      <c r="C96" s="155" t="n">
        <v>157.8</v>
      </c>
      <c r="D96" s="155" t="n">
        <v>372.87</v>
      </c>
      <c r="E96" s="155" t="n">
        <v>4166.22</v>
      </c>
      <c r="F96" s="152" t="n">
        <v>3.25</v>
      </c>
      <c r="G96" s="152" t="n">
        <v>0.09</v>
      </c>
      <c r="H96" s="152" t="n">
        <v>3.16</v>
      </c>
      <c r="I96" s="156" t="n">
        <v>2058.561346</v>
      </c>
      <c r="J96" s="152" t="n">
        <v>3.064526836</v>
      </c>
      <c r="K96" s="152" t="n">
        <v>93.283615</v>
      </c>
      <c r="L96" s="152" t="n">
        <v>17.2715</v>
      </c>
      <c r="M96" s="157" t="n">
        <v>0</v>
      </c>
      <c r="N96" s="155" t="n">
        <v>40816.75</v>
      </c>
      <c r="O96" s="152" t="n">
        <v>180</v>
      </c>
      <c r="P96" s="152" t="n">
        <v>1.8</v>
      </c>
      <c r="Q96" s="156" t="n">
        <v>-285.82</v>
      </c>
      <c r="R96" s="156" t="n">
        <v>674.9299999999999</v>
      </c>
      <c r="S96" s="152" t="n">
        <v>6.256666667</v>
      </c>
      <c r="T96" s="152" t="n">
        <v>3.113333333</v>
      </c>
      <c r="U96" s="152" t="n">
        <v>3.143333333</v>
      </c>
      <c r="V96" s="152" t="n">
        <v>1.810659993</v>
      </c>
      <c r="W96" s="152" t="n">
        <v>1.332673341</v>
      </c>
      <c r="X96" s="158" t="n">
        <v>2.172654986</v>
      </c>
      <c r="Y96" s="158" t="n">
        <v>503.0825</v>
      </c>
      <c r="Z96" s="158" t="n">
        <v>12.9572025</v>
      </c>
      <c r="AA96" s="158" t="n">
        <v>2.748484211</v>
      </c>
      <c r="AB96" s="159" t="n">
        <v>1.636875579</v>
      </c>
      <c r="AC96" s="159" t="n">
        <v>1.996573665</v>
      </c>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83" t="inlineStr">
        <is>
          <t>2013-07</t>
        </is>
      </c>
      <c r="B97" s="155" t="n">
        <v>1901.542581</v>
      </c>
      <c r="C97" s="155" t="n">
        <v>160.44</v>
      </c>
      <c r="D97" s="155" t="n">
        <v>394.23</v>
      </c>
      <c r="E97" s="155" t="n">
        <v>4230.06</v>
      </c>
      <c r="F97" s="152" t="n">
        <v>3.25</v>
      </c>
      <c r="G97" s="152" t="n">
        <v>0.09</v>
      </c>
      <c r="H97" s="152" t="n">
        <v>3.16</v>
      </c>
      <c r="I97" s="156" t="n">
        <v>-3121.871982</v>
      </c>
      <c r="J97" s="152" t="n">
        <v>3.398081706</v>
      </c>
      <c r="K97" s="152" t="n">
        <v>93.87238635999999</v>
      </c>
      <c r="L97" s="152" t="n">
        <v>13.97454545</v>
      </c>
      <c r="M97" s="157" t="n">
        <v>0</v>
      </c>
      <c r="N97" s="155" t="n">
        <v>41524.03</v>
      </c>
      <c r="O97" s="152" t="n">
        <v>169.5217391</v>
      </c>
      <c r="P97" s="152" t="n">
        <v>1.695217391</v>
      </c>
      <c r="Q97" s="156" t="n">
        <v>-531.62</v>
      </c>
      <c r="R97" s="156" t="n">
        <v>1345.27</v>
      </c>
      <c r="S97" s="152" t="n">
        <v>6.323181818</v>
      </c>
      <c r="T97" s="152" t="n">
        <v>3.265294118</v>
      </c>
      <c r="U97" s="152" t="n">
        <v>3.057887701</v>
      </c>
      <c r="V97" s="152" t="n">
        <v>1.88493636</v>
      </c>
      <c r="W97" s="152" t="n">
        <v>1.172951341</v>
      </c>
      <c r="X97" s="158" t="n">
        <v>2.25185215</v>
      </c>
      <c r="Y97" s="158" t="n">
        <v>505.1813043</v>
      </c>
      <c r="Z97" s="158" t="n">
        <v>12.76188043</v>
      </c>
      <c r="AA97" s="158" t="n">
        <v>2.776885714</v>
      </c>
      <c r="AB97" s="159" t="n">
        <v>0.09269878677</v>
      </c>
      <c r="AC97" s="159" t="n">
        <v>0.2787611899</v>
      </c>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83" t="inlineStr">
        <is>
          <t>2013-08</t>
        </is>
      </c>
      <c r="B98" s="155" t="n">
        <v>1902.104194</v>
      </c>
      <c r="C98" s="155" t="n">
        <v>162.5</v>
      </c>
      <c r="D98" s="155" t="n">
        <v>372.23</v>
      </c>
      <c r="E98" s="155" t="n">
        <v>4255.51</v>
      </c>
      <c r="F98" s="152" t="n">
        <v>3.25</v>
      </c>
      <c r="G98" s="152" t="n">
        <v>0.08</v>
      </c>
      <c r="H98" s="152" t="n">
        <v>3.17</v>
      </c>
      <c r="I98" s="156" t="n">
        <v>-3292.03001</v>
      </c>
      <c r="J98" s="152" t="n">
        <v>3.383563558</v>
      </c>
      <c r="K98" s="152" t="n">
        <v>93.71488635999999</v>
      </c>
      <c r="L98" s="152" t="n">
        <v>14.21</v>
      </c>
      <c r="M98" s="157" t="n">
        <v>0</v>
      </c>
      <c r="N98" s="155" t="n">
        <v>42092.89</v>
      </c>
      <c r="O98" s="152" t="n">
        <v>182.9545455</v>
      </c>
      <c r="P98" s="152" t="n">
        <v>1.829545455</v>
      </c>
      <c r="Q98" s="156" t="n">
        <v>-301.71</v>
      </c>
      <c r="R98" s="156" t="n">
        <v>806.9299999999999</v>
      </c>
      <c r="S98" s="152" t="n">
        <v>6.5265</v>
      </c>
      <c r="T98" s="152" t="n">
        <v>3.417222222</v>
      </c>
      <c r="U98" s="152" t="n">
        <v>3.109277778</v>
      </c>
      <c r="V98" s="152" t="n">
        <v>1.902504552</v>
      </c>
      <c r="W98" s="152" t="n">
        <v>1.206773225</v>
      </c>
      <c r="X98" s="158" t="n">
        <v>2.341890909</v>
      </c>
      <c r="Y98" s="158" t="n">
        <v>512.03</v>
      </c>
      <c r="Z98" s="158" t="n">
        <v>12.92856818</v>
      </c>
      <c r="AA98" s="158" t="n">
        <v>2.801985714</v>
      </c>
      <c r="AB98" s="159" t="n">
        <v>0.5769155335</v>
      </c>
      <c r="AC98" s="159" t="n">
        <v>0.6161347659999999</v>
      </c>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83" t="inlineStr">
        <is>
          <t>2013-09</t>
        </is>
      </c>
      <c r="B99" s="155" t="n">
        <v>1919.512333</v>
      </c>
      <c r="C99" s="155" t="n">
        <v>160.64</v>
      </c>
      <c r="D99" s="155" t="n">
        <v>354.14</v>
      </c>
      <c r="E99" s="155" t="n">
        <v>4296.55</v>
      </c>
      <c r="F99" s="152" t="n">
        <v>3.25</v>
      </c>
      <c r="G99" s="152" t="n">
        <v>0.08</v>
      </c>
      <c r="H99" s="152" t="n">
        <v>3.17</v>
      </c>
      <c r="I99" s="156" t="n">
        <v>1832.936358</v>
      </c>
      <c r="J99" s="152" t="n">
        <v>3.209636489</v>
      </c>
      <c r="K99" s="152" t="n">
        <v>93.47056499999999</v>
      </c>
      <c r="L99" s="152" t="n">
        <v>14.692</v>
      </c>
      <c r="M99" s="157" t="n">
        <v>0</v>
      </c>
      <c r="N99" s="155" t="n">
        <v>43064.73</v>
      </c>
      <c r="O99" s="152" t="n">
        <v>181.3809524</v>
      </c>
      <c r="P99" s="152" t="n">
        <v>1.813809524</v>
      </c>
      <c r="Q99" s="156" t="n">
        <v>-452.7</v>
      </c>
      <c r="R99" s="156" t="n">
        <v>1400.76</v>
      </c>
      <c r="S99" s="152" t="n">
        <v>6.522857143</v>
      </c>
      <c r="T99" s="152" t="n">
        <v>3.648</v>
      </c>
      <c r="U99" s="152" t="n">
        <v>2.874857143</v>
      </c>
      <c r="V99" s="152" t="n">
        <v>1.885879999</v>
      </c>
      <c r="W99" s="152" t="n">
        <v>0.9889771435</v>
      </c>
      <c r="X99" s="158" t="n">
        <v>2.270199991</v>
      </c>
      <c r="Y99" s="158" t="n">
        <v>503.5538095</v>
      </c>
      <c r="Z99" s="158" t="n">
        <v>13.07427381</v>
      </c>
      <c r="AA99" s="158" t="n">
        <v>2.778661905</v>
      </c>
      <c r="AB99" s="159" t="n">
        <v>-0.4598737282</v>
      </c>
      <c r="AC99" s="159" t="n">
        <v>-0.5105649621</v>
      </c>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83" t="inlineStr">
        <is>
          <t>2013-10</t>
        </is>
      </c>
      <c r="B100" s="155" t="n">
        <v>1885.13129</v>
      </c>
      <c r="C100" s="155" t="n">
        <v>159.96</v>
      </c>
      <c r="D100" s="155" t="n">
        <v>368.29</v>
      </c>
      <c r="E100" s="155" t="n">
        <v>4311.23</v>
      </c>
      <c r="F100" s="152" t="n">
        <v>3.25</v>
      </c>
      <c r="G100" s="152" t="n">
        <v>0.09</v>
      </c>
      <c r="H100" s="152" t="n">
        <v>3.16</v>
      </c>
      <c r="I100" s="156" t="n">
        <v>-6260.098119</v>
      </c>
      <c r="J100" s="152" t="n">
        <v>3.29885302</v>
      </c>
      <c r="K100" s="152" t="n">
        <v>92.49926818</v>
      </c>
      <c r="L100" s="152" t="n">
        <v>15.40782609</v>
      </c>
      <c r="M100" s="157" t="n">
        <v>0</v>
      </c>
      <c r="N100" s="155" t="n">
        <v>43292.85</v>
      </c>
      <c r="O100" s="152" t="n">
        <v>171.3043478</v>
      </c>
      <c r="P100" s="152" t="n">
        <v>1.713043478</v>
      </c>
      <c r="Q100" s="156" t="n">
        <v>-651.55</v>
      </c>
      <c r="R100" s="156" t="n">
        <v>1039.38</v>
      </c>
      <c r="S100" s="152" t="n">
        <v>6.281818182</v>
      </c>
      <c r="T100" s="152" t="n">
        <v>3.399090909</v>
      </c>
      <c r="U100" s="152" t="n">
        <v>2.882727273</v>
      </c>
      <c r="V100" s="152" t="n">
        <v>1.938222723</v>
      </c>
      <c r="W100" s="152" t="n">
        <v>0.9445045502</v>
      </c>
      <c r="X100" s="158" t="n">
        <v>2.188347806</v>
      </c>
      <c r="Y100" s="158" t="n">
        <v>501.4386957</v>
      </c>
      <c r="Z100" s="158" t="n">
        <v>12.99666304</v>
      </c>
      <c r="AA100" s="158" t="n">
        <v>2.769066667</v>
      </c>
      <c r="AB100" s="159" t="n">
        <v>-0.5606630627</v>
      </c>
      <c r="AC100" s="159" t="n">
        <v>-0.4876083199</v>
      </c>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83" t="inlineStr">
        <is>
          <t>2013-11</t>
        </is>
      </c>
      <c r="B101" s="155" t="n">
        <v>1921.753</v>
      </c>
      <c r="C101" s="155" t="n">
        <v>158.91</v>
      </c>
      <c r="D101" s="155" t="n">
        <v>360.61</v>
      </c>
      <c r="E101" s="155" t="n">
        <v>4344.6</v>
      </c>
      <c r="F101" s="152" t="n">
        <v>3.25</v>
      </c>
      <c r="G101" s="152" t="n">
        <v>0.08</v>
      </c>
      <c r="H101" s="152" t="n">
        <v>3.17</v>
      </c>
      <c r="I101" s="156" t="n">
        <v>-2583.382716</v>
      </c>
      <c r="J101" s="152" t="n">
        <v>3.267082136</v>
      </c>
      <c r="K101" s="152" t="n">
        <v>93.37366842</v>
      </c>
      <c r="L101" s="152" t="n">
        <v>12.924</v>
      </c>
      <c r="M101" s="157" t="n">
        <v>0</v>
      </c>
      <c r="N101" s="155" t="n">
        <v>43417.31</v>
      </c>
      <c r="O101" s="152" t="n">
        <v>183.1428571</v>
      </c>
      <c r="P101" s="152" t="n">
        <v>1.831428571</v>
      </c>
      <c r="Q101" s="156" t="n">
        <v>-375.72</v>
      </c>
      <c r="R101" s="156" t="n">
        <v>360.13</v>
      </c>
      <c r="S101" s="152" t="n">
        <v>6.376315789</v>
      </c>
      <c r="T101" s="152" t="n">
        <v>3.441578947</v>
      </c>
      <c r="U101" s="152" t="n">
        <v>2.934736842</v>
      </c>
      <c r="V101" s="152" t="n">
        <v>1.920999991</v>
      </c>
      <c r="W101" s="152" t="n">
        <v>1.013736851</v>
      </c>
      <c r="X101" s="158" t="n">
        <v>2.296623798</v>
      </c>
      <c r="Y101" s="158" t="n">
        <v>520.1733333</v>
      </c>
      <c r="Z101" s="158" t="n">
        <v>13.07421429</v>
      </c>
      <c r="AA101" s="158" t="n">
        <v>2.79875</v>
      </c>
      <c r="AB101" s="159" t="n">
        <v>0.8652023057</v>
      </c>
      <c r="AC101" s="159" t="n">
        <v>0.8658236614</v>
      </c>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83" t="inlineStr">
        <is>
          <t>2013-12</t>
        </is>
      </c>
      <c r="B102" s="155" t="n">
        <v>1932.956129</v>
      </c>
      <c r="C102" s="155" t="n">
        <v>159.34</v>
      </c>
      <c r="D102" s="155" t="n">
        <v>414.86</v>
      </c>
      <c r="E102" s="155" t="n">
        <v>4401.04</v>
      </c>
      <c r="F102" s="152" t="n">
        <v>3.25</v>
      </c>
      <c r="G102" s="152" t="n">
        <v>0.09</v>
      </c>
      <c r="H102" s="152" t="n">
        <v>3.16</v>
      </c>
      <c r="I102" s="156" t="n">
        <v>-12894.70989</v>
      </c>
      <c r="J102" s="152" t="n">
        <v>2.330987593</v>
      </c>
      <c r="K102" s="152" t="n">
        <v>93.53402</v>
      </c>
      <c r="L102" s="152" t="n">
        <v>14.19238095</v>
      </c>
      <c r="M102" s="157" t="n">
        <v>0</v>
      </c>
      <c r="N102" s="155" t="n">
        <v>43632.74</v>
      </c>
      <c r="O102" s="152" t="n">
        <v>177.0909091</v>
      </c>
      <c r="P102" s="152" t="n">
        <v>1.770909091</v>
      </c>
      <c r="Q102" s="156" t="n">
        <v>-633.4400000000001</v>
      </c>
      <c r="R102" s="156" t="n">
        <v>785.5700000000001</v>
      </c>
      <c r="S102" s="152" t="n">
        <v>6.2725</v>
      </c>
      <c r="T102" s="152" t="n">
        <v>3.203684211</v>
      </c>
      <c r="U102" s="152" t="n">
        <v>3.068815789</v>
      </c>
      <c r="V102" s="152" t="n">
        <v>1.874561912</v>
      </c>
      <c r="W102" s="152" t="n">
        <v>1.194253878</v>
      </c>
      <c r="X102" s="158" t="n">
        <v>2.345604528</v>
      </c>
      <c r="Y102" s="158" t="n">
        <v>528.9259524</v>
      </c>
      <c r="Z102" s="158" t="n">
        <v>13.00595455</v>
      </c>
      <c r="AA102" s="158" t="n">
        <v>2.78564</v>
      </c>
      <c r="AB102" s="159" t="n">
        <v>0.2345250256</v>
      </c>
      <c r="AC102" s="159" t="n">
        <v>0.08392130859999999</v>
      </c>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83" t="inlineStr">
        <is>
          <t>2014-01</t>
        </is>
      </c>
      <c r="B103" s="155" t="n">
        <v>1957.287097</v>
      </c>
      <c r="C103" s="155" t="n">
        <v>154.23</v>
      </c>
      <c r="D103" s="155" t="n">
        <v>352.57</v>
      </c>
      <c r="E103" s="155" t="n">
        <v>4424.21</v>
      </c>
      <c r="F103" s="152" t="n">
        <v>3.25</v>
      </c>
      <c r="G103" s="152" t="n">
        <v>0.07000000000000001</v>
      </c>
      <c r="H103" s="152" t="n">
        <v>3.18</v>
      </c>
      <c r="I103" s="156" t="n">
        <v>7386.752191</v>
      </c>
      <c r="J103" s="152" t="n">
        <v>2.382871769</v>
      </c>
      <c r="K103" s="152" t="n">
        <v>94.46474762</v>
      </c>
      <c r="L103" s="152" t="n">
        <v>14.24095238</v>
      </c>
      <c r="M103" s="157" t="n">
        <v>0</v>
      </c>
      <c r="N103" s="155" t="n">
        <v>43710.5</v>
      </c>
      <c r="O103" s="152" t="n">
        <v>182.0869565</v>
      </c>
      <c r="P103" s="152" t="n">
        <v>1.820869565</v>
      </c>
      <c r="Q103" s="156" t="n">
        <v>-452.26</v>
      </c>
      <c r="R103" s="156" t="n">
        <v>537.45</v>
      </c>
      <c r="S103" s="152" t="n">
        <v>6.259047619</v>
      </c>
      <c r="T103" s="152" t="n">
        <v>2.939047619</v>
      </c>
      <c r="U103" s="152" t="n">
        <v>3.32</v>
      </c>
      <c r="V103" s="152" t="n">
        <v>2.010638095</v>
      </c>
      <c r="W103" s="152" t="n">
        <v>1.309361905</v>
      </c>
      <c r="X103" s="158" t="n">
        <v>2.380178255</v>
      </c>
      <c r="Y103" s="158" t="n">
        <v>538.4970455</v>
      </c>
      <c r="Z103" s="158" t="n">
        <v>13.21326087</v>
      </c>
      <c r="AA103" s="158" t="n">
        <v>2.809277273</v>
      </c>
      <c r="AB103" s="159" t="n">
        <v>0.4432168626</v>
      </c>
      <c r="AC103" s="159" t="n">
        <v>0.5048247816</v>
      </c>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83" t="inlineStr">
        <is>
          <t>2014-02</t>
        </is>
      </c>
      <c r="B104" s="155" t="n">
        <v>2038.4925</v>
      </c>
      <c r="C104" s="155" t="n">
        <v>154.46</v>
      </c>
      <c r="D104" s="155" t="n">
        <v>330.22</v>
      </c>
      <c r="E104" s="155" t="n">
        <v>4437.11</v>
      </c>
      <c r="F104" s="152" t="n">
        <v>3.25</v>
      </c>
      <c r="G104" s="152" t="n">
        <v>0.07000000000000001</v>
      </c>
      <c r="H104" s="152" t="n">
        <v>3.18</v>
      </c>
      <c r="I104" s="156" t="n">
        <v>-2756.311949</v>
      </c>
      <c r="J104" s="152" t="n">
        <v>2.497874675</v>
      </c>
      <c r="K104" s="152" t="n">
        <v>94.64558235</v>
      </c>
      <c r="L104" s="152" t="n">
        <v>15.47</v>
      </c>
      <c r="M104" s="157" t="n">
        <v>0</v>
      </c>
      <c r="N104" s="155" t="n">
        <v>44026.86</v>
      </c>
      <c r="O104" s="152" t="n">
        <v>188.25</v>
      </c>
      <c r="P104" s="152" t="n">
        <v>1.8825</v>
      </c>
      <c r="Q104" s="156" t="n">
        <v>-393.78</v>
      </c>
      <c r="R104" s="156" t="n">
        <v>621.75</v>
      </c>
      <c r="S104" s="152" t="n">
        <v>6.595</v>
      </c>
      <c r="T104" s="152" t="n">
        <v>3.1985</v>
      </c>
      <c r="U104" s="152" t="n">
        <v>3.3965</v>
      </c>
      <c r="V104" s="152" t="n">
        <v>2.035842099</v>
      </c>
      <c r="W104" s="152" t="n">
        <v>1.360657901</v>
      </c>
      <c r="X104" s="158" t="n">
        <v>2.383375001</v>
      </c>
      <c r="Y104" s="158" t="n">
        <v>554.4525</v>
      </c>
      <c r="Z104" s="158" t="n">
        <v>13.2786</v>
      </c>
      <c r="AA104" s="158" t="n">
        <v>2.81255</v>
      </c>
      <c r="AB104" s="159" t="n">
        <v>0.3327563874</v>
      </c>
      <c r="AC104" s="159" t="n">
        <v>0.2754486755</v>
      </c>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83" t="inlineStr">
        <is>
          <t>2014-03</t>
        </is>
      </c>
      <c r="B105" s="155" t="n">
        <v>2019.713226</v>
      </c>
      <c r="C105" s="155" t="n">
        <v>157.03</v>
      </c>
      <c r="D105" s="155" t="n">
        <v>338.7</v>
      </c>
      <c r="E105" s="155" t="n">
        <v>4441.64</v>
      </c>
      <c r="F105" s="152" t="n">
        <v>3.25</v>
      </c>
      <c r="G105" s="152" t="n">
        <v>0.08</v>
      </c>
      <c r="H105" s="152" t="n">
        <v>3.17</v>
      </c>
      <c r="I105" s="156" t="n">
        <v>-4104.442797</v>
      </c>
      <c r="J105" s="152" t="n">
        <v>2.523444032</v>
      </c>
      <c r="K105" s="152" t="n">
        <v>94.44082105</v>
      </c>
      <c r="L105" s="152" t="n">
        <v>14.83666667</v>
      </c>
      <c r="M105" s="157" t="n">
        <v>0</v>
      </c>
      <c r="N105" s="155" t="n">
        <v>44298.38</v>
      </c>
      <c r="O105" s="152" t="n">
        <v>176.7619048</v>
      </c>
      <c r="P105" s="152" t="n">
        <v>1.767619048</v>
      </c>
      <c r="Q105" s="156" t="n">
        <v>-549.09</v>
      </c>
      <c r="R105" s="156" t="n">
        <v>887.6900000000001</v>
      </c>
      <c r="S105" s="152" t="n">
        <v>6.3475</v>
      </c>
      <c r="T105" s="152" t="n">
        <v>3.0425</v>
      </c>
      <c r="U105" s="152" t="n">
        <v>3.305</v>
      </c>
      <c r="V105" s="152" t="n">
        <v>2.071966659</v>
      </c>
      <c r="W105" s="152" t="n">
        <v>1.233033341</v>
      </c>
      <c r="X105" s="158" t="n">
        <v>2.326471408</v>
      </c>
      <c r="Y105" s="158" t="n">
        <v>563.4209524</v>
      </c>
      <c r="Z105" s="158" t="n">
        <v>13.2025</v>
      </c>
      <c r="AA105" s="158" t="n">
        <v>2.806571429</v>
      </c>
      <c r="AB105" s="159" t="n">
        <v>-0.1911925957</v>
      </c>
      <c r="AC105" s="159" t="n">
        <v>-0.1837303259</v>
      </c>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83" t="inlineStr">
        <is>
          <t>2014-04</t>
        </is>
      </c>
      <c r="B106" s="155" t="n">
        <v>1938.360333</v>
      </c>
      <c r="C106" s="155" t="n">
        <v>154.76</v>
      </c>
      <c r="D106" s="155" t="n">
        <v>317.03</v>
      </c>
      <c r="E106" s="155" t="n">
        <v>4371.54</v>
      </c>
      <c r="F106" s="152" t="n">
        <v>3.275</v>
      </c>
      <c r="G106" s="152" t="n">
        <v>0.09</v>
      </c>
      <c r="H106" s="152" t="n">
        <v>3.185</v>
      </c>
      <c r="I106" s="156" t="n">
        <v>2549.881992</v>
      </c>
      <c r="J106" s="152" t="n">
        <v>2.707866792</v>
      </c>
      <c r="K106" s="152" t="n">
        <v>93.99554999999999</v>
      </c>
      <c r="L106" s="152" t="n">
        <v>14.19809524</v>
      </c>
      <c r="M106" s="157" t="n">
        <v>0</v>
      </c>
      <c r="N106" s="155" t="n">
        <v>44642.4</v>
      </c>
      <c r="O106" s="152" t="n">
        <v>161.5454545</v>
      </c>
      <c r="P106" s="152" t="n">
        <v>1.615454545</v>
      </c>
      <c r="Q106" s="156" t="n">
        <v>-405.89</v>
      </c>
      <c r="R106" s="156" t="n">
        <v>902.3099999999999</v>
      </c>
      <c r="S106" s="152" t="n">
        <v>5.832</v>
      </c>
      <c r="T106" s="152" t="n">
        <v>2.729473684</v>
      </c>
      <c r="U106" s="152" t="n">
        <v>3.102526316</v>
      </c>
      <c r="V106" s="152" t="n">
        <v>2.040071425</v>
      </c>
      <c r="W106" s="152" t="n">
        <v>1.062454891</v>
      </c>
      <c r="X106" s="158" t="n">
        <v>2.233872728</v>
      </c>
      <c r="Y106" s="158" t="n">
        <v>555.1857143</v>
      </c>
      <c r="Z106" s="158" t="n">
        <v>13.06177273</v>
      </c>
      <c r="AA106" s="158" t="n">
        <v>2.79444</v>
      </c>
      <c r="AB106" s="159" t="n">
        <v>-0.7843421155</v>
      </c>
      <c r="AC106" s="159" t="n">
        <v>-0.6729206814000001</v>
      </c>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83" t="inlineStr">
        <is>
          <t>2014-05</t>
        </is>
      </c>
      <c r="B107" s="155" t="n">
        <v>1915.360968</v>
      </c>
      <c r="C107" s="155" t="n">
        <v>149.05</v>
      </c>
      <c r="D107" s="155" t="n">
        <v>333.13</v>
      </c>
      <c r="E107" s="155" t="n">
        <v>4308.88</v>
      </c>
      <c r="F107" s="152" t="n">
        <v>3.5</v>
      </c>
      <c r="G107" s="152" t="n">
        <v>0.09</v>
      </c>
      <c r="H107" s="152" t="n">
        <v>3.41</v>
      </c>
      <c r="I107" s="156" t="n">
        <v>-805.7828131</v>
      </c>
      <c r="J107" s="152" t="n">
        <v>2.882476329</v>
      </c>
      <c r="K107" s="152" t="n">
        <v>93.67002857</v>
      </c>
      <c r="L107" s="152" t="n">
        <v>12.4752381</v>
      </c>
      <c r="M107" s="157" t="n">
        <v>0</v>
      </c>
      <c r="N107" s="155" t="n">
        <v>45036.17</v>
      </c>
      <c r="O107" s="152" t="n">
        <v>154</v>
      </c>
      <c r="P107" s="152" t="n">
        <v>1.54</v>
      </c>
      <c r="Q107" s="156" t="n">
        <v>-457.83</v>
      </c>
      <c r="R107" s="156" t="n">
        <v>954.65</v>
      </c>
      <c r="S107" s="152" t="n">
        <v>6.056666667</v>
      </c>
      <c r="T107" s="152" t="n">
        <v>2.903333333</v>
      </c>
      <c r="U107" s="152" t="n">
        <v>3.153333333</v>
      </c>
      <c r="V107" s="152" t="n">
        <v>2.052661884</v>
      </c>
      <c r="W107" s="152" t="n">
        <v>1.100671449</v>
      </c>
      <c r="X107" s="158" t="n">
        <v>2.221268188</v>
      </c>
      <c r="Y107" s="158" t="n">
        <v>554.9156818</v>
      </c>
      <c r="Z107" s="158" t="n">
        <v>12.93015909</v>
      </c>
      <c r="AA107" s="158" t="n">
        <v>2.786952381</v>
      </c>
      <c r="AB107" s="159" t="n">
        <v>-0.2817255492</v>
      </c>
      <c r="AC107" s="159" t="n">
        <v>-0.2627954228</v>
      </c>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83" t="inlineStr">
        <is>
          <t>2014-06</t>
        </is>
      </c>
      <c r="B108" s="155" t="n">
        <v>1887.039333</v>
      </c>
      <c r="C108" s="155" t="n">
        <v>162.47</v>
      </c>
      <c r="D108" s="155" t="n">
        <v>298.39</v>
      </c>
      <c r="E108" s="155" t="n">
        <v>4234.4</v>
      </c>
      <c r="F108" s="152" t="n">
        <v>3.791666667</v>
      </c>
      <c r="G108" s="152" t="n">
        <v>0.1</v>
      </c>
      <c r="H108" s="152" t="n">
        <v>3.691666667</v>
      </c>
      <c r="I108" s="156" t="n">
        <v>-1168.040131</v>
      </c>
      <c r="J108" s="152" t="n">
        <v>3.305413646</v>
      </c>
      <c r="K108" s="152" t="n">
        <v>93.82740475999999</v>
      </c>
      <c r="L108" s="152" t="n">
        <v>11.54142857</v>
      </c>
      <c r="M108" s="157" t="n">
        <v>0</v>
      </c>
      <c r="N108" s="155" t="n">
        <v>45501.64</v>
      </c>
      <c r="O108" s="152" t="n">
        <v>144.2380952</v>
      </c>
      <c r="P108" s="152" t="n">
        <v>1.442380952</v>
      </c>
      <c r="Q108" s="156" t="n">
        <v>-422.78</v>
      </c>
      <c r="R108" s="156" t="n">
        <v>1106.4</v>
      </c>
      <c r="S108" s="152" t="n">
        <v>6.129444444</v>
      </c>
      <c r="T108" s="152" t="n">
        <v>2.923888889</v>
      </c>
      <c r="U108" s="152" t="n">
        <v>3.205555556</v>
      </c>
      <c r="V108" s="152" t="n">
        <v>2.10500951</v>
      </c>
      <c r="W108" s="152" t="n">
        <v>1.100546045</v>
      </c>
      <c r="X108" s="158" t="n">
        <v>2.236019055</v>
      </c>
      <c r="Y108" s="158" t="n">
        <v>553.1237048</v>
      </c>
      <c r="Z108" s="158" t="n">
        <v>12.99334524</v>
      </c>
      <c r="AA108" s="158" t="n">
        <v>2.79452381</v>
      </c>
      <c r="AB108" s="159" t="n">
        <v>-0.02481825408</v>
      </c>
      <c r="AC108" s="159" t="n">
        <v>0.03841827441</v>
      </c>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83" t="inlineStr">
        <is>
          <t>2014-07</t>
        </is>
      </c>
      <c r="B109" s="155" t="n">
        <v>1857.644194</v>
      </c>
      <c r="C109" s="155" t="n">
        <v>148.64</v>
      </c>
      <c r="D109" s="155" t="n">
        <v>346.21</v>
      </c>
      <c r="E109" s="155" t="n">
        <v>4186.38</v>
      </c>
      <c r="F109" s="152" t="n">
        <v>4</v>
      </c>
      <c r="G109" s="152" t="n">
        <v>0.09</v>
      </c>
      <c r="H109" s="152" t="n">
        <v>3.91</v>
      </c>
      <c r="I109" s="156" t="n">
        <v>-2706.775753</v>
      </c>
      <c r="J109" s="152" t="n">
        <v>3.251003553</v>
      </c>
      <c r="K109" s="152" t="n">
        <v>93.60385909</v>
      </c>
      <c r="L109" s="152" t="n">
        <v>12.29636364</v>
      </c>
      <c r="M109" s="157" t="n">
        <v>0</v>
      </c>
      <c r="N109" s="155" t="n">
        <v>46091.98</v>
      </c>
      <c r="O109" s="152" t="n">
        <v>145.4782609</v>
      </c>
      <c r="P109" s="152" t="n">
        <v>1.454782609</v>
      </c>
      <c r="Q109" s="156" t="n">
        <v>-515.55</v>
      </c>
      <c r="R109" s="156" t="n">
        <v>1241.81</v>
      </c>
      <c r="S109" s="152" t="n">
        <v>6.233913043</v>
      </c>
      <c r="T109" s="152" t="n">
        <v>3.063043478</v>
      </c>
      <c r="U109" s="152" t="n">
        <v>3.170869565</v>
      </c>
      <c r="V109" s="152" t="n">
        <v>2.138290893</v>
      </c>
      <c r="W109" s="152" t="n">
        <v>1.032578672</v>
      </c>
      <c r="X109" s="158" t="n">
        <v>2.224330436</v>
      </c>
      <c r="Y109" s="158" t="n">
        <v>559.2120609</v>
      </c>
      <c r="Z109" s="158" t="n">
        <v>12.9666413</v>
      </c>
      <c r="AA109" s="158" t="n">
        <v>2.786395238</v>
      </c>
      <c r="AB109" s="159" t="n">
        <v>-0.03860818642</v>
      </c>
      <c r="AC109" s="159" t="n">
        <v>-0.08508186806</v>
      </c>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83" t="inlineStr">
        <is>
          <t>2014-08</t>
        </is>
      </c>
      <c r="B110" s="155" t="n">
        <v>1898.125161</v>
      </c>
      <c r="C110" s="155" t="n">
        <v>151.55</v>
      </c>
      <c r="D110" s="155" t="n">
        <v>315.26</v>
      </c>
      <c r="E110" s="155" t="n">
        <v>4129.41</v>
      </c>
      <c r="F110" s="152" t="n">
        <v>4.25</v>
      </c>
      <c r="G110" s="152" t="n">
        <v>0.09</v>
      </c>
      <c r="H110" s="152" t="n">
        <v>4.16</v>
      </c>
      <c r="I110" s="156" t="n">
        <v>-5648.355493</v>
      </c>
      <c r="J110" s="152" t="n">
        <v>3.559866605</v>
      </c>
      <c r="K110" s="152" t="n">
        <v>94.58080952</v>
      </c>
      <c r="L110" s="152" t="n">
        <v>13.49190476</v>
      </c>
      <c r="M110" s="157" t="n">
        <v>0</v>
      </c>
      <c r="N110" s="155" t="n">
        <v>46705.06</v>
      </c>
      <c r="O110" s="152" t="n">
        <v>153.5714286</v>
      </c>
      <c r="P110" s="152" t="n">
        <v>1.535714286</v>
      </c>
      <c r="Q110" s="156" t="n">
        <v>-404.15</v>
      </c>
      <c r="R110" s="156" t="n">
        <v>1469.35</v>
      </c>
      <c r="S110" s="152" t="n">
        <v>6.150526316</v>
      </c>
      <c r="T110" s="152" t="n">
        <v>2.956842105</v>
      </c>
      <c r="U110" s="152" t="n">
        <v>3.193684211</v>
      </c>
      <c r="V110" s="152" t="n">
        <v>2.027733315</v>
      </c>
      <c r="W110" s="152" t="n">
        <v>1.165950896</v>
      </c>
      <c r="X110" s="158" t="n">
        <v>2.267723799</v>
      </c>
      <c r="Y110" s="158" t="n">
        <v>579.8196333</v>
      </c>
      <c r="Z110" s="158" t="n">
        <v>13.14407143</v>
      </c>
      <c r="AA110" s="158" t="n">
        <v>2.814766667</v>
      </c>
      <c r="AB110" s="159" t="n">
        <v>0.6871038693</v>
      </c>
      <c r="AC110" s="159" t="n">
        <v>0.7215510059</v>
      </c>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83" t="inlineStr">
        <is>
          <t>2014-09</t>
        </is>
      </c>
      <c r="B111" s="155" t="n">
        <v>1973.716667</v>
      </c>
      <c r="C111" s="155" t="n">
        <v>145.98</v>
      </c>
      <c r="D111" s="155" t="n">
        <v>343.28</v>
      </c>
      <c r="E111" s="155" t="n">
        <v>4118.55</v>
      </c>
      <c r="F111" s="152" t="n">
        <v>4.5</v>
      </c>
      <c r="G111" s="152" t="n">
        <v>0.09</v>
      </c>
      <c r="H111" s="152" t="n">
        <v>4.41</v>
      </c>
      <c r="I111" s="156" t="n">
        <v>3278.842819</v>
      </c>
      <c r="J111" s="152" t="n">
        <v>3.370339697</v>
      </c>
      <c r="K111" s="152" t="n">
        <v>96.12086667</v>
      </c>
      <c r="L111" s="152" t="n">
        <v>13.46666667</v>
      </c>
      <c r="M111" s="157" t="n">
        <v>0</v>
      </c>
      <c r="N111" s="155" t="n">
        <v>47106.54</v>
      </c>
      <c r="O111" s="152" t="n">
        <v>151.9090909</v>
      </c>
      <c r="P111" s="152" t="n">
        <v>1.519090909</v>
      </c>
      <c r="Q111" s="156" t="n">
        <v>-356.99</v>
      </c>
      <c r="R111" s="156" t="n">
        <v>923.79</v>
      </c>
      <c r="S111" s="152" t="n">
        <v>6.047272727</v>
      </c>
      <c r="T111" s="152" t="n">
        <v>2.882727273</v>
      </c>
      <c r="U111" s="152" t="n">
        <v>3.164545455</v>
      </c>
      <c r="V111" s="152" t="n">
        <v>1.85944761</v>
      </c>
      <c r="W111" s="152" t="n">
        <v>1.305097845</v>
      </c>
      <c r="X111" s="158" t="n">
        <v>2.332554535</v>
      </c>
      <c r="Y111" s="158" t="n">
        <v>594.2876136</v>
      </c>
      <c r="Z111" s="158" t="n">
        <v>13.23838636</v>
      </c>
      <c r="AA111" s="158" t="n">
        <v>2.864695455</v>
      </c>
      <c r="AB111" s="159" t="n">
        <v>0.5465466648</v>
      </c>
      <c r="AC111" s="159" t="n">
        <v>0.7660173235</v>
      </c>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83" t="inlineStr">
        <is>
          <t>2014-10</t>
        </is>
      </c>
      <c r="B112" s="155" t="n">
        <v>2048.567419</v>
      </c>
      <c r="C112" s="155" t="n">
        <v>133.69</v>
      </c>
      <c r="D112" s="155" t="n">
        <v>349.25</v>
      </c>
      <c r="E112" s="155" t="n">
        <v>4099.51</v>
      </c>
      <c r="F112" s="152" t="n">
        <v>4.5</v>
      </c>
      <c r="G112" s="152" t="n">
        <v>0.09</v>
      </c>
      <c r="H112" s="152" t="n">
        <v>4.41</v>
      </c>
      <c r="I112" s="156" t="n">
        <v>-3539.124574</v>
      </c>
      <c r="J112" s="152" t="n">
        <v>3.013679212</v>
      </c>
      <c r="K112" s="152" t="n">
        <v>97.43960455</v>
      </c>
      <c r="L112" s="152" t="n">
        <v>18.05869565</v>
      </c>
      <c r="M112" s="157" t="n">
        <v>0</v>
      </c>
      <c r="N112" s="155" t="n">
        <v>47364.58</v>
      </c>
      <c r="O112" s="152" t="n">
        <v>174.173913</v>
      </c>
      <c r="P112" s="152" t="n">
        <v>1.74173913</v>
      </c>
      <c r="Q112" s="156" t="n">
        <v>-395.14</v>
      </c>
      <c r="R112" s="156" t="n">
        <v>885.3</v>
      </c>
      <c r="S112" s="152" t="n">
        <v>6.055909091</v>
      </c>
      <c r="T112" s="152" t="n">
        <v>2.840909091</v>
      </c>
      <c r="U112" s="152" t="n">
        <v>3.215</v>
      </c>
      <c r="V112" s="152" t="n">
        <v>1.675463633</v>
      </c>
      <c r="W112" s="152" t="n">
        <v>1.539536367</v>
      </c>
      <c r="X112" s="158" t="n">
        <v>2.447943439</v>
      </c>
      <c r="Y112" s="158" t="n">
        <v>588.3092652</v>
      </c>
      <c r="Z112" s="158" t="n">
        <v>13.4796087</v>
      </c>
      <c r="AA112" s="158" t="n">
        <v>2.906709091</v>
      </c>
      <c r="AB112" s="159" t="n">
        <v>0.4259806319</v>
      </c>
      <c r="AC112" s="159" t="n">
        <v>0.6147870631</v>
      </c>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83" t="inlineStr">
        <is>
          <t>2014-11</t>
        </is>
      </c>
      <c r="B113" s="155" t="n">
        <v>2128.683667</v>
      </c>
      <c r="C113" s="155" t="n">
        <v>130.36</v>
      </c>
      <c r="D113" s="155" t="n">
        <v>324.2</v>
      </c>
      <c r="E113" s="155" t="n">
        <v>4063.1</v>
      </c>
      <c r="F113" s="152" t="n">
        <v>4.5</v>
      </c>
      <c r="G113" s="152" t="n">
        <v>0.09</v>
      </c>
      <c r="H113" s="152" t="n">
        <v>4.41</v>
      </c>
      <c r="I113" s="156" t="n">
        <v>-1325.607484</v>
      </c>
      <c r="J113" s="152" t="n">
        <v>2.848812219</v>
      </c>
      <c r="K113" s="152" t="n">
        <v>99.11468889</v>
      </c>
      <c r="L113" s="152" t="n">
        <v>13.41315789</v>
      </c>
      <c r="M113" s="157" t="n">
        <v>0</v>
      </c>
      <c r="N113" s="155" t="n">
        <v>47380.2</v>
      </c>
      <c r="O113" s="152" t="n">
        <v>172.8</v>
      </c>
      <c r="P113" s="152" t="n">
        <v>1.728</v>
      </c>
      <c r="Q113" s="156" t="n">
        <v>-265.41</v>
      </c>
      <c r="R113" s="156" t="n">
        <v>319.11</v>
      </c>
      <c r="S113" s="152" t="n">
        <v>5.736111111</v>
      </c>
      <c r="T113" s="152" t="n">
        <v>2.486666667</v>
      </c>
      <c r="U113" s="152" t="n">
        <v>3.249444444</v>
      </c>
      <c r="V113" s="152" t="n">
        <v>1.687477781</v>
      </c>
      <c r="W113" s="152" t="n">
        <v>1.561966664</v>
      </c>
      <c r="X113" s="158" t="n">
        <v>2.548040009</v>
      </c>
      <c r="Y113" s="158" t="n">
        <v>594.161385</v>
      </c>
      <c r="Z113" s="158" t="n">
        <v>13.622</v>
      </c>
      <c r="AA113" s="158" t="n">
        <v>2.92551</v>
      </c>
      <c r="AB113" s="159" t="n">
        <v>0.5107452137</v>
      </c>
      <c r="AC113" s="159" t="n">
        <v>0.5151979656</v>
      </c>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83" t="inlineStr">
        <is>
          <t>2014-12</t>
        </is>
      </c>
      <c r="B114" s="155" t="n">
        <v>2342.253548</v>
      </c>
      <c r="C114" s="155" t="n">
        <v>117.58</v>
      </c>
      <c r="D114" s="155" t="n">
        <v>444.97</v>
      </c>
      <c r="E114" s="155" t="n">
        <v>4093.21</v>
      </c>
      <c r="F114" s="152" t="n">
        <v>4.5</v>
      </c>
      <c r="G114" s="152" t="n">
        <v>0.12</v>
      </c>
      <c r="H114" s="152" t="n">
        <v>4.38</v>
      </c>
      <c r="I114" s="156" t="n">
        <v>-9517.492224</v>
      </c>
      <c r="J114" s="152" t="n">
        <v>2.406132394</v>
      </c>
      <c r="K114" s="152" t="n">
        <v>101.4441333</v>
      </c>
      <c r="L114" s="152" t="n">
        <v>16.29227273</v>
      </c>
      <c r="M114" s="157" t="n">
        <v>0</v>
      </c>
      <c r="N114" s="155" t="n">
        <v>47323.09</v>
      </c>
      <c r="O114" s="152" t="n">
        <v>199.7391304</v>
      </c>
      <c r="P114" s="152" t="n">
        <v>1.997391304</v>
      </c>
      <c r="Q114" s="156" t="n">
        <v>-357.49</v>
      </c>
      <c r="R114" s="156" t="n">
        <v>260.06</v>
      </c>
      <c r="S114" s="152" t="n">
        <v>6.112</v>
      </c>
      <c r="T114" s="152" t="n">
        <v>2.43</v>
      </c>
      <c r="U114" s="152" t="n">
        <v>3.682</v>
      </c>
      <c r="V114" s="152" t="n">
        <v>1.43580454</v>
      </c>
      <c r="W114" s="152" t="n">
        <v>2.24619546</v>
      </c>
      <c r="X114" s="158" t="n">
        <v>2.640943465</v>
      </c>
      <c r="Y114" s="158" t="n">
        <v>612.2470913</v>
      </c>
      <c r="Z114" s="158" t="n">
        <v>14.53530435</v>
      </c>
      <c r="AA114" s="158" t="n">
        <v>2.962538095</v>
      </c>
      <c r="AB114" s="159" t="n">
        <v>1.373736468</v>
      </c>
      <c r="AC114" s="159" t="n">
        <v>1.285740465</v>
      </c>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83" t="inlineStr">
        <is>
          <t>2015-01</t>
        </is>
      </c>
      <c r="B115" s="155" t="n">
        <v>2397.258065</v>
      </c>
      <c r="C115" s="155" t="n">
        <v>104.49</v>
      </c>
      <c r="D115" s="155" t="n">
        <v>349</v>
      </c>
      <c r="E115" s="155" t="n">
        <v>4089.64</v>
      </c>
      <c r="F115" s="152" t="n">
        <v>4.5</v>
      </c>
      <c r="G115" s="152" t="n">
        <v>0.11</v>
      </c>
      <c r="H115" s="152" t="n">
        <v>4.39</v>
      </c>
      <c r="I115" s="156" t="n">
        <v>4185.292315</v>
      </c>
      <c r="J115" s="152" t="n">
        <v>2.679027018</v>
      </c>
      <c r="K115" s="152" t="n">
        <v>103.76074</v>
      </c>
      <c r="L115" s="152" t="n">
        <v>19.1195</v>
      </c>
      <c r="M115" s="157" t="n">
        <v>0</v>
      </c>
      <c r="N115" s="155" t="n">
        <v>47067.16</v>
      </c>
      <c r="O115" s="152" t="n">
        <v>229.5</v>
      </c>
      <c r="P115" s="152" t="n">
        <v>2.295</v>
      </c>
      <c r="Q115" s="156" t="n">
        <v>-289.86</v>
      </c>
      <c r="R115" s="156" t="n">
        <v>10.35</v>
      </c>
      <c r="S115" s="152" t="n">
        <v>5.899</v>
      </c>
      <c r="T115" s="152" t="n">
        <v>2.348947368</v>
      </c>
      <c r="U115" s="152" t="n">
        <v>3.550052632</v>
      </c>
      <c r="V115" s="152" t="n">
        <v>1.383875</v>
      </c>
      <c r="W115" s="152" t="n">
        <v>2.166177631</v>
      </c>
      <c r="X115" s="158" t="n">
        <v>2.634918191</v>
      </c>
      <c r="Y115" s="158" t="n">
        <v>621.6387635999999</v>
      </c>
      <c r="Z115" s="158" t="n">
        <v>14.69686364</v>
      </c>
      <c r="AA115" s="158" t="n">
        <v>3.006785</v>
      </c>
      <c r="AB115" s="159" t="n">
        <v>0.1985991189</v>
      </c>
      <c r="AC115" s="159" t="n">
        <v>0.4495917297</v>
      </c>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83" t="inlineStr">
        <is>
          <t>2015-02</t>
        </is>
      </c>
      <c r="B116" s="155" t="n">
        <v>2420.6725</v>
      </c>
      <c r="C116" s="155" t="n">
        <v>108.98</v>
      </c>
      <c r="D116" s="155" t="n">
        <v>361.96</v>
      </c>
      <c r="E116" s="155" t="n">
        <v>4121.38</v>
      </c>
      <c r="F116" s="152" t="n">
        <v>4.5</v>
      </c>
      <c r="G116" s="152" t="n">
        <v>0.11</v>
      </c>
      <c r="H116" s="152" t="n">
        <v>4.39</v>
      </c>
      <c r="I116" s="156" t="n">
        <v>-2925.395126</v>
      </c>
      <c r="J116" s="152" t="n">
        <v>2.700039179</v>
      </c>
      <c r="K116" s="152" t="n">
        <v>105.1685389</v>
      </c>
      <c r="L116" s="152" t="n">
        <v>15.90421053</v>
      </c>
      <c r="M116" s="157" t="n">
        <v>0</v>
      </c>
      <c r="N116" s="155" t="n">
        <v>47055.26</v>
      </c>
      <c r="O116" s="152" t="n">
        <v>207.75</v>
      </c>
      <c r="P116" s="152" t="n">
        <v>2.0775</v>
      </c>
      <c r="Q116" s="156" t="n">
        <v>-241.31</v>
      </c>
      <c r="R116" s="156" t="n">
        <v>166.63</v>
      </c>
      <c r="S116" s="152" t="n">
        <v>5.6245</v>
      </c>
      <c r="T116" s="152" t="n">
        <v>2.212</v>
      </c>
      <c r="U116" s="152" t="n">
        <v>3.4125</v>
      </c>
      <c r="V116" s="152" t="n">
        <v>1.651231578</v>
      </c>
      <c r="W116" s="152" t="n">
        <v>1.761268422</v>
      </c>
      <c r="X116" s="158" t="n">
        <v>2.818399978</v>
      </c>
      <c r="Y116" s="158" t="n">
        <v>622.849655</v>
      </c>
      <c r="Z116" s="158" t="n">
        <v>14.917725</v>
      </c>
      <c r="AA116" s="158" t="n">
        <v>3.079435</v>
      </c>
      <c r="AB116" s="159" t="n">
        <v>0.7119261065</v>
      </c>
      <c r="AC116" s="159" t="n">
        <v>1.01660525</v>
      </c>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83" t="inlineStr">
        <is>
          <t>2015-03</t>
        </is>
      </c>
      <c r="B117" s="155" t="n">
        <v>2585.362258</v>
      </c>
      <c r="C117" s="155" t="n">
        <v>116.07</v>
      </c>
      <c r="D117" s="155" t="n">
        <v>435.94</v>
      </c>
      <c r="E117" s="155" t="n">
        <v>4218.62</v>
      </c>
      <c r="F117" s="152" t="n">
        <v>4.5</v>
      </c>
      <c r="G117" s="152" t="n">
        <v>0.11</v>
      </c>
      <c r="H117" s="152" t="n">
        <v>4.39</v>
      </c>
      <c r="I117" s="156" t="n">
        <v>-4438.343245</v>
      </c>
      <c r="J117" s="152" t="n">
        <v>2.741533371</v>
      </c>
      <c r="K117" s="152" t="n">
        <v>107.3647381</v>
      </c>
      <c r="L117" s="152" t="n">
        <v>14.81272727</v>
      </c>
      <c r="M117" s="157" t="n">
        <v>0</v>
      </c>
      <c r="N117" s="155" t="n">
        <v>46913.63</v>
      </c>
      <c r="O117" s="152" t="n">
        <v>221.8636364</v>
      </c>
      <c r="P117" s="152" t="n">
        <v>2.218636364</v>
      </c>
      <c r="Q117" s="156" t="n">
        <v>-267.57</v>
      </c>
      <c r="R117" s="156" t="n">
        <v>51.11</v>
      </c>
      <c r="S117" s="152" t="n">
        <v>5.967619048</v>
      </c>
      <c r="T117" s="152" t="n">
        <v>2.3315</v>
      </c>
      <c r="U117" s="152" t="n">
        <v>3.636119048</v>
      </c>
      <c r="V117" s="152" t="n">
        <v>1.69767273</v>
      </c>
      <c r="W117" s="152" t="n">
        <v>1.938446317</v>
      </c>
      <c r="X117" s="158" t="n">
        <v>3.139163635</v>
      </c>
      <c r="Y117" s="158" t="n">
        <v>628.7480773</v>
      </c>
      <c r="Z117" s="158" t="n">
        <v>15.24282955</v>
      </c>
      <c r="AA117" s="158" t="n">
        <v>3.092236364</v>
      </c>
      <c r="AB117" s="159" t="n">
        <v>1.252769852</v>
      </c>
      <c r="AC117" s="159" t="n">
        <v>1.025479316</v>
      </c>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83" t="inlineStr">
        <is>
          <t>2015-04</t>
        </is>
      </c>
      <c r="B118" s="155" t="n">
        <v>2505.248</v>
      </c>
      <c r="C118" s="155" t="n">
        <v>118.61</v>
      </c>
      <c r="D118" s="155" t="n">
        <v>352.86</v>
      </c>
      <c r="E118" s="155" t="n">
        <v>4254.45</v>
      </c>
      <c r="F118" s="152" t="n">
        <v>4.5</v>
      </c>
      <c r="G118" s="152" t="n">
        <v>0.12</v>
      </c>
      <c r="H118" s="152" t="n">
        <v>4.38</v>
      </c>
      <c r="I118" s="156" t="n">
        <v>2274.928871</v>
      </c>
      <c r="J118" s="152" t="n">
        <v>2.775702112</v>
      </c>
      <c r="K118" s="152" t="n">
        <v>106.3522818</v>
      </c>
      <c r="L118" s="152" t="n">
        <v>13.4947619</v>
      </c>
      <c r="M118" s="157" t="n">
        <v>0</v>
      </c>
      <c r="N118" s="155" t="n">
        <v>47172.99</v>
      </c>
      <c r="O118" s="152" t="n">
        <v>215.7272727</v>
      </c>
      <c r="P118" s="152" t="n">
        <v>2.157272727</v>
      </c>
      <c r="Q118" s="156" t="n">
        <v>-331.29</v>
      </c>
      <c r="R118" s="156" t="n">
        <v>593.9</v>
      </c>
      <c r="S118" s="152" t="n">
        <v>5.887</v>
      </c>
      <c r="T118" s="152" t="n">
        <v>2.486</v>
      </c>
      <c r="U118" s="152" t="n">
        <v>3.401</v>
      </c>
      <c r="V118" s="152" t="n">
        <v>1.796318195</v>
      </c>
      <c r="W118" s="152" t="n">
        <v>1.604681805</v>
      </c>
      <c r="X118" s="158" t="n">
        <v>3.047900005</v>
      </c>
      <c r="Y118" s="158" t="n">
        <v>614.0399227</v>
      </c>
      <c r="Z118" s="158" t="n">
        <v>15.22827</v>
      </c>
      <c r="AA118" s="158" t="n">
        <v>3.12064</v>
      </c>
      <c r="AB118" s="159" t="n">
        <v>-0.6781398962</v>
      </c>
      <c r="AC118" s="159" t="n">
        <v>-0.3222355442</v>
      </c>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83" t="inlineStr">
        <is>
          <t>2015-05</t>
        </is>
      </c>
      <c r="B119" s="155" t="n">
        <v>2437.535161</v>
      </c>
      <c r="C119" s="155" t="n">
        <v>123.53</v>
      </c>
      <c r="D119" s="155" t="n">
        <v>362.7</v>
      </c>
      <c r="E119" s="155" t="n">
        <v>4284.02</v>
      </c>
      <c r="F119" s="152" t="n">
        <v>4.5</v>
      </c>
      <c r="G119" s="152" t="n">
        <v>0.12</v>
      </c>
      <c r="H119" s="152" t="n">
        <v>4.38</v>
      </c>
      <c r="I119" s="156" t="n">
        <v>870.7905267</v>
      </c>
      <c r="J119" s="152" t="n">
        <v>2.567352415</v>
      </c>
      <c r="K119" s="152" t="n">
        <v>105.406515</v>
      </c>
      <c r="L119" s="152" t="n">
        <v>13.3385</v>
      </c>
      <c r="M119" s="157" t="n">
        <v>0</v>
      </c>
      <c r="N119" s="155" t="n">
        <v>47005.47</v>
      </c>
      <c r="O119" s="152" t="n">
        <v>208.952381</v>
      </c>
      <c r="P119" s="152" t="n">
        <v>2.08952381</v>
      </c>
      <c r="Q119" s="156" t="n">
        <v>-201.58</v>
      </c>
      <c r="R119" s="156" t="n">
        <v>-105.45</v>
      </c>
      <c r="S119" s="152" t="n">
        <v>5.988947368</v>
      </c>
      <c r="T119" s="152" t="n">
        <v>2.735789474</v>
      </c>
      <c r="U119" s="152" t="n">
        <v>3.253157895</v>
      </c>
      <c r="V119" s="152" t="n">
        <v>1.747645003</v>
      </c>
      <c r="W119" s="152" t="n">
        <v>1.505512892</v>
      </c>
      <c r="X119" s="158" t="n">
        <v>3.058133352</v>
      </c>
      <c r="Y119" s="158" t="n">
        <v>607.8615619</v>
      </c>
      <c r="Z119" s="158" t="n">
        <v>15.2665</v>
      </c>
      <c r="AA119" s="158" t="n">
        <v>3.151345</v>
      </c>
      <c r="AB119" s="159" t="n">
        <v>-0.1687206708</v>
      </c>
      <c r="AC119" s="159" t="n">
        <v>0.07285616794999999</v>
      </c>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83" t="inlineStr">
        <is>
          <t>2015-06</t>
        </is>
      </c>
      <c r="B120" s="155" t="n">
        <v>2562.477667</v>
      </c>
      <c r="C120" s="155" t="n">
        <v>122.42</v>
      </c>
      <c r="D120" s="155" t="n">
        <v>396.98</v>
      </c>
      <c r="E120" s="155" t="n">
        <v>4382.61</v>
      </c>
      <c r="F120" s="152" t="n">
        <v>4.5</v>
      </c>
      <c r="G120" s="152" t="n">
        <v>0.13</v>
      </c>
      <c r="H120" s="152" t="n">
        <v>4.37</v>
      </c>
      <c r="I120" s="156" t="n">
        <v>-1953.188952</v>
      </c>
      <c r="J120" s="152" t="n">
        <v>2.664923762</v>
      </c>
      <c r="K120" s="152" t="n">
        <v>106.1789864</v>
      </c>
      <c r="L120" s="152" t="n">
        <v>14.33954545</v>
      </c>
      <c r="M120" s="157" t="n">
        <v>0</v>
      </c>
      <c r="N120" s="155" t="n">
        <v>46975.77</v>
      </c>
      <c r="O120" s="152" t="n">
        <v>224.8636364</v>
      </c>
      <c r="P120" s="152" t="n">
        <v>2.248636364</v>
      </c>
      <c r="Q120" s="156" t="n">
        <v>-164.19</v>
      </c>
      <c r="R120" s="156" t="n">
        <v>168.05</v>
      </c>
      <c r="S120" s="152" t="n">
        <v>6.195789474</v>
      </c>
      <c r="T120" s="152" t="n">
        <v>3.014210526</v>
      </c>
      <c r="U120" s="152" t="n">
        <v>3.181578947</v>
      </c>
      <c r="V120" s="152" t="n">
        <v>1.732659085</v>
      </c>
      <c r="W120" s="152" t="n">
        <v>1.448919862</v>
      </c>
      <c r="X120" s="158" t="n">
        <v>3.111727281</v>
      </c>
      <c r="Y120" s="158" t="n">
        <v>631.7326318</v>
      </c>
      <c r="Z120" s="158" t="n">
        <v>15.50471591</v>
      </c>
      <c r="AA120" s="158" t="n">
        <v>3.161780952</v>
      </c>
      <c r="AB120" s="159" t="n">
        <v>0.7211464185000001</v>
      </c>
      <c r="AC120" s="159" t="n">
        <v>0.6098200608</v>
      </c>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83" t="inlineStr">
        <is>
          <t>2015-07</t>
        </is>
      </c>
      <c r="B121" s="155" t="n">
        <v>2732.035806</v>
      </c>
      <c r="C121" s="155" t="n">
        <v>115.13</v>
      </c>
      <c r="D121" s="155" t="n">
        <v>458.71</v>
      </c>
      <c r="E121" s="155" t="n">
        <v>4495.11</v>
      </c>
      <c r="F121" s="152" t="n">
        <v>4.5</v>
      </c>
      <c r="G121" s="152" t="n">
        <v>0.13</v>
      </c>
      <c r="H121" s="152" t="n">
        <v>4.37</v>
      </c>
      <c r="I121" s="156" t="n">
        <v>-3128.173274</v>
      </c>
      <c r="J121" s="152" t="n">
        <v>2.717291316</v>
      </c>
      <c r="K121" s="152" t="n">
        <v>108.1235682</v>
      </c>
      <c r="L121" s="152" t="n">
        <v>14.35272727</v>
      </c>
      <c r="M121" s="157" t="n">
        <v>0</v>
      </c>
      <c r="N121" s="155" t="n">
        <v>46845.8</v>
      </c>
      <c r="O121" s="152" t="n">
        <v>242</v>
      </c>
      <c r="P121" s="152" t="n">
        <v>2.42</v>
      </c>
      <c r="Q121" s="156" t="n">
        <v>-220.53</v>
      </c>
      <c r="R121" s="156" t="n">
        <v>-57.83</v>
      </c>
      <c r="S121" s="152" t="n">
        <v>6.352272727</v>
      </c>
      <c r="T121" s="152" t="n">
        <v>3.276818182</v>
      </c>
      <c r="U121" s="152" t="n">
        <v>3.075454545</v>
      </c>
      <c r="V121" s="152" t="n">
        <v>1.605290911</v>
      </c>
      <c r="W121" s="152" t="n">
        <v>1.470163634</v>
      </c>
      <c r="X121" s="158" t="n">
        <v>3.222817379</v>
      </c>
      <c r="Y121" s="158" t="n">
        <v>651.4216304</v>
      </c>
      <c r="Z121" s="158" t="n">
        <v>15.94103087</v>
      </c>
      <c r="AA121" s="158" t="n">
        <v>3.181965</v>
      </c>
      <c r="AB121" s="159" t="n">
        <v>0.9312664655</v>
      </c>
      <c r="AC121" s="159" t="n">
        <v>0.8289032046</v>
      </c>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83" t="inlineStr">
        <is>
          <t>2015-08</t>
        </is>
      </c>
      <c r="B122" s="155" t="n">
        <v>3012.587419</v>
      </c>
      <c r="C122" s="155" t="n">
        <v>105.94</v>
      </c>
      <c r="D122" s="155" t="n">
        <v>502.15</v>
      </c>
      <c r="E122" s="155" t="n">
        <v>4682</v>
      </c>
      <c r="F122" s="152" t="n">
        <v>4.5</v>
      </c>
      <c r="G122" s="152" t="n">
        <v>0.14</v>
      </c>
      <c r="H122" s="152" t="n">
        <v>4.36</v>
      </c>
      <c r="I122" s="156" t="n">
        <v>-4192.1143</v>
      </c>
      <c r="J122" s="152" t="n">
        <v>2.536322549</v>
      </c>
      <c r="K122" s="152" t="n">
        <v>109.9767476</v>
      </c>
      <c r="L122" s="152" t="n">
        <v>19.42809524</v>
      </c>
      <c r="M122" s="157" t="n">
        <v>0</v>
      </c>
      <c r="N122" s="155" t="n">
        <v>46703.28</v>
      </c>
      <c r="O122" s="152" t="n">
        <v>275.7142857</v>
      </c>
      <c r="P122" s="152" t="n">
        <v>2.757142857</v>
      </c>
      <c r="Q122" s="156" t="n">
        <v>-171.35</v>
      </c>
      <c r="R122" s="156" t="n">
        <v>-171.04</v>
      </c>
      <c r="S122" s="152" t="n">
        <v>6.677894737</v>
      </c>
      <c r="T122" s="152" t="n">
        <v>3.013684211</v>
      </c>
      <c r="U122" s="152" t="n">
        <v>3.664210526</v>
      </c>
      <c r="V122" s="152" t="n">
        <v>1.330823813</v>
      </c>
      <c r="W122" s="152" t="n">
        <v>2.333386713</v>
      </c>
      <c r="X122" s="158" t="n">
        <v>3.51399525</v>
      </c>
      <c r="Y122" s="158" t="n">
        <v>688.8470238</v>
      </c>
      <c r="Z122" s="158" t="n">
        <v>16.54392381</v>
      </c>
      <c r="AA122" s="158" t="n">
        <v>3.239442857</v>
      </c>
      <c r="AB122" s="159" t="n">
        <v>1.825155624</v>
      </c>
      <c r="AC122" s="159" t="n">
        <v>1.731405228</v>
      </c>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83" t="inlineStr">
        <is>
          <t>2015-09</t>
        </is>
      </c>
      <c r="B123" s="155" t="n">
        <v>3066.408</v>
      </c>
      <c r="C123" s="155" t="n">
        <v>106.31</v>
      </c>
      <c r="D123" s="155" t="n">
        <v>451.97</v>
      </c>
      <c r="E123" s="155" t="n">
        <v>4790.69</v>
      </c>
      <c r="F123" s="152" t="n">
        <v>4.525</v>
      </c>
      <c r="G123" s="152" t="n">
        <v>0.14</v>
      </c>
      <c r="H123" s="152" t="n">
        <v>4.385</v>
      </c>
      <c r="I123" s="156" t="n">
        <v>1423.223087</v>
      </c>
      <c r="J123" s="152" t="n">
        <v>2.766922547</v>
      </c>
      <c r="K123" s="152" t="n">
        <v>110.8512571</v>
      </c>
      <c r="L123" s="152" t="n">
        <v>24.37714286</v>
      </c>
      <c r="M123" s="157" t="n">
        <v>0</v>
      </c>
      <c r="N123" s="155" t="n">
        <v>46726.37</v>
      </c>
      <c r="O123" s="152" t="n">
        <v>290.7272727</v>
      </c>
      <c r="P123" s="152" t="n">
        <v>2.907272727</v>
      </c>
      <c r="Q123" s="156" t="n">
        <v>-251.93</v>
      </c>
      <c r="R123" s="156" t="n">
        <v>-50.87</v>
      </c>
      <c r="S123" s="152" t="n">
        <v>7.214090909</v>
      </c>
      <c r="T123" s="152" t="n">
        <v>2.993636364</v>
      </c>
      <c r="U123" s="152" t="n">
        <v>4.220454545</v>
      </c>
      <c r="V123" s="152" t="n">
        <v>1.220623805</v>
      </c>
      <c r="W123" s="152" t="n">
        <v>2.99983074</v>
      </c>
      <c r="X123" s="158" t="n">
        <v>3.901209105</v>
      </c>
      <c r="Y123" s="158" t="n">
        <v>691.3589818</v>
      </c>
      <c r="Z123" s="158" t="n">
        <v>16.85139091</v>
      </c>
      <c r="AA123" s="158" t="n">
        <v>3.218645455</v>
      </c>
      <c r="AB123" s="159" t="n">
        <v>1.113319359</v>
      </c>
      <c r="AC123" s="159" t="n">
        <v>0.7079092357</v>
      </c>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83" t="inlineStr">
        <is>
          <t>2015-10</t>
        </is>
      </c>
      <c r="B124" s="155" t="n">
        <v>2929.472258</v>
      </c>
      <c r="C124" s="155" t="n">
        <v>105.08</v>
      </c>
      <c r="D124" s="155" t="n">
        <v>388.73</v>
      </c>
      <c r="E124" s="155" t="n">
        <v>4830.17</v>
      </c>
      <c r="F124" s="152" t="n">
        <v>4.75</v>
      </c>
      <c r="G124" s="152" t="n">
        <v>0.12</v>
      </c>
      <c r="H124" s="152" t="n">
        <v>4.63</v>
      </c>
      <c r="I124" s="156" t="n">
        <v>-3817.656829</v>
      </c>
      <c r="J124" s="152" t="n">
        <v>2.80153607</v>
      </c>
      <c r="K124" s="152" t="n">
        <v>109.9035714</v>
      </c>
      <c r="L124" s="152" t="n">
        <v>16.78954545</v>
      </c>
      <c r="M124" s="157" t="n">
        <v>0</v>
      </c>
      <c r="N124" s="155" t="n">
        <v>46826.33</v>
      </c>
      <c r="O124" s="152" t="n">
        <v>282.4545455</v>
      </c>
      <c r="P124" s="152" t="n">
        <v>2.824545455</v>
      </c>
      <c r="Q124" s="156" t="n">
        <v>-330.84</v>
      </c>
      <c r="R124" s="156" t="n">
        <v>414.98</v>
      </c>
      <c r="S124" s="152" t="n">
        <v>7.306666667</v>
      </c>
      <c r="T124" s="152" t="n">
        <v>2.899047619</v>
      </c>
      <c r="U124" s="152" t="n">
        <v>4.407619048</v>
      </c>
      <c r="V124" s="152" t="n">
        <v>1.224066672</v>
      </c>
      <c r="W124" s="152" t="n">
        <v>3.183552376</v>
      </c>
      <c r="X124" s="158" t="n">
        <v>3.873372707</v>
      </c>
      <c r="Y124" s="158" t="n">
        <v>684.1142136</v>
      </c>
      <c r="Z124" s="158" t="n">
        <v>16.57883273</v>
      </c>
      <c r="AA124" s="158" t="n">
        <v>3.24952</v>
      </c>
      <c r="AB124" s="159" t="n">
        <v>-0.49477594</v>
      </c>
      <c r="AC124" s="159" t="n">
        <v>-0.1766039319</v>
      </c>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83" t="inlineStr">
        <is>
          <t>2015-11</t>
        </is>
      </c>
      <c r="B125" s="155" t="n">
        <v>3001.376333</v>
      </c>
      <c r="C125" s="155" t="n">
        <v>102.93</v>
      </c>
      <c r="D125" s="155" t="n">
        <v>399</v>
      </c>
      <c r="E125" s="155" t="n">
        <v>4904.97</v>
      </c>
      <c r="F125" s="152" t="n">
        <v>5.225</v>
      </c>
      <c r="G125" s="152" t="n">
        <v>0.12</v>
      </c>
      <c r="H125" s="152" t="n">
        <v>5.105</v>
      </c>
      <c r="I125" s="156" t="n">
        <v>-2772.118317</v>
      </c>
      <c r="J125" s="152" t="n">
        <v>2.981295634</v>
      </c>
      <c r="K125" s="152" t="n">
        <v>111.6916105</v>
      </c>
      <c r="L125" s="152" t="n">
        <v>16.21</v>
      </c>
      <c r="M125" s="157" t="n">
        <v>0</v>
      </c>
      <c r="N125" s="155" t="n">
        <v>46757.77</v>
      </c>
      <c r="O125" s="152" t="n">
        <v>280.3809524</v>
      </c>
      <c r="P125" s="152" t="n">
        <v>2.803809524</v>
      </c>
      <c r="Q125" s="156" t="n">
        <v>-146.75</v>
      </c>
      <c r="R125" s="156" t="n">
        <v>-154.99</v>
      </c>
      <c r="S125" s="152" t="n">
        <v>7.561578947</v>
      </c>
      <c r="T125" s="152" t="n">
        <v>2.987368421</v>
      </c>
      <c r="U125" s="152" t="n">
        <v>4.574210526</v>
      </c>
      <c r="V125" s="152" t="n">
        <v>1.32780001</v>
      </c>
      <c r="W125" s="152" t="n">
        <v>3.246410516</v>
      </c>
      <c r="X125" s="158" t="n">
        <v>3.780033339</v>
      </c>
      <c r="Y125" s="158" t="n">
        <v>704.8474905</v>
      </c>
      <c r="Z125" s="158" t="n">
        <v>16.63820762</v>
      </c>
      <c r="AA125" s="158" t="n">
        <v>3.3382</v>
      </c>
      <c r="AB125" s="159" t="n">
        <v>0.09072250098</v>
      </c>
      <c r="AC125" s="159" t="n">
        <v>0.6120419068</v>
      </c>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83" t="inlineStr">
        <is>
          <t>2015-12</t>
        </is>
      </c>
      <c r="B126" s="155" t="n">
        <v>3244.201613</v>
      </c>
      <c r="C126" s="155" t="n">
        <v>95.81999999999999</v>
      </c>
      <c r="D126" s="155" t="n">
        <v>497.4</v>
      </c>
      <c r="E126" s="155" t="n">
        <v>4957.4</v>
      </c>
      <c r="F126" s="152" t="n">
        <v>5.588709677</v>
      </c>
      <c r="G126" s="152" t="n">
        <v>0.24</v>
      </c>
      <c r="H126" s="152" t="n">
        <v>5.348709677</v>
      </c>
      <c r="I126" s="156" t="n">
        <v>-9795.834233</v>
      </c>
      <c r="J126" s="152" t="n">
        <v>3.015885516</v>
      </c>
      <c r="K126" s="152" t="n">
        <v>112.7857409</v>
      </c>
      <c r="L126" s="152" t="n">
        <v>18.02545455</v>
      </c>
      <c r="M126" s="157" t="n">
        <v>0</v>
      </c>
      <c r="N126" s="155" t="n">
        <v>46731.11</v>
      </c>
      <c r="O126" s="152" t="n">
        <v>313.7391304</v>
      </c>
      <c r="P126" s="152" t="n">
        <v>3.137391304</v>
      </c>
      <c r="Q126" s="156" t="n">
        <v>-252.16</v>
      </c>
      <c r="R126" s="156" t="n">
        <v>-31.5</v>
      </c>
      <c r="S126" s="152" t="n">
        <v>7.8875</v>
      </c>
      <c r="T126" s="152" t="n">
        <v>3.359411765</v>
      </c>
      <c r="U126" s="152" t="n">
        <v>4.528088235</v>
      </c>
      <c r="V126" s="152" t="n">
        <v>1.293045472</v>
      </c>
      <c r="W126" s="152" t="n">
        <v>3.235042763</v>
      </c>
      <c r="X126" s="158" t="n">
        <v>3.874326074</v>
      </c>
      <c r="Y126" s="158" t="n">
        <v>704.4074783</v>
      </c>
      <c r="Z126" s="158" t="n">
        <v>17.08013565</v>
      </c>
      <c r="AA126" s="158" t="n">
        <v>3.38377619</v>
      </c>
      <c r="AB126" s="159" t="n">
        <v>0.4270484975</v>
      </c>
      <c r="AC126" s="159" t="n">
        <v>0.5954961751</v>
      </c>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83" t="inlineStr">
        <is>
          <t>2016-01</t>
        </is>
      </c>
      <c r="B127" s="155" t="n">
        <v>3270.195161</v>
      </c>
      <c r="C127" s="155" t="n">
        <v>86.25</v>
      </c>
      <c r="D127" s="155" t="n">
        <v>409.29</v>
      </c>
      <c r="E127" s="155" t="n">
        <v>5017.69</v>
      </c>
      <c r="F127" s="152" t="n">
        <v>5.75</v>
      </c>
      <c r="G127" s="152" t="n">
        <v>0.34</v>
      </c>
      <c r="H127" s="152" t="n">
        <v>5.41</v>
      </c>
      <c r="I127" s="156" t="n">
        <v>1561.154616</v>
      </c>
      <c r="J127" s="152" t="n">
        <v>3.113369713</v>
      </c>
      <c r="K127" s="152" t="n">
        <v>115.2343875</v>
      </c>
      <c r="L127" s="152" t="n">
        <v>23.71789474</v>
      </c>
      <c r="M127" s="157" t="n">
        <v>0</v>
      </c>
      <c r="N127" s="155" t="n">
        <v>46734.29</v>
      </c>
      <c r="O127" s="152" t="n">
        <v>367.4285714</v>
      </c>
      <c r="P127" s="152" t="n">
        <v>3.674285714</v>
      </c>
      <c r="Q127" s="156" t="n">
        <v>-157.72</v>
      </c>
      <c r="R127" s="156" t="n">
        <v>36.65</v>
      </c>
      <c r="S127" s="152" t="n">
        <v>8.222631579</v>
      </c>
      <c r="T127" s="152" t="n">
        <v>3.561052632</v>
      </c>
      <c r="U127" s="152" t="n">
        <v>4.661578947</v>
      </c>
      <c r="V127" s="152" t="n">
        <v>1.226210525</v>
      </c>
      <c r="W127" s="152" t="n">
        <v>3.435368422</v>
      </c>
      <c r="X127" s="158" t="n">
        <v>4.045000008</v>
      </c>
      <c r="Y127" s="158" t="n">
        <v>721.5532286</v>
      </c>
      <c r="Z127" s="158" t="n">
        <v>18.04937476</v>
      </c>
      <c r="AA127" s="158" t="n">
        <v>3.43865</v>
      </c>
      <c r="AB127" s="159" t="n">
        <v>1.249890468</v>
      </c>
      <c r="AC127" s="159" t="n">
        <v>1.263435322</v>
      </c>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83" t="inlineStr">
        <is>
          <t>2016-02</t>
        </is>
      </c>
      <c r="B128" s="155" t="n">
        <v>3354.956897</v>
      </c>
      <c r="C128" s="155" t="n">
        <v>94.13</v>
      </c>
      <c r="D128" s="155" t="n">
        <v>451.42</v>
      </c>
      <c r="E128" s="155" t="n">
        <v>5107.15</v>
      </c>
      <c r="F128" s="152" t="n">
        <v>6.068965517</v>
      </c>
      <c r="G128" s="152" t="n">
        <v>0.38</v>
      </c>
      <c r="H128" s="152" t="n">
        <v>5.688965517</v>
      </c>
      <c r="I128" s="156" t="n">
        <v>-5524.624035</v>
      </c>
      <c r="J128" s="152" t="n">
        <v>3.414282317</v>
      </c>
      <c r="K128" s="152" t="n">
        <v>114.281735</v>
      </c>
      <c r="L128" s="152" t="n">
        <v>22.517</v>
      </c>
      <c r="M128" s="157" t="n">
        <v>0</v>
      </c>
      <c r="N128" s="155" t="n">
        <v>46849.39</v>
      </c>
      <c r="O128" s="152" t="n">
        <v>393.1904762</v>
      </c>
      <c r="P128" s="152" t="n">
        <v>3.931904762</v>
      </c>
      <c r="Q128" s="156" t="n">
        <v>-147.57</v>
      </c>
      <c r="R128" s="156" t="n">
        <v>54.35</v>
      </c>
      <c r="S128" s="152" t="n">
        <v>8.513333333</v>
      </c>
      <c r="T128" s="152" t="n">
        <v>3.793333333</v>
      </c>
      <c r="U128" s="152" t="n">
        <v>4.72</v>
      </c>
      <c r="V128" s="152" t="n">
        <v>1.140039995</v>
      </c>
      <c r="W128" s="152" t="n">
        <v>3.579960005</v>
      </c>
      <c r="X128" s="158" t="n">
        <v>3.966157153</v>
      </c>
      <c r="Y128" s="158" t="n">
        <v>703.1560714</v>
      </c>
      <c r="Z128" s="158" t="n">
        <v>18.46209</v>
      </c>
      <c r="AA128" s="158" t="n">
        <v>3.506957143</v>
      </c>
      <c r="AB128" s="159" t="n">
        <v>-0.3337051692</v>
      </c>
      <c r="AC128" s="159" t="n">
        <v>0.1478070936</v>
      </c>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83" t="inlineStr">
        <is>
          <t>2016-03</t>
        </is>
      </c>
      <c r="B129" s="155" t="n">
        <v>3128.789032</v>
      </c>
      <c r="C129" s="155" t="n">
        <v>103.64</v>
      </c>
      <c r="D129" s="155" t="n">
        <v>414.88</v>
      </c>
      <c r="E129" s="155" t="n">
        <v>5086.09</v>
      </c>
      <c r="F129" s="152" t="n">
        <v>6.330645161</v>
      </c>
      <c r="G129" s="152" t="n">
        <v>0.36</v>
      </c>
      <c r="H129" s="152" t="n">
        <v>5.970645161</v>
      </c>
      <c r="I129" s="156" t="n">
        <v>-3048.225588</v>
      </c>
      <c r="J129" s="152" t="n">
        <v>3.253348464</v>
      </c>
      <c r="K129" s="152" t="n">
        <v>111.8933913</v>
      </c>
      <c r="L129" s="152" t="n">
        <v>15.84909091</v>
      </c>
      <c r="M129" s="157" t="n">
        <v>0</v>
      </c>
      <c r="N129" s="155" t="n">
        <v>47224.96</v>
      </c>
      <c r="O129" s="152" t="n">
        <v>309.3043478</v>
      </c>
      <c r="P129" s="152" t="n">
        <v>3.093043478</v>
      </c>
      <c r="Q129" s="156" t="n">
        <v>-258.82</v>
      </c>
      <c r="R129" s="156" t="n">
        <v>549.21</v>
      </c>
      <c r="S129" s="152" t="n">
        <v>7.9405</v>
      </c>
      <c r="T129" s="152" t="n">
        <v>3.5855</v>
      </c>
      <c r="U129" s="152" t="n">
        <v>4.355</v>
      </c>
      <c r="V129" s="152" t="n">
        <v>1.489581813</v>
      </c>
      <c r="W129" s="152" t="n">
        <v>2.865418187</v>
      </c>
      <c r="X129" s="158" t="n">
        <v>3.703213039</v>
      </c>
      <c r="Y129" s="158" t="n">
        <v>680.3120739</v>
      </c>
      <c r="Z129" s="158" t="n">
        <v>17.6228413</v>
      </c>
      <c r="AA129" s="158" t="n">
        <v>3.406928571</v>
      </c>
      <c r="AB129" s="159" t="n">
        <v>-1.695845552</v>
      </c>
      <c r="AC129" s="159" t="n">
        <v>-1.851447177</v>
      </c>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83" t="inlineStr">
        <is>
          <t>2016-04</t>
        </is>
      </c>
      <c r="B130" s="155" t="n">
        <v>2997.727</v>
      </c>
      <c r="C130" s="155" t="n">
        <v>105.85</v>
      </c>
      <c r="D130" s="155" t="n">
        <v>399.76</v>
      </c>
      <c r="E130" s="155" t="n">
        <v>5132.99</v>
      </c>
      <c r="F130" s="152" t="n">
        <v>6.5</v>
      </c>
      <c r="G130" s="152" t="n">
        <v>0.37</v>
      </c>
      <c r="H130" s="152" t="n">
        <v>6.13</v>
      </c>
      <c r="I130" s="156" t="n">
        <v>-441.2978213</v>
      </c>
      <c r="J130" s="152" t="n">
        <v>3.567805895</v>
      </c>
      <c r="K130" s="152" t="n">
        <v>110.0170762</v>
      </c>
      <c r="L130" s="152" t="n">
        <v>14.30047619</v>
      </c>
      <c r="M130" s="157" t="n">
        <v>0</v>
      </c>
      <c r="N130" s="155" t="n">
        <v>47292.95</v>
      </c>
      <c r="O130" s="152" t="n">
        <v>286.8095238</v>
      </c>
      <c r="P130" s="152" t="n">
        <v>2.868095238</v>
      </c>
      <c r="Q130" s="156" t="n">
        <v>-161.77</v>
      </c>
      <c r="R130" s="156" t="n">
        <v>118.04</v>
      </c>
      <c r="S130" s="152" t="n">
        <v>7.723333333</v>
      </c>
      <c r="T130" s="152" t="n">
        <v>3.335714286</v>
      </c>
      <c r="U130" s="152" t="n">
        <v>4.387619048</v>
      </c>
      <c r="V130" s="152" t="n">
        <v>1.533871424</v>
      </c>
      <c r="W130" s="152" t="n">
        <v>2.853747624</v>
      </c>
      <c r="X130" s="158" t="n">
        <v>3.564800001</v>
      </c>
      <c r="Y130" s="158" t="n">
        <v>669.6329667</v>
      </c>
      <c r="Z130" s="158" t="n">
        <v>17.46794571</v>
      </c>
      <c r="AA130" s="158" t="n">
        <v>3.3011</v>
      </c>
      <c r="AB130" s="159" t="n">
        <v>-0.7525010312</v>
      </c>
      <c r="AC130" s="159" t="n">
        <v>-1.19659207</v>
      </c>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83" t="inlineStr">
        <is>
          <t>2016-05</t>
        </is>
      </c>
      <c r="B131" s="155" t="n">
        <v>2993.508387</v>
      </c>
      <c r="C131" s="155" t="n">
        <v>112.65</v>
      </c>
      <c r="D131" s="155" t="n">
        <v>433.51</v>
      </c>
      <c r="E131" s="155" t="n">
        <v>5203.8</v>
      </c>
      <c r="F131" s="152" t="n">
        <v>6.991935484</v>
      </c>
      <c r="G131" s="152" t="n">
        <v>0.37</v>
      </c>
      <c r="H131" s="152" t="n">
        <v>6.621935484</v>
      </c>
      <c r="I131" s="156" t="n">
        <v>294.7500988</v>
      </c>
      <c r="J131" s="152" t="n">
        <v>3.634494068</v>
      </c>
      <c r="K131" s="152" t="n">
        <v>111.1405143</v>
      </c>
      <c r="L131" s="152" t="n">
        <v>14.85285714</v>
      </c>
      <c r="M131" s="157" t="n">
        <v>0</v>
      </c>
      <c r="N131" s="155" t="n">
        <v>47532.46</v>
      </c>
      <c r="O131" s="152" t="n">
        <v>291.2272727</v>
      </c>
      <c r="P131" s="152" t="n">
        <v>2.912272727</v>
      </c>
      <c r="Q131" s="156" t="n">
        <v>9.75</v>
      </c>
      <c r="R131" s="156" t="n">
        <v>-128.79</v>
      </c>
      <c r="S131" s="152" t="n">
        <v>7.6175</v>
      </c>
      <c r="T131" s="152" t="n">
        <v>3.339</v>
      </c>
      <c r="U131" s="152" t="n">
        <v>4.2785</v>
      </c>
      <c r="V131" s="152" t="n">
        <v>1.549852366</v>
      </c>
      <c r="W131" s="152" t="n">
        <v>2.728647634</v>
      </c>
      <c r="X131" s="158" t="n">
        <v>3.540854562</v>
      </c>
      <c r="Y131" s="158" t="n">
        <v>683.3696773</v>
      </c>
      <c r="Z131" s="158" t="n">
        <v>18.08294591</v>
      </c>
      <c r="AA131" s="158" t="n">
        <v>3.334681818</v>
      </c>
      <c r="AB131" s="159" t="n">
        <v>0.5034172842</v>
      </c>
      <c r="AC131" s="159" t="n">
        <v>0.5836027138</v>
      </c>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83" t="inlineStr">
        <is>
          <t>2016-06</t>
        </is>
      </c>
      <c r="B132" s="155" t="n">
        <v>2992.858667</v>
      </c>
      <c r="C132" s="155" t="n">
        <v>115.06</v>
      </c>
      <c r="D132" s="155" t="n">
        <v>404.3</v>
      </c>
      <c r="E132" s="155" t="n">
        <v>5211.12</v>
      </c>
      <c r="F132" s="152" t="n">
        <v>7.316666667</v>
      </c>
      <c r="G132" s="152" t="n">
        <v>0.38</v>
      </c>
      <c r="H132" s="152" t="n">
        <v>6.936666667</v>
      </c>
      <c r="I132" s="156" t="n">
        <v>-1564.24087</v>
      </c>
      <c r="J132" s="152" t="n">
        <v>3.589465567</v>
      </c>
      <c r="K132" s="152" t="n">
        <v>111.5596273</v>
      </c>
      <c r="L132" s="152" t="n">
        <v>17.77454545</v>
      </c>
      <c r="M132" s="157" t="n">
        <v>0</v>
      </c>
      <c r="N132" s="155" t="n">
        <v>47025.08</v>
      </c>
      <c r="O132" s="152" t="n">
        <v>280.7727273</v>
      </c>
      <c r="P132" s="152" t="n">
        <v>2.807727273</v>
      </c>
      <c r="Q132" s="156" t="n">
        <v>-151.83</v>
      </c>
      <c r="R132" s="156" t="n">
        <v>-424.57</v>
      </c>
      <c r="S132" s="152" t="n">
        <v>7.426190476</v>
      </c>
      <c r="T132" s="152" t="n">
        <v>3.416190476</v>
      </c>
      <c r="U132" s="152" t="n">
        <v>4.01</v>
      </c>
      <c r="V132" s="152" t="n">
        <v>1.450309082</v>
      </c>
      <c r="W132" s="152" t="n">
        <v>2.559690918</v>
      </c>
      <c r="X132" s="158" t="n">
        <v>3.424177267</v>
      </c>
      <c r="Y132" s="158" t="n">
        <v>679.6082818</v>
      </c>
      <c r="Z132" s="158" t="n">
        <v>18.57009682</v>
      </c>
      <c r="AA132" s="158" t="n">
        <v>3.3161</v>
      </c>
      <c r="AB132" s="159" t="n">
        <v>-0.1583088956</v>
      </c>
      <c r="AC132" s="159" t="n">
        <v>-0.2286578604</v>
      </c>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83" t="inlineStr">
        <is>
          <t>2016-07</t>
        </is>
      </c>
      <c r="B133" s="155" t="n">
        <v>2960.999677</v>
      </c>
      <c r="C133" s="155" t="n">
        <v>111.35</v>
      </c>
      <c r="D133" s="155" t="n">
        <v>399.62</v>
      </c>
      <c r="E133" s="155" t="n">
        <v>5152.03</v>
      </c>
      <c r="F133" s="152" t="n">
        <v>7.5</v>
      </c>
      <c r="G133" s="152" t="n">
        <v>0.39</v>
      </c>
      <c r="H133" s="152" t="n">
        <v>7.11</v>
      </c>
      <c r="I133" s="156" t="n">
        <v>-6505.047012</v>
      </c>
      <c r="J133" s="152" t="n">
        <v>3.980406075</v>
      </c>
      <c r="K133" s="152" t="n">
        <v>112.47729</v>
      </c>
      <c r="L133" s="152" t="n">
        <v>13.1585</v>
      </c>
      <c r="M133" s="157" t="n">
        <v>0</v>
      </c>
      <c r="N133" s="155" t="n">
        <v>47091.19</v>
      </c>
      <c r="O133" s="152" t="n">
        <v>249.8095238</v>
      </c>
      <c r="P133" s="152" t="n">
        <v>2.498095238</v>
      </c>
      <c r="Q133" s="156" t="n">
        <v>-43.5</v>
      </c>
      <c r="R133" s="156" t="n">
        <v>-30.32</v>
      </c>
      <c r="S133" s="152" t="n">
        <v>7.081578947</v>
      </c>
      <c r="T133" s="152" t="n">
        <v>3.08</v>
      </c>
      <c r="U133" s="152" t="n">
        <v>4.001578947</v>
      </c>
      <c r="V133" s="152" t="n">
        <v>1.39623999</v>
      </c>
      <c r="W133" s="152" t="n">
        <v>2.605338957</v>
      </c>
      <c r="X133" s="158" t="n">
        <v>3.275266647</v>
      </c>
      <c r="Y133" s="158" t="n">
        <v>656.9708524</v>
      </c>
      <c r="Z133" s="158" t="n">
        <v>18.52282762</v>
      </c>
      <c r="AA133" s="158" t="n">
        <v>3.299473684</v>
      </c>
      <c r="AB133" s="159" t="n">
        <v>-0.9606139338</v>
      </c>
      <c r="AC133" s="159" t="n">
        <v>-0.8190941569</v>
      </c>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83" t="inlineStr">
        <is>
          <t>2016-08</t>
        </is>
      </c>
      <c r="B134" s="155" t="n">
        <v>2952.766774</v>
      </c>
      <c r="C134" s="155" t="n">
        <v>113.12</v>
      </c>
      <c r="D134" s="155" t="n">
        <v>453.21</v>
      </c>
      <c r="E134" s="155" t="n">
        <v>5103.09</v>
      </c>
      <c r="F134" s="152" t="n">
        <v>7.75</v>
      </c>
      <c r="G134" s="152" t="n">
        <v>0.4</v>
      </c>
      <c r="H134" s="152" t="n">
        <v>7.35</v>
      </c>
      <c r="I134" s="156" t="n">
        <v>-6591.676449</v>
      </c>
      <c r="J134" s="152" t="n">
        <v>4.258203268</v>
      </c>
      <c r="K134" s="152" t="n">
        <v>111.4383696</v>
      </c>
      <c r="L134" s="152" t="n">
        <v>12.39956522</v>
      </c>
      <c r="M134" s="157" t="n">
        <v>0</v>
      </c>
      <c r="N134" s="155" t="n">
        <v>47036.53</v>
      </c>
      <c r="O134" s="152" t="n">
        <v>234.1304348</v>
      </c>
      <c r="P134" s="152" t="n">
        <v>2.341304348</v>
      </c>
      <c r="Q134" s="156" t="n">
        <v>-230.41</v>
      </c>
      <c r="R134" s="156" t="n">
        <v>24.63</v>
      </c>
      <c r="S134" s="152" t="n">
        <v>7.170909091</v>
      </c>
      <c r="T134" s="152" t="n">
        <v>3.373636364</v>
      </c>
      <c r="U134" s="152" t="n">
        <v>3.797272727</v>
      </c>
      <c r="V134" s="152" t="n">
        <v>1.329260878</v>
      </c>
      <c r="W134" s="152" t="n">
        <v>2.468011849</v>
      </c>
      <c r="X134" s="158" t="n">
        <v>3.209356495</v>
      </c>
      <c r="Y134" s="158" t="n">
        <v>659.3605348</v>
      </c>
      <c r="Z134" s="158" t="n">
        <v>18.41910043</v>
      </c>
      <c r="AA134" s="158" t="n">
        <v>3.333827273</v>
      </c>
      <c r="AB134" s="159" t="n">
        <v>-0.3097098478</v>
      </c>
      <c r="AC134" s="159" t="n">
        <v>-0.02148612242</v>
      </c>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83" t="inlineStr">
        <is>
          <t>2016-09</t>
        </is>
      </c>
      <c r="B135" s="155" t="n">
        <v>2924.265333</v>
      </c>
      <c r="C135" s="155" t="n">
        <v>113.7</v>
      </c>
      <c r="D135" s="155" t="n">
        <v>413.45</v>
      </c>
      <c r="E135" s="155" t="n">
        <v>5064.57</v>
      </c>
      <c r="F135" s="152" t="n">
        <v>7.75</v>
      </c>
      <c r="G135" s="152" t="n">
        <v>0.4</v>
      </c>
      <c r="H135" s="152" t="n">
        <v>7.35</v>
      </c>
      <c r="I135" s="156" t="n">
        <v>117.3548369</v>
      </c>
      <c r="J135" s="152" t="n">
        <v>4.409383572</v>
      </c>
      <c r="K135" s="152" t="n">
        <v>112.3168619</v>
      </c>
      <c r="L135" s="152" t="n">
        <v>14.21952381</v>
      </c>
      <c r="M135" s="157" t="n">
        <v>0</v>
      </c>
      <c r="N135" s="155" t="n">
        <v>47106.05</v>
      </c>
      <c r="O135" s="152" t="n">
        <v>231.4545455</v>
      </c>
      <c r="P135" s="152" t="n">
        <v>2.314545455</v>
      </c>
      <c r="Q135" s="156" t="n">
        <v>-143.72</v>
      </c>
      <c r="R135" s="156" t="n">
        <v>-118.15</v>
      </c>
      <c r="S135" s="152" t="n">
        <v>6.720909091</v>
      </c>
      <c r="T135" s="152" t="n">
        <v>3.352272727</v>
      </c>
      <c r="U135" s="152" t="n">
        <v>3.368636364</v>
      </c>
      <c r="V135" s="152" t="n">
        <v>1.401557145</v>
      </c>
      <c r="W135" s="152" t="n">
        <v>1.967079219</v>
      </c>
      <c r="X135" s="158" t="n">
        <v>3.255563649</v>
      </c>
      <c r="Y135" s="158" t="n">
        <v>667.8723955</v>
      </c>
      <c r="Z135" s="158" t="n">
        <v>19.04943545</v>
      </c>
      <c r="AA135" s="158" t="n">
        <v>3.382459091</v>
      </c>
      <c r="AB135" s="159" t="n">
        <v>0.589903467</v>
      </c>
      <c r="AC135" s="159" t="n">
        <v>0.7361706747</v>
      </c>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83" t="inlineStr">
        <is>
          <t>2016-10</t>
        </is>
      </c>
      <c r="B136" s="155" t="n">
        <v>2929.38871</v>
      </c>
      <c r="C136" s="155" t="n">
        <v>118.75</v>
      </c>
      <c r="D136" s="155" t="n">
        <v>422.42</v>
      </c>
      <c r="E136" s="155" t="n">
        <v>5098.26</v>
      </c>
      <c r="F136" s="152" t="n">
        <v>7.75</v>
      </c>
      <c r="G136" s="152" t="n">
        <v>0.4</v>
      </c>
      <c r="H136" s="152" t="n">
        <v>7.35</v>
      </c>
      <c r="I136" s="156" t="n">
        <v>-4751.099336</v>
      </c>
      <c r="J136" s="152" t="n">
        <v>4.517448165</v>
      </c>
      <c r="K136" s="152" t="n">
        <v>113.474695</v>
      </c>
      <c r="L136" s="152" t="n">
        <v>14.5852381</v>
      </c>
      <c r="M136" s="157" t="n">
        <v>0</v>
      </c>
      <c r="N136" s="155" t="n">
        <v>46966.38</v>
      </c>
      <c r="O136" s="152" t="n">
        <v>229.1904762</v>
      </c>
      <c r="P136" s="152" t="n">
        <v>2.291904762</v>
      </c>
      <c r="Q136" s="156" t="n">
        <v>-5.36</v>
      </c>
      <c r="R136" s="156" t="n">
        <v>-472.97</v>
      </c>
      <c r="S136" s="152" t="n">
        <v>6.692</v>
      </c>
      <c r="T136" s="152" t="n">
        <v>3.077</v>
      </c>
      <c r="U136" s="152" t="n">
        <v>3.615</v>
      </c>
      <c r="V136" s="152" t="n">
        <v>1.597090006</v>
      </c>
      <c r="W136" s="152" t="n">
        <v>2.017909994</v>
      </c>
      <c r="X136" s="158" t="n">
        <v>3.186866658</v>
      </c>
      <c r="Y136" s="158" t="n">
        <v>663.3505857</v>
      </c>
      <c r="Z136" s="158" t="n">
        <v>18.82844571</v>
      </c>
      <c r="AA136" s="158" t="n">
        <v>3.386019048</v>
      </c>
      <c r="AB136" s="159" t="n">
        <v>-0.5213670002</v>
      </c>
      <c r="AC136" s="159" t="n">
        <v>-0.3674039987</v>
      </c>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83" t="inlineStr">
        <is>
          <t>2016-11</t>
        </is>
      </c>
      <c r="B137" s="155" t="n">
        <v>3110.258667</v>
      </c>
      <c r="C137" s="155" t="n">
        <v>116.04</v>
      </c>
      <c r="D137" s="155" t="n">
        <v>478.31</v>
      </c>
      <c r="E137" s="155" t="n">
        <v>5177.57</v>
      </c>
      <c r="F137" s="152" t="n">
        <v>7.75</v>
      </c>
      <c r="G137" s="152" t="n">
        <v>0.41</v>
      </c>
      <c r="H137" s="152" t="n">
        <v>7.34</v>
      </c>
      <c r="I137" s="156" t="n">
        <v>-4847.143896</v>
      </c>
      <c r="J137" s="152" t="n">
        <v>4.757673775</v>
      </c>
      <c r="K137" s="152" t="n">
        <v>116.107515</v>
      </c>
      <c r="L137" s="152" t="n">
        <v>15.23619048</v>
      </c>
      <c r="M137" s="157" t="n">
        <v>0</v>
      </c>
      <c r="N137" s="155" t="n">
        <v>46742.28</v>
      </c>
      <c r="O137" s="152" t="n">
        <v>251.7727273</v>
      </c>
      <c r="P137" s="152" t="n">
        <v>2.517727273</v>
      </c>
      <c r="Q137" s="156" t="n">
        <v>-0.6</v>
      </c>
      <c r="R137" s="156" t="n">
        <v>-618.1799999999999</v>
      </c>
      <c r="S137" s="152" t="n">
        <v>6.95</v>
      </c>
      <c r="T137" s="152" t="n">
        <v>3.056</v>
      </c>
      <c r="U137" s="152" t="n">
        <v>3.894</v>
      </c>
      <c r="V137" s="152" t="n">
        <v>1.739534998</v>
      </c>
      <c r="W137" s="152" t="n">
        <v>2.154465002</v>
      </c>
      <c r="X137" s="158" t="n">
        <v>3.340177287</v>
      </c>
      <c r="Y137" s="158" t="n">
        <v>666.8226045</v>
      </c>
      <c r="Z137" s="158" t="n">
        <v>19.99668545</v>
      </c>
      <c r="AA137" s="158" t="n">
        <v>3.403489474</v>
      </c>
      <c r="AB137" s="159" t="n">
        <v>1.109984454</v>
      </c>
      <c r="AC137" s="159" t="n">
        <v>0.9384607938</v>
      </c>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83" t="inlineStr">
        <is>
          <t>2016-12</t>
        </is>
      </c>
      <c r="B138" s="155" t="n">
        <v>3009.863871</v>
      </c>
      <c r="C138" s="155" t="n">
        <v>122.86</v>
      </c>
      <c r="D138" s="155" t="n">
        <v>467.3</v>
      </c>
      <c r="E138" s="155" t="n">
        <v>5147.47</v>
      </c>
      <c r="F138" s="152" t="n">
        <v>7.64516129</v>
      </c>
      <c r="G138" s="152" t="n">
        <v>0.54</v>
      </c>
      <c r="H138" s="152" t="n">
        <v>7.10516129</v>
      </c>
      <c r="I138" s="156" t="n">
        <v>-3625.232331</v>
      </c>
      <c r="J138" s="152" t="n">
        <v>4.043303494</v>
      </c>
      <c r="K138" s="152" t="n">
        <v>117.9048286</v>
      </c>
      <c r="L138" s="152" t="n">
        <v>12.47238095</v>
      </c>
      <c r="M138" s="157" t="n">
        <v>0</v>
      </c>
      <c r="N138" s="155" t="n">
        <v>46674.63</v>
      </c>
      <c r="O138" s="152" t="n">
        <v>227.6363636</v>
      </c>
      <c r="P138" s="152" t="n">
        <v>2.276363636</v>
      </c>
      <c r="Q138" s="156" t="n">
        <v>-216.63</v>
      </c>
      <c r="R138" s="156" t="n">
        <v>-60.01</v>
      </c>
      <c r="S138" s="152" t="n">
        <v>6.779</v>
      </c>
      <c r="T138" s="152" t="n">
        <v>3.033684211</v>
      </c>
      <c r="U138" s="152" t="n">
        <v>3.745315789</v>
      </c>
      <c r="V138" s="152" t="n">
        <v>1.883342851</v>
      </c>
      <c r="W138" s="152" t="n">
        <v>1.861972939</v>
      </c>
      <c r="X138" s="158" t="n">
        <v>3.35196818</v>
      </c>
      <c r="Y138" s="158" t="n">
        <v>666.4767182000001</v>
      </c>
      <c r="Z138" s="158" t="n">
        <v>20.45695045</v>
      </c>
      <c r="AA138" s="158" t="n">
        <v>3.39542381</v>
      </c>
      <c r="AB138" s="159" t="n">
        <v>0.1949879014</v>
      </c>
      <c r="AC138" s="159" t="n">
        <v>0.1009834419</v>
      </c>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83" t="inlineStr">
        <is>
          <t>2017-01</t>
        </is>
      </c>
      <c r="B139" s="155" t="n">
        <v>2941.399355</v>
      </c>
      <c r="C139" s="155" t="n">
        <v>129.46</v>
      </c>
      <c r="D139" s="155" t="n">
        <v>436.51</v>
      </c>
      <c r="E139" s="155" t="n">
        <v>5174.69</v>
      </c>
      <c r="F139" s="152" t="n">
        <v>7.5</v>
      </c>
      <c r="G139" s="152" t="n">
        <v>0.65</v>
      </c>
      <c r="H139" s="152" t="n">
        <v>6.85</v>
      </c>
      <c r="I139" s="156" t="n">
        <v>-257.4366851</v>
      </c>
      <c r="J139" s="152" t="n">
        <v>3.99186059</v>
      </c>
      <c r="K139" s="152" t="n">
        <v>117.7857789</v>
      </c>
      <c r="L139" s="152" t="n">
        <v>11.6085</v>
      </c>
      <c r="M139" s="157" t="n">
        <v>0</v>
      </c>
      <c r="N139" s="155" t="n">
        <v>46981.59</v>
      </c>
      <c r="O139" s="152" t="n">
        <v>211.3636364</v>
      </c>
      <c r="P139" s="152" t="n">
        <v>2.113636364</v>
      </c>
      <c r="Q139" s="156" t="n">
        <v>-204.74</v>
      </c>
      <c r="R139" s="156" t="n">
        <v>355.57</v>
      </c>
      <c r="S139" s="152" t="n">
        <v>6.483333333</v>
      </c>
      <c r="T139" s="152" t="n">
        <v>2.674285714</v>
      </c>
      <c r="U139" s="152" t="n">
        <v>3.809047619</v>
      </c>
      <c r="V139" s="152" t="n">
        <v>2.004924995</v>
      </c>
      <c r="W139" s="152" t="n">
        <v>1.804122624</v>
      </c>
      <c r="X139" s="158" t="n">
        <v>3.196295446</v>
      </c>
      <c r="Y139" s="158" t="n">
        <v>660.5767135999999</v>
      </c>
      <c r="Z139" s="158" t="n">
        <v>21.27207091</v>
      </c>
      <c r="AA139" s="158" t="n">
        <v>3.339872727</v>
      </c>
      <c r="AB139" s="159" t="n">
        <v>-0.17863863</v>
      </c>
      <c r="AC139" s="159" t="n">
        <v>-0.4632999832</v>
      </c>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83" t="inlineStr">
        <is>
          <t>2017-02</t>
        </is>
      </c>
      <c r="B140" s="155" t="n">
        <v>2879.566786</v>
      </c>
      <c r="C140" s="155" t="n">
        <v>128.28</v>
      </c>
      <c r="D140" s="155" t="n">
        <v>392.88</v>
      </c>
      <c r="E140" s="155" t="n">
        <v>5116.15</v>
      </c>
      <c r="F140" s="152" t="n">
        <v>7.482142857</v>
      </c>
      <c r="G140" s="152" t="n">
        <v>0.66</v>
      </c>
      <c r="H140" s="152" t="n">
        <v>6.822142857</v>
      </c>
      <c r="I140" s="156" t="n">
        <v>-6420.920022</v>
      </c>
      <c r="J140" s="152" t="n">
        <v>4.089234215</v>
      </c>
      <c r="K140" s="152" t="n">
        <v>116.1203895</v>
      </c>
      <c r="L140" s="152" t="n">
        <v>11.53052632</v>
      </c>
      <c r="M140" s="157" t="n">
        <v>0</v>
      </c>
      <c r="N140" s="155" t="n">
        <v>46985.58</v>
      </c>
      <c r="O140" s="152" t="n">
        <v>199.15</v>
      </c>
      <c r="P140" s="152" t="n">
        <v>1.9915</v>
      </c>
      <c r="Q140" s="156" t="n">
        <v>-48.41</v>
      </c>
      <c r="R140" s="156" t="n">
        <v>-109.21</v>
      </c>
      <c r="S140" s="152" t="n">
        <v>6.539</v>
      </c>
      <c r="T140" s="152" t="n">
        <v>2.7295</v>
      </c>
      <c r="U140" s="152" t="n">
        <v>3.8095</v>
      </c>
      <c r="V140" s="152" t="n">
        <v>2.063836826</v>
      </c>
      <c r="W140" s="152" t="n">
        <v>1.745663174</v>
      </c>
      <c r="X140" s="158" t="n">
        <v>3.10339998</v>
      </c>
      <c r="Y140" s="158" t="n">
        <v>643.31889</v>
      </c>
      <c r="Z140" s="158" t="n">
        <v>20.2188015</v>
      </c>
      <c r="AA140" s="158" t="n">
        <v>3.259575</v>
      </c>
      <c r="AB140" s="159" t="n">
        <v>-1.309475568</v>
      </c>
      <c r="AC140" s="159" t="n">
        <v>-1.469114949</v>
      </c>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83" t="inlineStr">
        <is>
          <t>2017-03</t>
        </is>
      </c>
      <c r="B141" s="155" t="n">
        <v>2942.286129</v>
      </c>
      <c r="C141" s="155" t="n">
        <v>124.5</v>
      </c>
      <c r="D141" s="155" t="n">
        <v>479.01</v>
      </c>
      <c r="E141" s="155" t="n">
        <v>5180.28</v>
      </c>
      <c r="F141" s="152" t="n">
        <v>7.209677419</v>
      </c>
      <c r="G141" s="152" t="n">
        <v>0.79</v>
      </c>
      <c r="H141" s="152" t="n">
        <v>6.419677419</v>
      </c>
      <c r="I141" s="156" t="n">
        <v>-4048.257913</v>
      </c>
      <c r="J141" s="152" t="n">
        <v>4.19787776</v>
      </c>
      <c r="K141" s="152" t="n">
        <v>115.6558478</v>
      </c>
      <c r="L141" s="152" t="n">
        <v>11.89782609</v>
      </c>
      <c r="M141" s="157" t="n">
        <v>0</v>
      </c>
      <c r="N141" s="155" t="n">
        <v>46931.69</v>
      </c>
      <c r="O141" s="152" t="n">
        <v>195.0869565</v>
      </c>
      <c r="P141" s="152" t="n">
        <v>1.950869565</v>
      </c>
      <c r="Q141" s="156" t="n">
        <v>-98.02</v>
      </c>
      <c r="R141" s="156" t="n">
        <v>-188.46</v>
      </c>
      <c r="S141" s="152" t="n">
        <v>6.456363636</v>
      </c>
      <c r="T141" s="152" t="n">
        <v>3.054090909</v>
      </c>
      <c r="U141" s="152" t="n">
        <v>3.402272727</v>
      </c>
      <c r="V141" s="152" t="n">
        <v>2.046482625</v>
      </c>
      <c r="W141" s="152" t="n">
        <v>1.355790102</v>
      </c>
      <c r="X141" s="158" t="n">
        <v>3.127630441</v>
      </c>
      <c r="Y141" s="158" t="n">
        <v>661.9683739</v>
      </c>
      <c r="Z141" s="158" t="n">
        <v>19.22789696</v>
      </c>
      <c r="AA141" s="158" t="n">
        <v>3.263982609</v>
      </c>
      <c r="AB141" s="159" t="n">
        <v>-0.2770679549</v>
      </c>
      <c r="AC141" s="159" t="n">
        <v>-0.178158479</v>
      </c>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83" t="inlineStr">
        <is>
          <t>2017-04</t>
        </is>
      </c>
      <c r="B142" s="155" t="n">
        <v>2877.821667</v>
      </c>
      <c r="C142" s="155" t="n">
        <v>125.02</v>
      </c>
      <c r="D142" s="155" t="n">
        <v>401.64</v>
      </c>
      <c r="E142" s="155" t="n">
        <v>5182.16</v>
      </c>
      <c r="F142" s="152" t="n">
        <v>7</v>
      </c>
      <c r="G142" s="152" t="n">
        <v>0.9</v>
      </c>
      <c r="H142" s="152" t="n">
        <v>6.1</v>
      </c>
      <c r="I142" s="156" t="n">
        <v>1626.511029</v>
      </c>
      <c r="J142" s="152" t="n">
        <v>3.973230938</v>
      </c>
      <c r="K142" s="152" t="n">
        <v>114.769795</v>
      </c>
      <c r="L142" s="152" t="n">
        <v>13.13631579</v>
      </c>
      <c r="M142" s="157" t="n">
        <v>0</v>
      </c>
      <c r="N142" s="155" t="n">
        <v>46935.77</v>
      </c>
      <c r="O142" s="152" t="n">
        <v>196.7</v>
      </c>
      <c r="P142" s="152" t="n">
        <v>1.967</v>
      </c>
      <c r="Q142" s="156" t="n">
        <v>3.69</v>
      </c>
      <c r="R142" s="156" t="n">
        <v>-310.73</v>
      </c>
      <c r="S142" s="152" t="n">
        <v>6.079444444</v>
      </c>
      <c r="T142" s="152" t="n">
        <v>2.932222222</v>
      </c>
      <c r="U142" s="152" t="n">
        <v>3.147222222</v>
      </c>
      <c r="V142" s="152" t="n">
        <v>1.896189464</v>
      </c>
      <c r="W142" s="152" t="n">
        <v>1.251032758</v>
      </c>
      <c r="X142" s="158" t="n">
        <v>3.135865021</v>
      </c>
      <c r="Y142" s="158" t="n">
        <v>655.341395</v>
      </c>
      <c r="Z142" s="158" t="n">
        <v>18.756366</v>
      </c>
      <c r="AA142" s="158" t="n">
        <v>3.247755556</v>
      </c>
      <c r="AB142" s="159" t="n">
        <v>-0.5018768809</v>
      </c>
      <c r="AC142" s="159" t="n">
        <v>-0.474186997</v>
      </c>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83" t="inlineStr">
        <is>
          <t>2017-05</t>
        </is>
      </c>
      <c r="B143" s="155" t="n">
        <v>2923.612903</v>
      </c>
      <c r="C143" s="155" t="n">
        <v>123.74</v>
      </c>
      <c r="D143" s="155" t="n">
        <v>499.08</v>
      </c>
      <c r="E143" s="155" t="n">
        <v>5247.73</v>
      </c>
      <c r="F143" s="152" t="n">
        <v>6.5</v>
      </c>
      <c r="G143" s="152" t="n">
        <v>0.91</v>
      </c>
      <c r="H143" s="152" t="n">
        <v>5.59</v>
      </c>
      <c r="I143" s="156" t="n">
        <v>-53.32923461</v>
      </c>
      <c r="J143" s="152" t="n">
        <v>4.011046289</v>
      </c>
      <c r="K143" s="152" t="n">
        <v>114.2591318</v>
      </c>
      <c r="L143" s="152" t="n">
        <v>10.86227273</v>
      </c>
      <c r="M143" s="157" t="n">
        <v>0</v>
      </c>
      <c r="N143" s="155" t="n">
        <v>47152.54</v>
      </c>
      <c r="O143" s="152" t="n">
        <v>194.5652174</v>
      </c>
      <c r="P143" s="152" t="n">
        <v>1.945652174</v>
      </c>
      <c r="Q143" s="156" t="n">
        <v>-44.92</v>
      </c>
      <c r="R143" s="156" t="n">
        <v>-136.51</v>
      </c>
      <c r="S143" s="152" t="n">
        <v>5.901428571</v>
      </c>
      <c r="T143" s="152" t="n">
        <v>2.62047619</v>
      </c>
      <c r="U143" s="152" t="n">
        <v>3.280952381</v>
      </c>
      <c r="V143" s="152" t="n">
        <v>1.791736354</v>
      </c>
      <c r="W143" s="152" t="n">
        <v>1.489216027</v>
      </c>
      <c r="X143" s="158" t="n">
        <v>3.208626104</v>
      </c>
      <c r="Y143" s="158" t="n">
        <v>671.4088087</v>
      </c>
      <c r="Z143" s="158" t="n">
        <v>18.76033</v>
      </c>
      <c r="AA143" s="158" t="n">
        <v>3.273463636</v>
      </c>
      <c r="AB143" s="159" t="n">
        <v>0.4104604792</v>
      </c>
      <c r="AC143" s="159" t="n">
        <v>0.4688911009</v>
      </c>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83" t="inlineStr">
        <is>
          <t>2017-06</t>
        </is>
      </c>
      <c r="B144" s="155" t="n">
        <v>2957.098333</v>
      </c>
      <c r="C144" s="155" t="n">
        <v>122.3</v>
      </c>
      <c r="D144" s="155" t="n">
        <v>499.39</v>
      </c>
      <c r="E144" s="155" t="n">
        <v>5342.82</v>
      </c>
      <c r="F144" s="152" t="n">
        <v>6.25</v>
      </c>
      <c r="G144" s="152" t="n">
        <v>1.04</v>
      </c>
      <c r="H144" s="152" t="n">
        <v>5.21</v>
      </c>
      <c r="I144" s="156" t="n">
        <v>-3441.009172</v>
      </c>
      <c r="J144" s="152" t="n">
        <v>4.214938459</v>
      </c>
      <c r="K144" s="152" t="n">
        <v>112.7602727</v>
      </c>
      <c r="L144" s="152" t="n">
        <v>10.51363636</v>
      </c>
      <c r="M144" s="157" t="n">
        <v>0</v>
      </c>
      <c r="N144" s="155" t="n">
        <v>47234.35</v>
      </c>
      <c r="O144" s="152" t="n">
        <v>196.3636364</v>
      </c>
      <c r="P144" s="152" t="n">
        <v>1.963636364</v>
      </c>
      <c r="Q144" s="156" t="n">
        <v>37.62</v>
      </c>
      <c r="R144" s="156" t="n">
        <v>-300.78</v>
      </c>
      <c r="S144" s="152" t="n">
        <v>5.8495</v>
      </c>
      <c r="T144" s="152" t="n">
        <v>2.646</v>
      </c>
      <c r="U144" s="152" t="n">
        <v>3.2035</v>
      </c>
      <c r="V144" s="152" t="n">
        <v>1.687586373</v>
      </c>
      <c r="W144" s="152" t="n">
        <v>1.515913627</v>
      </c>
      <c r="X144" s="158" t="n">
        <v>3.29453179</v>
      </c>
      <c r="Y144" s="158" t="n">
        <v>664.5387682</v>
      </c>
      <c r="Z144" s="158" t="n">
        <v>18.10983455</v>
      </c>
      <c r="AA144" s="158" t="n">
        <v>3.267975</v>
      </c>
      <c r="AB144" s="159" t="n">
        <v>-0.413563418</v>
      </c>
      <c r="AC144" s="159" t="n">
        <v>-0.3414610178</v>
      </c>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83" t="inlineStr">
        <is>
          <t>2017-07</t>
        </is>
      </c>
      <c r="B145" s="155" t="n">
        <v>3036.583871</v>
      </c>
      <c r="C145" s="155" t="n">
        <v>122.99</v>
      </c>
      <c r="D145" s="155" t="n">
        <v>509.54</v>
      </c>
      <c r="E145" s="155" t="n">
        <v>5452.74</v>
      </c>
      <c r="F145" s="152" t="n">
        <v>5.766129032</v>
      </c>
      <c r="G145" s="152" t="n">
        <v>1.15</v>
      </c>
      <c r="H145" s="152" t="n">
        <v>4.616129032</v>
      </c>
      <c r="I145" s="156" t="n">
        <v>-6424.036542</v>
      </c>
      <c r="J145" s="152" t="n">
        <v>4.206137479</v>
      </c>
      <c r="K145" s="152" t="n">
        <v>111.060555</v>
      </c>
      <c r="L145" s="152" t="n">
        <v>10.2645</v>
      </c>
      <c r="M145" s="157" t="n">
        <v>0</v>
      </c>
      <c r="N145" s="155" t="n">
        <v>47531.09</v>
      </c>
      <c r="O145" s="152" t="n">
        <v>200.0952381</v>
      </c>
      <c r="P145" s="152" t="n">
        <v>2.000952381</v>
      </c>
      <c r="Q145" s="156" t="n">
        <v>-99.52</v>
      </c>
      <c r="R145" s="156" t="n">
        <v>115.27</v>
      </c>
      <c r="S145" s="152" t="n">
        <v>6.192105263</v>
      </c>
      <c r="T145" s="152" t="n">
        <v>2.933157895</v>
      </c>
      <c r="U145" s="152" t="n">
        <v>3.258947368</v>
      </c>
      <c r="V145" s="152" t="n">
        <v>1.699534994</v>
      </c>
      <c r="W145" s="152" t="n">
        <v>1.559412374</v>
      </c>
      <c r="X145" s="158" t="n">
        <v>3.205838095</v>
      </c>
      <c r="Y145" s="158" t="n">
        <v>657.6549</v>
      </c>
      <c r="Z145" s="158" t="n">
        <v>17.78123143</v>
      </c>
      <c r="AA145" s="158" t="n">
        <v>3.249373684</v>
      </c>
      <c r="AB145" s="159" t="n">
        <v>-0.7002852348</v>
      </c>
      <c r="AC145" s="159" t="n">
        <v>-0.6375614898999999</v>
      </c>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83" t="inlineStr">
        <is>
          <t>2017-08</t>
        </is>
      </c>
      <c r="B146" s="155" t="n">
        <v>2973.204839</v>
      </c>
      <c r="C146" s="155" t="n">
        <v>124.53</v>
      </c>
      <c r="D146" s="155" t="n">
        <v>503.72</v>
      </c>
      <c r="E146" s="155" t="n">
        <v>5503.25</v>
      </c>
      <c r="F146" s="152" t="n">
        <v>5.5</v>
      </c>
      <c r="G146" s="152" t="n">
        <v>1.16</v>
      </c>
      <c r="H146" s="152" t="n">
        <v>4.34</v>
      </c>
      <c r="I146" s="156" t="n">
        <v>-1423.300483</v>
      </c>
      <c r="J146" s="152" t="n">
        <v>3.644644942</v>
      </c>
      <c r="K146" s="152" t="n">
        <v>109.9058609</v>
      </c>
      <c r="L146" s="152" t="n">
        <v>11.97565217</v>
      </c>
      <c r="M146" s="157" t="n">
        <v>0</v>
      </c>
      <c r="N146" s="155" t="n">
        <v>47568.61</v>
      </c>
      <c r="O146" s="152" t="n">
        <v>200.6956522</v>
      </c>
      <c r="P146" s="152" t="n">
        <v>2.006956522</v>
      </c>
      <c r="Q146" s="156" t="n">
        <v>-123.63</v>
      </c>
      <c r="R146" s="156" t="n">
        <v>-96.92</v>
      </c>
      <c r="S146" s="152" t="n">
        <v>6.274761905</v>
      </c>
      <c r="T146" s="152" t="n">
        <v>2.897142857</v>
      </c>
      <c r="U146" s="152" t="n">
        <v>3.377619048</v>
      </c>
      <c r="V146" s="152" t="n">
        <v>1.693826095</v>
      </c>
      <c r="W146" s="152" t="n">
        <v>1.683792953</v>
      </c>
      <c r="X146" s="158" t="n">
        <v>3.150613043</v>
      </c>
      <c r="Y146" s="158" t="n">
        <v>643.4549</v>
      </c>
      <c r="Z146" s="158" t="n">
        <v>17.79015652</v>
      </c>
      <c r="AA146" s="158" t="n">
        <v>3.241559091</v>
      </c>
      <c r="AB146" s="159" t="n">
        <v>-0.5274350351</v>
      </c>
      <c r="AC146" s="159" t="n">
        <v>-0.4415420624</v>
      </c>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83" t="inlineStr">
        <is>
          <t>2017-09</t>
        </is>
      </c>
      <c r="B147" s="155" t="n">
        <v>2917.085</v>
      </c>
      <c r="C147" s="155" t="n">
        <v>129.58</v>
      </c>
      <c r="D147" s="155" t="n">
        <v>458.75</v>
      </c>
      <c r="E147" s="155" t="n">
        <v>5548.55</v>
      </c>
      <c r="F147" s="152" t="n">
        <v>5.25</v>
      </c>
      <c r="G147" s="152" t="n">
        <v>1.15</v>
      </c>
      <c r="H147" s="152" t="n">
        <v>4.1</v>
      </c>
      <c r="I147" s="156" t="n">
        <v>2208.06195</v>
      </c>
      <c r="J147" s="152" t="n">
        <v>3.417510452</v>
      </c>
      <c r="K147" s="152" t="n">
        <v>108.854245</v>
      </c>
      <c r="L147" s="152" t="n">
        <v>10.438</v>
      </c>
      <c r="M147" s="157" t="n">
        <v>0</v>
      </c>
      <c r="N147" s="155" t="n">
        <v>47514.56</v>
      </c>
      <c r="O147" s="152" t="n">
        <v>189.1904762</v>
      </c>
      <c r="P147" s="152" t="n">
        <v>1.891904762</v>
      </c>
      <c r="Q147" s="156" t="n">
        <v>-103.87</v>
      </c>
      <c r="R147" s="156" t="n">
        <v>-209.64</v>
      </c>
      <c r="S147" s="152" t="n">
        <v>6.095238095</v>
      </c>
      <c r="T147" s="152" t="n">
        <v>2.655714286</v>
      </c>
      <c r="U147" s="152" t="n">
        <v>3.43952381</v>
      </c>
      <c r="V147" s="152" t="n">
        <v>1.774534982</v>
      </c>
      <c r="W147" s="152" t="n">
        <v>1.664988827</v>
      </c>
      <c r="X147" s="158" t="n">
        <v>3.133466667</v>
      </c>
      <c r="Y147" s="158" t="n">
        <v>626.014419</v>
      </c>
      <c r="Z147" s="158" t="n">
        <v>17.79284</v>
      </c>
      <c r="AA147" s="158" t="n">
        <v>3.24652381</v>
      </c>
      <c r="AB147" s="159" t="n">
        <v>-0.4937918215</v>
      </c>
      <c r="AC147" s="159" t="n">
        <v>-0.3370986696</v>
      </c>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83" t="inlineStr">
        <is>
          <t>2017-10</t>
        </is>
      </c>
      <c r="B148" s="155" t="n">
        <v>2953.755806</v>
      </c>
      <c r="C148" s="155" t="n">
        <v>133.47</v>
      </c>
      <c r="D148" s="155" t="n">
        <v>527.61</v>
      </c>
      <c r="E148" s="155" t="n">
        <v>5653.74</v>
      </c>
      <c r="F148" s="152" t="n">
        <v>5.233870968</v>
      </c>
      <c r="G148" s="152" t="n">
        <v>1.15</v>
      </c>
      <c r="H148" s="152" t="n">
        <v>4.083870968</v>
      </c>
      <c r="I148" s="156" t="n">
        <v>-2906.501852</v>
      </c>
      <c r="J148" s="152" t="n">
        <v>3.21711332</v>
      </c>
      <c r="K148" s="152" t="n">
        <v>110.8891762</v>
      </c>
      <c r="L148" s="152" t="n">
        <v>10.12545455</v>
      </c>
      <c r="M148" s="157" t="n">
        <v>0</v>
      </c>
      <c r="N148" s="155" t="n">
        <v>47407.84</v>
      </c>
      <c r="O148" s="152" t="n">
        <v>185.3636364</v>
      </c>
      <c r="P148" s="152" t="n">
        <v>1.853636364</v>
      </c>
      <c r="Q148" s="156" t="n">
        <v>18.02</v>
      </c>
      <c r="R148" s="156" t="n">
        <v>-495.32</v>
      </c>
      <c r="S148" s="152" t="n">
        <v>6.043809524</v>
      </c>
      <c r="T148" s="152" t="n">
        <v>2.600952381</v>
      </c>
      <c r="U148" s="152" t="n">
        <v>3.442857143</v>
      </c>
      <c r="V148" s="152" t="n">
        <v>1.807942873</v>
      </c>
      <c r="W148" s="152" t="n">
        <v>1.63491427</v>
      </c>
      <c r="X148" s="158" t="n">
        <v>3.189686364</v>
      </c>
      <c r="Y148" s="158" t="n">
        <v>629.7869773</v>
      </c>
      <c r="Z148" s="158" t="n">
        <v>18.73077727</v>
      </c>
      <c r="AA148" s="158" t="n">
        <v>3.251295455</v>
      </c>
      <c r="AB148" s="159" t="n">
        <v>0.7486497355</v>
      </c>
      <c r="AC148" s="159" t="n">
        <v>0.5934911043</v>
      </c>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83" t="inlineStr">
        <is>
          <t>2017-11</t>
        </is>
      </c>
      <c r="B149" s="155" t="n">
        <v>3013.466667</v>
      </c>
      <c r="C149" s="155" t="n">
        <v>132.23</v>
      </c>
      <c r="D149" s="155" t="n">
        <v>528.26</v>
      </c>
      <c r="E149" s="155" t="n">
        <v>5703.69</v>
      </c>
      <c r="F149" s="152" t="n">
        <v>4.966666667</v>
      </c>
      <c r="G149" s="152" t="n">
        <v>1.16</v>
      </c>
      <c r="H149" s="152" t="n">
        <v>3.806666667</v>
      </c>
      <c r="I149" s="156" t="n">
        <v>-6524.460658</v>
      </c>
      <c r="J149" s="152" t="n">
        <v>3.399337069</v>
      </c>
      <c r="K149" s="152" t="n">
        <v>111.163525</v>
      </c>
      <c r="L149" s="152" t="n">
        <v>10.54047619</v>
      </c>
      <c r="M149" s="157" t="n">
        <v>0</v>
      </c>
      <c r="N149" s="155" t="n">
        <v>47395.26</v>
      </c>
      <c r="O149" s="152" t="n">
        <v>186.1363636</v>
      </c>
      <c r="P149" s="152" t="n">
        <v>1.861363636</v>
      </c>
      <c r="Q149" s="156" t="n">
        <v>-77.25</v>
      </c>
      <c r="R149" s="156" t="n">
        <v>-340.77</v>
      </c>
      <c r="S149" s="152" t="n">
        <v>6.097</v>
      </c>
      <c r="T149" s="152" t="n">
        <v>2.7095</v>
      </c>
      <c r="U149" s="152" t="n">
        <v>3.3875</v>
      </c>
      <c r="V149" s="152" t="n">
        <v>1.83486666</v>
      </c>
      <c r="W149" s="152" t="n">
        <v>1.55263334</v>
      </c>
      <c r="X149" s="158" t="n">
        <v>3.260795455</v>
      </c>
      <c r="Y149" s="158" t="n">
        <v>634.6289909</v>
      </c>
      <c r="Z149" s="158" t="n">
        <v>18.87773</v>
      </c>
      <c r="AA149" s="158" t="n">
        <v>3.240790476</v>
      </c>
      <c r="AB149" s="159" t="n">
        <v>0.2866448418</v>
      </c>
      <c r="AC149" s="159" t="n">
        <v>0.1523562085</v>
      </c>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83" t="inlineStr">
        <is>
          <t>2017-12</t>
        </is>
      </c>
      <c r="B150" s="155" t="n">
        <v>2991.761935</v>
      </c>
      <c r="C150" s="155" t="n">
        <v>139.11</v>
      </c>
      <c r="D150" s="155" t="n">
        <v>547.3200000000001</v>
      </c>
      <c r="E150" s="155" t="n">
        <v>5783.71</v>
      </c>
      <c r="F150" s="152" t="n">
        <v>4.75</v>
      </c>
      <c r="G150" s="152" t="n">
        <v>1.3</v>
      </c>
      <c r="H150" s="152" t="n">
        <v>3.45</v>
      </c>
      <c r="I150" s="156" t="n">
        <v>-5971.104678</v>
      </c>
      <c r="J150" s="152" t="n">
        <v>3.654192719</v>
      </c>
      <c r="K150" s="152" t="n">
        <v>110.87581</v>
      </c>
      <c r="L150" s="152" t="n">
        <v>10.2645</v>
      </c>
      <c r="M150" s="157" t="n">
        <v>0</v>
      </c>
      <c r="N150" s="155" t="n">
        <v>47629.04</v>
      </c>
      <c r="O150" s="152" t="n">
        <v>173.2857143</v>
      </c>
      <c r="P150" s="152" t="n">
        <v>1.732857143</v>
      </c>
      <c r="Q150" s="156" t="n">
        <v>-139.71</v>
      </c>
      <c r="R150" s="156" t="n">
        <v>-2.62</v>
      </c>
      <c r="S150" s="152" t="n">
        <v>5.911666667</v>
      </c>
      <c r="T150" s="152" t="n">
        <v>2.431666667</v>
      </c>
      <c r="U150" s="152" t="n">
        <v>3.48</v>
      </c>
      <c r="V150" s="152" t="n">
        <v>1.856864995</v>
      </c>
      <c r="W150" s="152" t="n">
        <v>1.623135005</v>
      </c>
      <c r="X150" s="158" t="n">
        <v>3.292990476</v>
      </c>
      <c r="Y150" s="158" t="n">
        <v>635.4287333</v>
      </c>
      <c r="Z150" s="158" t="n">
        <v>19.13987429</v>
      </c>
      <c r="AA150" s="158" t="n">
        <v>3.2465</v>
      </c>
      <c r="AB150" s="159" t="n">
        <v>0.1671575097</v>
      </c>
      <c r="AC150" s="159" t="n">
        <v>0.1632354768</v>
      </c>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83" t="inlineStr">
        <is>
          <t>2018-01</t>
        </is>
      </c>
      <c r="B151" s="155" t="n">
        <v>2868.572258</v>
      </c>
      <c r="C151" s="155" t="n">
        <v>140.97</v>
      </c>
      <c r="D151" s="155" t="n">
        <v>531.21</v>
      </c>
      <c r="E151" s="155" t="n">
        <v>5878.41</v>
      </c>
      <c r="F151" s="152" t="n">
        <v>4.733870968</v>
      </c>
      <c r="G151" s="152" t="n">
        <v>1.41</v>
      </c>
      <c r="H151" s="152" t="n">
        <v>3.323870968</v>
      </c>
      <c r="I151" s="156" t="n">
        <v>5175.538626</v>
      </c>
      <c r="J151" s="152" t="n">
        <v>2.85513929</v>
      </c>
      <c r="K151" s="152" t="n">
        <v>108.3567762</v>
      </c>
      <c r="L151" s="152" t="n">
        <v>11.06238095</v>
      </c>
      <c r="M151" s="157" t="n">
        <v>0</v>
      </c>
      <c r="N151" s="155" t="n">
        <v>47783.93</v>
      </c>
      <c r="O151" s="152" t="n">
        <v>159.9130435</v>
      </c>
      <c r="P151" s="152" t="n">
        <v>1.599130435</v>
      </c>
      <c r="Q151" s="156" t="n">
        <v>-227.76</v>
      </c>
      <c r="R151" s="156" t="n">
        <v>140.79</v>
      </c>
      <c r="S151" s="152" t="n">
        <v>5.851428571</v>
      </c>
      <c r="T151" s="152" t="n">
        <v>2.351428571</v>
      </c>
      <c r="U151" s="152" t="n">
        <v>3.5</v>
      </c>
      <c r="V151" s="152" t="n">
        <v>2.024304753</v>
      </c>
      <c r="W151" s="152" t="n">
        <v>1.475695247</v>
      </c>
      <c r="X151" s="158" t="n">
        <v>3.214526087</v>
      </c>
      <c r="Y151" s="158" t="n">
        <v>605.6526957</v>
      </c>
      <c r="Z151" s="158" t="n">
        <v>18.89299391</v>
      </c>
      <c r="AA151" s="158" t="n">
        <v>3.214909524</v>
      </c>
      <c r="AB151" s="159" t="n">
        <v>-1.076734371</v>
      </c>
      <c r="AC151" s="159" t="n">
        <v>-1.001759309</v>
      </c>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83" t="inlineStr">
        <is>
          <t>2018-02</t>
        </is>
      </c>
      <c r="B152" s="155" t="n">
        <v>2860.252857</v>
      </c>
      <c r="C152" s="155" t="n">
        <v>134.97</v>
      </c>
      <c r="D152" s="155" t="n">
        <v>472.96</v>
      </c>
      <c r="E152" s="155" t="n">
        <v>5958.49</v>
      </c>
      <c r="F152" s="152" t="n">
        <v>4.5</v>
      </c>
      <c r="G152" s="152" t="n">
        <v>1.42</v>
      </c>
      <c r="H152" s="152" t="n">
        <v>3.08</v>
      </c>
      <c r="I152" s="156" t="n">
        <v>-6032.619578</v>
      </c>
      <c r="J152" s="152" t="n">
        <v>2.815829311</v>
      </c>
      <c r="K152" s="152" t="n">
        <v>107.6500947</v>
      </c>
      <c r="L152" s="152" t="n">
        <v>22.46473684</v>
      </c>
      <c r="M152" s="157" t="n">
        <v>0</v>
      </c>
      <c r="N152" s="155" t="n">
        <v>47636.76</v>
      </c>
      <c r="O152" s="152" t="n">
        <v>172.9</v>
      </c>
      <c r="P152" s="152" t="n">
        <v>1.729</v>
      </c>
      <c r="Q152" s="156" t="n">
        <v>8.58</v>
      </c>
      <c r="R152" s="156" t="n">
        <v>-424.28</v>
      </c>
      <c r="S152" s="152" t="n">
        <v>6.013</v>
      </c>
      <c r="T152" s="152" t="n">
        <v>2.4685</v>
      </c>
      <c r="U152" s="152" t="n">
        <v>3.5445</v>
      </c>
      <c r="V152" s="152" t="n">
        <v>2.087878942</v>
      </c>
      <c r="W152" s="152" t="n">
        <v>1.456621058</v>
      </c>
      <c r="X152" s="158" t="n">
        <v>3.24526</v>
      </c>
      <c r="Y152" s="158" t="n">
        <v>596.221895</v>
      </c>
      <c r="Z152" s="158" t="n">
        <v>18.6114675</v>
      </c>
      <c r="AA152" s="158" t="n">
        <v>3.24881</v>
      </c>
      <c r="AB152" s="159" t="n">
        <v>-0.3920744427</v>
      </c>
      <c r="AC152" s="159" t="n">
        <v>-0.08061365941</v>
      </c>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83" t="inlineStr">
        <is>
          <t>2018-03</t>
        </is>
      </c>
      <c r="B153" s="155" t="n">
        <v>2847.930645</v>
      </c>
      <c r="C153" s="155" t="n">
        <v>135.79</v>
      </c>
      <c r="D153" s="155" t="n">
        <v>499.6</v>
      </c>
      <c r="E153" s="155" t="n">
        <v>5979.08</v>
      </c>
      <c r="F153" s="152" t="n">
        <v>4.5</v>
      </c>
      <c r="G153" s="152" t="n">
        <v>1.51</v>
      </c>
      <c r="H153" s="152" t="n">
        <v>2.99</v>
      </c>
      <c r="I153" s="156" t="n">
        <v>-4327.127948</v>
      </c>
      <c r="J153" s="152" t="n">
        <v>2.844060995</v>
      </c>
      <c r="K153" s="152" t="n">
        <v>107.947175</v>
      </c>
      <c r="L153" s="152" t="n">
        <v>19.02380952</v>
      </c>
      <c r="M153" s="157" t="n">
        <v>0</v>
      </c>
      <c r="N153" s="155" t="n">
        <v>47608.31</v>
      </c>
      <c r="O153" s="152" t="n">
        <v>178.9090909</v>
      </c>
      <c r="P153" s="152" t="n">
        <v>1.789090909</v>
      </c>
      <c r="Q153" s="156" t="n">
        <v>-119.03</v>
      </c>
      <c r="R153" s="156" t="n">
        <v>-30.65</v>
      </c>
      <c r="S153" s="152" t="n">
        <v>6.052105263</v>
      </c>
      <c r="T153" s="152" t="n">
        <v>2.705789474</v>
      </c>
      <c r="U153" s="152" t="n">
        <v>3.346315789</v>
      </c>
      <c r="V153" s="152" t="n">
        <v>2.127971445</v>
      </c>
      <c r="W153" s="152" t="n">
        <v>1.218344345</v>
      </c>
      <c r="X153" s="158" t="n">
        <v>3.280940909</v>
      </c>
      <c r="Y153" s="158" t="n">
        <v>604.1078773</v>
      </c>
      <c r="Z153" s="158" t="n">
        <v>18.59596</v>
      </c>
      <c r="AA153" s="158" t="n">
        <v>3.252255</v>
      </c>
      <c r="AB153" s="159" t="n">
        <v>0.150486674</v>
      </c>
      <c r="AC153" s="159" t="n">
        <v>0.1366452316</v>
      </c>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83" t="inlineStr">
        <is>
          <t>2018-04</t>
        </is>
      </c>
      <c r="B154" s="155" t="n">
        <v>2766.285</v>
      </c>
      <c r="C154" s="155" t="n">
        <v>137.43</v>
      </c>
      <c r="D154" s="155" t="n">
        <v>535.62</v>
      </c>
      <c r="E154" s="155" t="n">
        <v>6113.06</v>
      </c>
      <c r="F154" s="152" t="n">
        <v>4.491666667</v>
      </c>
      <c r="G154" s="152" t="n">
        <v>1.69</v>
      </c>
      <c r="H154" s="152" t="n">
        <v>2.801666667</v>
      </c>
      <c r="I154" s="156" t="n">
        <v>-1675.994131</v>
      </c>
      <c r="J154" s="152" t="n">
        <v>3.178393375</v>
      </c>
      <c r="K154" s="152" t="n">
        <v>107.9433571</v>
      </c>
      <c r="L154" s="152" t="n">
        <v>18.26761905</v>
      </c>
      <c r="M154" s="157" t="n">
        <v>0</v>
      </c>
      <c r="N154" s="155" t="n">
        <v>47504.25</v>
      </c>
      <c r="O154" s="152" t="n">
        <v>173.2857143</v>
      </c>
      <c r="P154" s="152" t="n">
        <v>1.732857143</v>
      </c>
      <c r="Q154" s="156" t="n">
        <v>-22.44</v>
      </c>
      <c r="R154" s="156" t="n">
        <v>-344.49</v>
      </c>
      <c r="S154" s="152" t="n">
        <v>5.773809524</v>
      </c>
      <c r="T154" s="152" t="n">
        <v>2.663333333</v>
      </c>
      <c r="U154" s="152" t="n">
        <v>3.11047619</v>
      </c>
      <c r="V154" s="152" t="n">
        <v>2.148747637</v>
      </c>
      <c r="W154" s="152" t="n">
        <v>0.9617285533</v>
      </c>
      <c r="X154" s="158" t="n">
        <v>3.407195238</v>
      </c>
      <c r="Y154" s="158" t="n">
        <v>600.927981</v>
      </c>
      <c r="Z154" s="158" t="n">
        <v>18.32210048</v>
      </c>
      <c r="AA154" s="158" t="n">
        <v>3.230685</v>
      </c>
      <c r="AB154" s="159" t="n">
        <v>-0.003140086552</v>
      </c>
      <c r="AC154" s="159" t="n">
        <v>-0.1337327364</v>
      </c>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83" t="inlineStr">
        <is>
          <t>2018-05</t>
        </is>
      </c>
      <c r="B155" s="155" t="n">
        <v>2861.825806</v>
      </c>
      <c r="C155" s="155" t="n">
        <v>141.01</v>
      </c>
      <c r="D155" s="155" t="n">
        <v>552.11</v>
      </c>
      <c r="E155" s="155" t="n">
        <v>6166.09</v>
      </c>
      <c r="F155" s="152" t="n">
        <v>4.25</v>
      </c>
      <c r="G155" s="152" t="n">
        <v>1.7</v>
      </c>
      <c r="H155" s="152" t="n">
        <v>2.55</v>
      </c>
      <c r="I155" s="156" t="n">
        <v>-807.8597494000001</v>
      </c>
      <c r="J155" s="152" t="n">
        <v>3.254779019</v>
      </c>
      <c r="K155" s="152" t="n">
        <v>111.0470409</v>
      </c>
      <c r="L155" s="152" t="n">
        <v>14.12454545</v>
      </c>
      <c r="M155" s="157" t="n">
        <v>0</v>
      </c>
      <c r="N155" s="155" t="n">
        <v>47603.01</v>
      </c>
      <c r="O155" s="152" t="n">
        <v>189.9130435</v>
      </c>
      <c r="P155" s="152" t="n">
        <v>1.899130435</v>
      </c>
      <c r="Q155" s="156" t="n">
        <v>-21.84</v>
      </c>
      <c r="R155" s="156" t="n">
        <v>-271.8</v>
      </c>
      <c r="S155" s="152" t="n">
        <v>5.914285714</v>
      </c>
      <c r="T155" s="152" t="n">
        <v>2.605714286</v>
      </c>
      <c r="U155" s="152" t="n">
        <v>3.308571429</v>
      </c>
      <c r="V155" s="152" t="n">
        <v>2.148713643</v>
      </c>
      <c r="W155" s="152" t="n">
        <v>1.159857786</v>
      </c>
      <c r="X155" s="158" t="n">
        <v>3.633408696</v>
      </c>
      <c r="Y155" s="158" t="n">
        <v>627.268813</v>
      </c>
      <c r="Z155" s="158" t="n">
        <v>19.47355652</v>
      </c>
      <c r="AA155" s="158" t="n">
        <v>3.274109091</v>
      </c>
      <c r="AB155" s="159" t="n">
        <v>1.746583369</v>
      </c>
      <c r="AC155" s="159" t="n">
        <v>1.580944624</v>
      </c>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83" t="inlineStr">
        <is>
          <t>2018-06</t>
        </is>
      </c>
      <c r="B156" s="155" t="n">
        <v>2889.689</v>
      </c>
      <c r="C156" s="155" t="n">
        <v>141.11</v>
      </c>
      <c r="D156" s="155" t="n">
        <v>511.2</v>
      </c>
      <c r="E156" s="155" t="n">
        <v>6177.9</v>
      </c>
      <c r="F156" s="152" t="n">
        <v>4.25</v>
      </c>
      <c r="G156" s="152" t="n">
        <v>1.82</v>
      </c>
      <c r="H156" s="152" t="n">
        <v>2.43</v>
      </c>
      <c r="I156" s="156" t="n">
        <v>-3408.072224</v>
      </c>
      <c r="J156" s="152" t="n">
        <v>3.251444614</v>
      </c>
      <c r="K156" s="152" t="n">
        <v>112.844419</v>
      </c>
      <c r="L156" s="152" t="n">
        <v>13.67809524</v>
      </c>
      <c r="M156" s="157" t="n">
        <v>0</v>
      </c>
      <c r="N156" s="155" t="n">
        <v>47491.08</v>
      </c>
      <c r="O156" s="152" t="n">
        <v>199.7142857</v>
      </c>
      <c r="P156" s="152" t="n">
        <v>1.997142857</v>
      </c>
      <c r="Q156" s="156" t="n">
        <v>2.23</v>
      </c>
      <c r="R156" s="156" t="n">
        <v>-267.36</v>
      </c>
      <c r="S156" s="152" t="n">
        <v>6.070526316</v>
      </c>
      <c r="T156" s="152" t="n">
        <v>2.706315789</v>
      </c>
      <c r="U156" s="152" t="n">
        <v>3.364210526</v>
      </c>
      <c r="V156" s="152" t="n">
        <v>2.102361917</v>
      </c>
      <c r="W156" s="152" t="n">
        <v>1.261848609</v>
      </c>
      <c r="X156" s="158" t="n">
        <v>3.772871429</v>
      </c>
      <c r="Y156" s="158" t="n">
        <v>637.5196667</v>
      </c>
      <c r="Z156" s="158" t="n">
        <v>20.2173519</v>
      </c>
      <c r="AA156" s="158" t="n">
        <v>3.271345</v>
      </c>
      <c r="AB156" s="159" t="n">
        <v>0.8905220415</v>
      </c>
      <c r="AC156" s="159" t="n">
        <v>0.6533680148</v>
      </c>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83" t="inlineStr">
        <is>
          <t>2018-07</t>
        </is>
      </c>
      <c r="B157" s="155" t="n">
        <v>2885.321935</v>
      </c>
      <c r="C157" s="155" t="n">
        <v>140.34</v>
      </c>
      <c r="D157" s="155" t="n">
        <v>553.55</v>
      </c>
      <c r="E157" s="155" t="n">
        <v>6221.91</v>
      </c>
      <c r="F157" s="152" t="n">
        <v>4.25</v>
      </c>
      <c r="G157" s="152" t="n">
        <v>1.91</v>
      </c>
      <c r="H157" s="152" t="n">
        <v>2.34</v>
      </c>
      <c r="I157" s="156" t="n">
        <v>-7972.161694</v>
      </c>
      <c r="J157" s="152" t="n">
        <v>3.408170597</v>
      </c>
      <c r="K157" s="152" t="n">
        <v>113.0595333</v>
      </c>
      <c r="L157" s="152" t="n">
        <v>13.14761905</v>
      </c>
      <c r="M157" s="157" t="n">
        <v>0</v>
      </c>
      <c r="N157" s="155" t="n">
        <v>47518.17</v>
      </c>
      <c r="O157" s="152" t="n">
        <v>180.7727273</v>
      </c>
      <c r="P157" s="152" t="n">
        <v>1.807727273</v>
      </c>
      <c r="Q157" s="156" t="n">
        <v>-130.43</v>
      </c>
      <c r="R157" s="156" t="n">
        <v>-86.73</v>
      </c>
      <c r="S157" s="152" t="n">
        <v>6.128</v>
      </c>
      <c r="T157" s="152" t="n">
        <v>2.7395</v>
      </c>
      <c r="U157" s="152" t="n">
        <v>3.3885</v>
      </c>
      <c r="V157" s="152" t="n">
        <v>2.077904769</v>
      </c>
      <c r="W157" s="152" t="n">
        <v>1.310595231</v>
      </c>
      <c r="X157" s="158" t="n">
        <v>3.82845</v>
      </c>
      <c r="Y157" s="158" t="n">
        <v>652.0980818</v>
      </c>
      <c r="Z157" s="158" t="n">
        <v>18.95360727</v>
      </c>
      <c r="AA157" s="158" t="n">
        <v>3.27722381</v>
      </c>
      <c r="AB157" s="159" t="n">
        <v>-0.4604413067</v>
      </c>
      <c r="AC157" s="159" t="n">
        <v>-0.3067550411</v>
      </c>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83" t="inlineStr">
        <is>
          <t>2018-08</t>
        </is>
      </c>
      <c r="B158" s="155" t="n">
        <v>2958.666774</v>
      </c>
      <c r="C158" s="155" t="n">
        <v>140.51</v>
      </c>
      <c r="D158" s="155" t="n">
        <v>606.67</v>
      </c>
      <c r="E158" s="155" t="n">
        <v>6324.86</v>
      </c>
      <c r="F158" s="152" t="n">
        <v>4.25</v>
      </c>
      <c r="G158" s="152" t="n">
        <v>1.91</v>
      </c>
      <c r="H158" s="152" t="n">
        <v>2.34</v>
      </c>
      <c r="I158" s="156" t="n">
        <v>-6169.206812</v>
      </c>
      <c r="J158" s="152" t="n">
        <v>3.888627123</v>
      </c>
      <c r="K158" s="152" t="n">
        <v>113.8316304</v>
      </c>
      <c r="L158" s="152" t="n">
        <v>12.54695652</v>
      </c>
      <c r="M158" s="157" t="n">
        <v>0</v>
      </c>
      <c r="N158" s="155" t="n">
        <v>47537.14</v>
      </c>
      <c r="O158" s="152" t="n">
        <v>182.3913043</v>
      </c>
      <c r="P158" s="152" t="n">
        <v>1.823913043</v>
      </c>
      <c r="Q158" s="156" t="n">
        <v>-68.47</v>
      </c>
      <c r="R158" s="156" t="n">
        <v>-408.75</v>
      </c>
      <c r="S158" s="152" t="n">
        <v>6.166190476</v>
      </c>
      <c r="T158" s="152" t="n">
        <v>2.871904762</v>
      </c>
      <c r="U158" s="152" t="n">
        <v>3.294285714</v>
      </c>
      <c r="V158" s="152" t="n">
        <v>2.030147817</v>
      </c>
      <c r="W158" s="152" t="n">
        <v>1.264137897</v>
      </c>
      <c r="X158" s="158" t="n">
        <v>3.929456522</v>
      </c>
      <c r="Y158" s="158" t="n">
        <v>658.3012043</v>
      </c>
      <c r="Z158" s="158" t="n">
        <v>18.78904913</v>
      </c>
      <c r="AA158" s="158" t="n">
        <v>3.288719048</v>
      </c>
      <c r="AB158" s="159" t="n">
        <v>0.1475915266</v>
      </c>
      <c r="AC158" s="159" t="n">
        <v>0.183583238</v>
      </c>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83" t="inlineStr">
        <is>
          <t>2018-09</t>
        </is>
      </c>
      <c r="B159" s="155" t="n">
        <v>3033.768</v>
      </c>
      <c r="C159" s="155" t="n">
        <v>148.99</v>
      </c>
      <c r="D159" s="155" t="n">
        <v>550.17</v>
      </c>
      <c r="E159" s="155" t="n">
        <v>6416.28</v>
      </c>
      <c r="F159" s="152" t="n">
        <v>4.25</v>
      </c>
      <c r="G159" s="152" t="n">
        <v>1.95</v>
      </c>
      <c r="H159" s="152" t="n">
        <v>2.3</v>
      </c>
      <c r="I159" s="156" t="n">
        <v>1322.525015</v>
      </c>
      <c r="J159" s="152" t="n">
        <v>3.978275332</v>
      </c>
      <c r="K159" s="152" t="n">
        <v>114.0786632</v>
      </c>
      <c r="L159" s="152" t="n">
        <v>12.91052632</v>
      </c>
      <c r="M159" s="157" t="n">
        <v>0</v>
      </c>
      <c r="N159" s="155" t="n">
        <v>47511.72</v>
      </c>
      <c r="O159" s="152" t="n">
        <v>177.05</v>
      </c>
      <c r="P159" s="152" t="n">
        <v>1.7705</v>
      </c>
      <c r="Q159" s="156" t="n">
        <v>-145.51</v>
      </c>
      <c r="R159" s="156" t="n">
        <v>-200.76</v>
      </c>
      <c r="S159" s="152" t="n">
        <v>6.2495</v>
      </c>
      <c r="T159" s="152" t="n">
        <v>2.7655</v>
      </c>
      <c r="U159" s="152" t="n">
        <v>3.484</v>
      </c>
      <c r="V159" s="152" t="n">
        <v>2.054473676</v>
      </c>
      <c r="W159" s="152" t="n">
        <v>1.429526324</v>
      </c>
      <c r="X159" s="158" t="n">
        <v>4.11772</v>
      </c>
      <c r="Y159" s="158" t="n">
        <v>680.17666</v>
      </c>
      <c r="Z159" s="158" t="n">
        <v>18.958956</v>
      </c>
      <c r="AA159" s="158" t="n">
        <v>3.31181</v>
      </c>
      <c r="AB159" s="159" t="n">
        <v>0.8383412220999999</v>
      </c>
      <c r="AC159" s="159" t="n">
        <v>0.7719460828</v>
      </c>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83" t="inlineStr">
        <is>
          <t>2018-10</t>
        </is>
      </c>
      <c r="B160" s="155" t="n">
        <v>3084.830968</v>
      </c>
      <c r="C160" s="155" t="n">
        <v>149.13</v>
      </c>
      <c r="D160" s="155" t="n">
        <v>616.87</v>
      </c>
      <c r="E160" s="155" t="n">
        <v>6505.54</v>
      </c>
      <c r="F160" s="152" t="n">
        <v>4.25</v>
      </c>
      <c r="G160" s="152" t="n">
        <v>2.19</v>
      </c>
      <c r="H160" s="152" t="n">
        <v>2.06</v>
      </c>
      <c r="I160" s="156" t="n">
        <v>-3357.740578</v>
      </c>
      <c r="J160" s="152" t="n">
        <v>4.023956931</v>
      </c>
      <c r="K160" s="152" t="n">
        <v>114.8312591</v>
      </c>
      <c r="L160" s="152" t="n">
        <v>19.35217391</v>
      </c>
      <c r="M160" s="157" t="n">
        <v>0</v>
      </c>
      <c r="N160" s="155" t="n">
        <v>47496.11</v>
      </c>
      <c r="O160" s="152" t="n">
        <v>179.0869565</v>
      </c>
      <c r="P160" s="152" t="n">
        <v>1.790869565</v>
      </c>
      <c r="Q160" s="156" t="n">
        <v>40.37</v>
      </c>
      <c r="R160" s="156" t="n">
        <v>-797.8099999999999</v>
      </c>
      <c r="S160" s="152" t="n">
        <v>6.349090909</v>
      </c>
      <c r="T160" s="152" t="n">
        <v>2.794090909</v>
      </c>
      <c r="U160" s="152" t="n">
        <v>3.555</v>
      </c>
      <c r="V160" s="152" t="n">
        <v>2.025527261</v>
      </c>
      <c r="W160" s="152" t="n">
        <v>1.529472739</v>
      </c>
      <c r="X160" s="158" t="n">
        <v>3.757565217</v>
      </c>
      <c r="Y160" s="158" t="n">
        <v>678.8616348</v>
      </c>
      <c r="Z160" s="158" t="n">
        <v>19.11436261</v>
      </c>
      <c r="AA160" s="158" t="n">
        <v>3.334768182</v>
      </c>
      <c r="AB160" s="159" t="n">
        <v>-0.861603597</v>
      </c>
      <c r="AC160" s="159" t="n">
        <v>-0.5047910893000001</v>
      </c>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83" t="inlineStr">
        <is>
          <t>2018-11</t>
        </is>
      </c>
      <c r="B161" s="155" t="n">
        <v>3194.034333</v>
      </c>
      <c r="C161" s="155" t="n">
        <v>138.73</v>
      </c>
      <c r="D161" s="155" t="n">
        <v>588.4</v>
      </c>
      <c r="E161" s="155" t="n">
        <v>6565.68</v>
      </c>
      <c r="F161" s="152" t="n">
        <v>4.25</v>
      </c>
      <c r="G161" s="152" t="n">
        <v>2.2</v>
      </c>
      <c r="H161" s="152" t="n">
        <v>2.05</v>
      </c>
      <c r="I161" s="156" t="n">
        <v>-3715.161114</v>
      </c>
      <c r="J161" s="152" t="n">
        <v>3.73955471</v>
      </c>
      <c r="K161" s="152" t="n">
        <v>116.169045</v>
      </c>
      <c r="L161" s="152" t="n">
        <v>19.38904762</v>
      </c>
      <c r="M161" s="157" t="n">
        <v>0</v>
      </c>
      <c r="N161" s="155" t="n">
        <v>47753.5</v>
      </c>
      <c r="O161" s="152" t="n">
        <v>201.7727273</v>
      </c>
      <c r="P161" s="152" t="n">
        <v>2.017727273</v>
      </c>
      <c r="Q161" s="156" t="n">
        <v>-77.66</v>
      </c>
      <c r="R161" s="156" t="n">
        <v>-286.86</v>
      </c>
      <c r="S161" s="152" t="n">
        <v>6.447</v>
      </c>
      <c r="T161" s="152" t="n">
        <v>2.596</v>
      </c>
      <c r="U161" s="152" t="n">
        <v>3.851</v>
      </c>
      <c r="V161" s="152" t="n">
        <v>1.897289997</v>
      </c>
      <c r="W161" s="152" t="n">
        <v>1.953710003</v>
      </c>
      <c r="X161" s="158" t="n">
        <v>3.782536364</v>
      </c>
      <c r="Y161" s="158" t="n">
        <v>677.2892000000001</v>
      </c>
      <c r="Z161" s="158" t="n">
        <v>20.18623955</v>
      </c>
      <c r="AA161" s="158" t="n">
        <v>3.37565</v>
      </c>
      <c r="AB161" s="159" t="n">
        <v>0.5814211768999999</v>
      </c>
      <c r="AC161" s="159" t="n">
        <v>0.6836033595</v>
      </c>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83" t="inlineStr">
        <is>
          <t>2018-12</t>
        </is>
      </c>
      <c r="B162" s="155" t="n">
        <v>3218.550968</v>
      </c>
      <c r="C162" s="155" t="n">
        <v>130.2</v>
      </c>
      <c r="D162" s="155" t="n">
        <v>617.83</v>
      </c>
      <c r="E162" s="155" t="n">
        <v>6636.19</v>
      </c>
      <c r="F162" s="152" t="n">
        <v>4.25</v>
      </c>
      <c r="G162" s="152" t="n">
        <v>2.27</v>
      </c>
      <c r="H162" s="152" t="n">
        <v>1.98</v>
      </c>
      <c r="I162" s="156" t="n">
        <v>652.0410394</v>
      </c>
      <c r="J162" s="152" t="n">
        <v>3.069053995</v>
      </c>
      <c r="K162" s="152" t="n">
        <v>116.2118053</v>
      </c>
      <c r="L162" s="152" t="n">
        <v>24.95315789</v>
      </c>
      <c r="M162" s="157" t="n">
        <v>0</v>
      </c>
      <c r="N162" s="155" t="n">
        <v>48392.92</v>
      </c>
      <c r="O162" s="152" t="n">
        <v>211.8095238</v>
      </c>
      <c r="P162" s="152" t="n">
        <v>2.118095238</v>
      </c>
      <c r="Q162" s="156" t="n">
        <v>-98.06</v>
      </c>
      <c r="R162" s="156" t="n">
        <v>51.28</v>
      </c>
      <c r="S162" s="152" t="n">
        <v>6.217368421</v>
      </c>
      <c r="T162" s="152" t="n">
        <v>2.500555556</v>
      </c>
      <c r="U162" s="152" t="n">
        <v>3.716812865</v>
      </c>
      <c r="V162" s="152" t="n">
        <v>1.672952633</v>
      </c>
      <c r="W162" s="152" t="n">
        <v>2.043860232</v>
      </c>
      <c r="X162" s="158" t="n">
        <v>3.884728571</v>
      </c>
      <c r="Y162" s="158" t="n">
        <v>684.3270619</v>
      </c>
      <c r="Z162" s="158" t="n">
        <v>20.02230762</v>
      </c>
      <c r="AA162" s="158" t="n">
        <v>3.364384211</v>
      </c>
      <c r="AB162" s="159" t="n">
        <v>0.1708379032</v>
      </c>
      <c r="AC162" s="159" t="n">
        <v>0.06335480249</v>
      </c>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83" t="inlineStr">
        <is>
          <t>2019-01</t>
        </is>
      </c>
      <c r="B163" s="155" t="n">
        <v>3165.188065</v>
      </c>
      <c r="C163" s="155" t="n">
        <v>131.86</v>
      </c>
      <c r="D163" s="155" t="n">
        <v>572.48</v>
      </c>
      <c r="E163" s="155" t="n">
        <v>6677.46</v>
      </c>
      <c r="F163" s="152" t="n">
        <v>4.25</v>
      </c>
      <c r="G163" s="152" t="n">
        <v>2.4</v>
      </c>
      <c r="H163" s="152" t="n">
        <v>1.85</v>
      </c>
      <c r="I163" s="156" t="n">
        <v>4041.232271</v>
      </c>
      <c r="J163" s="152" t="n">
        <v>2.966804535</v>
      </c>
      <c r="K163" s="152" t="n">
        <v>114.44249</v>
      </c>
      <c r="L163" s="152" t="n">
        <v>19.57238095</v>
      </c>
      <c r="M163" s="157" t="n">
        <v>0</v>
      </c>
      <c r="N163" s="155" t="n">
        <v>49208.63</v>
      </c>
      <c r="O163" s="152" t="n">
        <v>201.4347826</v>
      </c>
      <c r="P163" s="152" t="n">
        <v>2.014347826</v>
      </c>
      <c r="Q163" s="156" t="n">
        <v>-207.42</v>
      </c>
      <c r="R163" s="156" t="n">
        <v>526.6900000000001</v>
      </c>
      <c r="S163" s="152" t="n">
        <v>6.150952381</v>
      </c>
      <c r="T163" s="152" t="n">
        <v>2.52047619</v>
      </c>
      <c r="U163" s="152" t="n">
        <v>3.63047619</v>
      </c>
      <c r="V163" s="152" t="n">
        <v>1.693757148</v>
      </c>
      <c r="W163" s="152" t="n">
        <v>1.936719042</v>
      </c>
      <c r="X163" s="158" t="n">
        <v>3.747152174</v>
      </c>
      <c r="Y163" s="158" t="n">
        <v>675.2184</v>
      </c>
      <c r="Z163" s="158" t="n">
        <v>19.14483565</v>
      </c>
      <c r="AA163" s="158" t="n">
        <v>3.343813636</v>
      </c>
      <c r="AB163" s="159" t="n">
        <v>-1.134521118</v>
      </c>
      <c r="AC163" s="159" t="n">
        <v>-0.9717809385</v>
      </c>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83" t="inlineStr">
        <is>
          <t>2019-02</t>
        </is>
      </c>
      <c r="B164" s="155" t="n">
        <v>3115.838571</v>
      </c>
      <c r="C164" s="155" t="n">
        <v>141.28</v>
      </c>
      <c r="D164" s="155" t="n">
        <v>512.25</v>
      </c>
      <c r="E164" s="155" t="n">
        <v>6716.75</v>
      </c>
      <c r="F164" s="152" t="n">
        <v>4.25</v>
      </c>
      <c r="G164" s="152" t="n">
        <v>2.4</v>
      </c>
      <c r="H164" s="152" t="n">
        <v>1.85</v>
      </c>
      <c r="I164" s="156" t="n">
        <v>-7565.784087</v>
      </c>
      <c r="J164" s="152" t="n">
        <v>3.111433419</v>
      </c>
      <c r="K164" s="152" t="n">
        <v>114.4130056</v>
      </c>
      <c r="L164" s="152" t="n">
        <v>15.23473684</v>
      </c>
      <c r="M164" s="157" t="n">
        <v>0</v>
      </c>
      <c r="N164" s="155" t="n">
        <v>50498.27</v>
      </c>
      <c r="O164" s="152" t="n">
        <v>191</v>
      </c>
      <c r="P164" s="152" t="n">
        <v>1.91</v>
      </c>
      <c r="Q164" s="156" t="n">
        <v>-23.29</v>
      </c>
      <c r="R164" s="156" t="n">
        <v>769.5700000000001</v>
      </c>
      <c r="S164" s="152" t="n">
        <v>6.009</v>
      </c>
      <c r="T164" s="152" t="n">
        <v>2.5625</v>
      </c>
      <c r="U164" s="152" t="n">
        <v>3.4465</v>
      </c>
      <c r="V164" s="152" t="n">
        <v>1.831599988</v>
      </c>
      <c r="W164" s="152" t="n">
        <v>1.614900012</v>
      </c>
      <c r="X164" s="158" t="n">
        <v>3.723325</v>
      </c>
      <c r="Y164" s="158" t="n">
        <v>656.063625</v>
      </c>
      <c r="Z164" s="158" t="n">
        <v>19.15143</v>
      </c>
      <c r="AA164" s="158" t="n">
        <v>3.3216</v>
      </c>
      <c r="AB164" s="159" t="n">
        <v>-0.516083351</v>
      </c>
      <c r="AC164" s="159" t="n">
        <v>-0.5186605353</v>
      </c>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83" t="inlineStr">
        <is>
          <t>2019-03</t>
        </is>
      </c>
      <c r="B165" s="155" t="n">
        <v>3128.684194</v>
      </c>
      <c r="C165" s="155" t="n">
        <v>140.82</v>
      </c>
      <c r="D165" s="155" t="n">
        <v>559.97</v>
      </c>
      <c r="E165" s="155" t="n">
        <v>6777.12</v>
      </c>
      <c r="F165" s="152" t="n">
        <v>4.25</v>
      </c>
      <c r="G165" s="152" t="n">
        <v>2.41</v>
      </c>
      <c r="H165" s="152" t="n">
        <v>1.84</v>
      </c>
      <c r="I165" s="156" t="n">
        <v>-2767.366095</v>
      </c>
      <c r="J165" s="152" t="n">
        <v>2.964295513</v>
      </c>
      <c r="K165" s="152" t="n">
        <v>114.783519</v>
      </c>
      <c r="L165" s="152" t="n">
        <v>14.4852381</v>
      </c>
      <c r="M165" s="157" t="n">
        <v>0</v>
      </c>
      <c r="N165" s="155" t="n">
        <v>51260.99</v>
      </c>
      <c r="O165" s="152" t="n">
        <v>188.1428571</v>
      </c>
      <c r="P165" s="152" t="n">
        <v>1.881428571</v>
      </c>
      <c r="Q165" s="156" t="n">
        <v>12.51</v>
      </c>
      <c r="R165" s="156" t="n">
        <v>227.34</v>
      </c>
      <c r="S165" s="152" t="n">
        <v>5.843</v>
      </c>
      <c r="T165" s="152" t="n">
        <v>2.6105</v>
      </c>
      <c r="U165" s="152" t="n">
        <v>3.2325</v>
      </c>
      <c r="V165" s="152" t="n">
        <v>1.884904776</v>
      </c>
      <c r="W165" s="152" t="n">
        <v>1.347595224</v>
      </c>
      <c r="X165" s="158" t="n">
        <v>3.840157143</v>
      </c>
      <c r="Y165" s="158" t="n">
        <v>669.593719</v>
      </c>
      <c r="Z165" s="158" t="n">
        <v>19.19449286</v>
      </c>
      <c r="AA165" s="158" t="n">
        <v>3.304319048</v>
      </c>
      <c r="AB165" s="159" t="n">
        <v>0.4596357577</v>
      </c>
      <c r="AC165" s="159" t="n">
        <v>0.2422765954</v>
      </c>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83" t="inlineStr">
        <is>
          <t>2019-04</t>
        </is>
      </c>
      <c r="B166" s="155" t="n">
        <v>3155.765</v>
      </c>
      <c r="C166" s="155" t="n">
        <v>143.6</v>
      </c>
      <c r="D166" s="155" t="n">
        <v>596.53</v>
      </c>
      <c r="E166" s="155" t="n">
        <v>6838.03</v>
      </c>
      <c r="F166" s="152" t="n">
        <v>4.25</v>
      </c>
      <c r="G166" s="152" t="n">
        <v>2.42</v>
      </c>
      <c r="H166" s="152" t="n">
        <v>1.83</v>
      </c>
      <c r="I166" s="156" t="n">
        <v>1075.425241</v>
      </c>
      <c r="J166" s="152" t="n">
        <v>2.704744298</v>
      </c>
      <c r="K166" s="152" t="n">
        <v>114.9037545</v>
      </c>
      <c r="L166" s="152" t="n">
        <v>12.94904762</v>
      </c>
      <c r="M166" s="157" t="n">
        <v>0</v>
      </c>
      <c r="N166" s="155" t="n">
        <v>51521.67</v>
      </c>
      <c r="O166" s="152" t="n">
        <v>176.9545455</v>
      </c>
      <c r="P166" s="152" t="n">
        <v>1.769545455</v>
      </c>
      <c r="Q166" s="156" t="n">
        <v>28.41</v>
      </c>
      <c r="R166" s="156" t="n">
        <v>-394.67</v>
      </c>
      <c r="S166" s="152" t="n">
        <v>5.8015</v>
      </c>
      <c r="T166" s="152" t="n">
        <v>2.547</v>
      </c>
      <c r="U166" s="152" t="n">
        <v>3.2545</v>
      </c>
      <c r="V166" s="152" t="n">
        <v>1.890471424</v>
      </c>
      <c r="W166" s="152" t="n">
        <v>1.364028576</v>
      </c>
      <c r="X166" s="158" t="n">
        <v>3.897713636</v>
      </c>
      <c r="Y166" s="158" t="n">
        <v>667.3414545000001</v>
      </c>
      <c r="Z166" s="158" t="n">
        <v>18.93698318</v>
      </c>
      <c r="AA166" s="158" t="n">
        <v>3.303405</v>
      </c>
      <c r="AB166" s="159" t="n">
        <v>-0.1714512532</v>
      </c>
      <c r="AC166" s="159" t="n">
        <v>-0.1316892158</v>
      </c>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83" t="inlineStr">
        <is>
          <t>2019-05</t>
        </is>
      </c>
      <c r="B167" s="155" t="n">
        <v>3304.494516</v>
      </c>
      <c r="C167" s="155" t="n">
        <v>140.88</v>
      </c>
      <c r="D167" s="155" t="n">
        <v>652.23</v>
      </c>
      <c r="E167" s="155" t="n">
        <v>6938.15</v>
      </c>
      <c r="F167" s="152" t="n">
        <v>4.25</v>
      </c>
      <c r="G167" s="152" t="n">
        <v>2.39</v>
      </c>
      <c r="H167" s="152" t="n">
        <v>1.86</v>
      </c>
      <c r="I167" s="156" t="n">
        <v>-87.8617433</v>
      </c>
      <c r="J167" s="152" t="n">
        <v>2.636824315</v>
      </c>
      <c r="K167" s="152" t="n">
        <v>115.9573818</v>
      </c>
      <c r="L167" s="152" t="n">
        <v>16.72181818</v>
      </c>
      <c r="M167" s="157" t="n">
        <v>0</v>
      </c>
      <c r="N167" s="155" t="n">
        <v>51975.23</v>
      </c>
      <c r="O167" s="152" t="n">
        <v>190.6086957</v>
      </c>
      <c r="P167" s="152" t="n">
        <v>1.906086957</v>
      </c>
      <c r="Q167" s="156" t="n">
        <v>-46.58</v>
      </c>
      <c r="R167" s="156" t="n">
        <v>-357.7</v>
      </c>
      <c r="S167" s="152" t="n">
        <v>5.886363636</v>
      </c>
      <c r="T167" s="152" t="n">
        <v>2.53</v>
      </c>
      <c r="U167" s="152" t="n">
        <v>3.356363636</v>
      </c>
      <c r="V167" s="152" t="n">
        <v>1.734959088</v>
      </c>
      <c r="W167" s="152" t="n">
        <v>1.621404549</v>
      </c>
      <c r="X167" s="158" t="n">
        <v>3.998773913</v>
      </c>
      <c r="Y167" s="158" t="n">
        <v>693.1424913</v>
      </c>
      <c r="Z167" s="158" t="n">
        <v>19.08361217</v>
      </c>
      <c r="AA167" s="158" t="n">
        <v>3.333504545</v>
      </c>
      <c r="AB167" s="159" t="n">
        <v>0.6956051346</v>
      </c>
      <c r="AC167" s="159" t="n">
        <v>0.7066024398</v>
      </c>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83" t="inlineStr">
        <is>
          <t>2019-06</t>
        </is>
      </c>
      <c r="B168" s="155" t="n">
        <v>3260.517</v>
      </c>
      <c r="C168" s="155" t="n">
        <v>136.62</v>
      </c>
      <c r="D168" s="155" t="n">
        <v>525.75</v>
      </c>
      <c r="E168" s="155" t="n">
        <v>6952.7</v>
      </c>
      <c r="F168" s="152" t="n">
        <v>4.25</v>
      </c>
      <c r="G168" s="152" t="n">
        <v>2.38</v>
      </c>
      <c r="H168" s="152" t="n">
        <v>1.87</v>
      </c>
      <c r="I168" s="156" t="n">
        <v>330.9743755</v>
      </c>
      <c r="J168" s="152" t="n">
        <v>2.284106697</v>
      </c>
      <c r="K168" s="152" t="n">
        <v>115.42707</v>
      </c>
      <c r="L168" s="152" t="n">
        <v>15.836</v>
      </c>
      <c r="M168" s="157" t="n">
        <v>0</v>
      </c>
      <c r="N168" s="155" t="n">
        <v>52444.49</v>
      </c>
      <c r="O168" s="152" t="n">
        <v>189.6</v>
      </c>
      <c r="P168" s="152" t="n">
        <v>1.896</v>
      </c>
      <c r="Q168" s="156" t="n">
        <v>-139.77</v>
      </c>
      <c r="R168" s="156" t="n">
        <v>-17.21</v>
      </c>
      <c r="S168" s="152" t="n">
        <v>5.455555556</v>
      </c>
      <c r="T168" s="152" t="n">
        <v>2.282777778</v>
      </c>
      <c r="U168" s="152" t="n">
        <v>3.172777778</v>
      </c>
      <c r="V168" s="152" t="n">
        <v>1.586185002</v>
      </c>
      <c r="W168" s="152" t="n">
        <v>1.586592775</v>
      </c>
      <c r="X168" s="158" t="n">
        <v>3.8592</v>
      </c>
      <c r="Y168" s="158" t="n">
        <v>691.00066</v>
      </c>
      <c r="Z168" s="158" t="n">
        <v>19.212393</v>
      </c>
      <c r="AA168" s="158" t="n">
        <v>3.325475</v>
      </c>
      <c r="AB168" s="159" t="n">
        <v>-0.3841252541</v>
      </c>
      <c r="AC168" s="159" t="n">
        <v>-0.3341360629</v>
      </c>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83" t="inlineStr">
        <is>
          <t>2019-07</t>
        </is>
      </c>
      <c r="B169" s="155" t="n">
        <v>3206.600323</v>
      </c>
      <c r="C169" s="155" t="n">
        <v>137.66</v>
      </c>
      <c r="D169" s="155" t="n">
        <v>606.88</v>
      </c>
      <c r="E169" s="155" t="n">
        <v>7006.03</v>
      </c>
      <c r="F169" s="152" t="n">
        <v>4.25</v>
      </c>
      <c r="G169" s="152" t="n">
        <v>2.4</v>
      </c>
      <c r="H169" s="152" t="n">
        <v>1.85</v>
      </c>
      <c r="I169" s="156" t="n">
        <v>-5340.236714</v>
      </c>
      <c r="J169" s="152" t="n">
        <v>2.035827815</v>
      </c>
      <c r="K169" s="152" t="n">
        <v>115.0775909</v>
      </c>
      <c r="L169" s="152" t="n">
        <v>13.30590909</v>
      </c>
      <c r="M169" s="157" t="n">
        <v>0</v>
      </c>
      <c r="N169" s="155" t="n">
        <v>52365.75</v>
      </c>
      <c r="O169" s="152" t="n">
        <v>172.4782609</v>
      </c>
      <c r="P169" s="152" t="n">
        <v>1.724782609</v>
      </c>
      <c r="Q169" s="156" t="n">
        <v>-121.82</v>
      </c>
      <c r="R169" s="156" t="n">
        <v>-643.91</v>
      </c>
      <c r="S169" s="152" t="n">
        <v>5.223181818</v>
      </c>
      <c r="T169" s="152" t="n">
        <v>1.958181818</v>
      </c>
      <c r="U169" s="152" t="n">
        <v>3.265</v>
      </c>
      <c r="V169" s="152" t="n">
        <v>1.606336361</v>
      </c>
      <c r="W169" s="152" t="n">
        <v>1.658663639</v>
      </c>
      <c r="X169" s="158" t="n">
        <v>3.779026087</v>
      </c>
      <c r="Y169" s="158" t="n">
        <v>686.8788217</v>
      </c>
      <c r="Z169" s="158" t="n">
        <v>19.01640609</v>
      </c>
      <c r="AA169" s="158" t="n">
        <v>3.290404762</v>
      </c>
      <c r="AB169" s="159" t="n">
        <v>-0.491274184</v>
      </c>
      <c r="AC169" s="159" t="n">
        <v>-0.5792305585999999</v>
      </c>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83" t="inlineStr">
        <is>
          <t>2019-08</t>
        </is>
      </c>
      <c r="B170" s="155" t="n">
        <v>3410.729032</v>
      </c>
      <c r="C170" s="155" t="n">
        <v>134.09</v>
      </c>
      <c r="D170" s="155" t="n">
        <v>680.3</v>
      </c>
      <c r="E170" s="155" t="n">
        <v>7079.66</v>
      </c>
      <c r="F170" s="152" t="n">
        <v>4.25</v>
      </c>
      <c r="G170" s="152" t="n">
        <v>2.13</v>
      </c>
      <c r="H170" s="152" t="n">
        <v>2.12</v>
      </c>
      <c r="I170" s="156" t="n">
        <v>-5887.050241</v>
      </c>
      <c r="J170" s="152" t="n">
        <v>2.009210978</v>
      </c>
      <c r="K170" s="152" t="n">
        <v>117.1003864</v>
      </c>
      <c r="L170" s="152" t="n">
        <v>18.97909091</v>
      </c>
      <c r="M170" s="157" t="n">
        <v>0</v>
      </c>
      <c r="N170" s="155" t="n">
        <v>52993.64</v>
      </c>
      <c r="O170" s="152" t="n">
        <v>187.3636364</v>
      </c>
      <c r="P170" s="152" t="n">
        <v>1.873636364</v>
      </c>
      <c r="Q170" s="156" t="n">
        <v>-16.43</v>
      </c>
      <c r="R170" s="156" t="n">
        <v>-519.7</v>
      </c>
      <c r="S170" s="152" t="n">
        <v>5.297</v>
      </c>
      <c r="T170" s="152" t="n">
        <v>1.898421053</v>
      </c>
      <c r="U170" s="152" t="n">
        <v>3.398578947</v>
      </c>
      <c r="V170" s="152" t="n">
        <v>1.418700001</v>
      </c>
      <c r="W170" s="152" t="n">
        <v>1.979878946</v>
      </c>
      <c r="X170" s="158" t="n">
        <v>4.019681818</v>
      </c>
      <c r="Y170" s="158" t="n">
        <v>714.5055545</v>
      </c>
      <c r="Z170" s="158" t="n">
        <v>19.65245909</v>
      </c>
      <c r="AA170" s="158" t="n">
        <v>3.37871</v>
      </c>
      <c r="AB170" s="159" t="n">
        <v>1.344400564</v>
      </c>
      <c r="AC170" s="159" t="n">
        <v>1.5434295</v>
      </c>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83" t="inlineStr">
        <is>
          <t>2019-09</t>
        </is>
      </c>
      <c r="B171" s="155" t="n">
        <v>3399.457</v>
      </c>
      <c r="C171" s="155" t="n">
        <v>136.63</v>
      </c>
      <c r="D171" s="155" t="n">
        <v>582.33</v>
      </c>
      <c r="E171" s="155" t="n">
        <v>7111.82</v>
      </c>
      <c r="F171" s="152" t="n">
        <v>4.25</v>
      </c>
      <c r="G171" s="152" t="n">
        <v>2.04</v>
      </c>
      <c r="H171" s="152" t="n">
        <v>2.21</v>
      </c>
      <c r="I171" s="156" t="n">
        <v>3935.148563</v>
      </c>
      <c r="J171" s="152" t="n">
        <v>1.762752869</v>
      </c>
      <c r="K171" s="152" t="n">
        <v>117.32392</v>
      </c>
      <c r="L171" s="152" t="n">
        <v>15.559</v>
      </c>
      <c r="M171" s="157" t="n">
        <v>0</v>
      </c>
      <c r="N171" s="155" t="n">
        <v>52868.75</v>
      </c>
      <c r="O171" s="152" t="n">
        <v>175.9047619</v>
      </c>
      <c r="P171" s="152" t="n">
        <v>1.759047619</v>
      </c>
      <c r="Q171" s="156" t="n">
        <v>-111.27</v>
      </c>
      <c r="R171" s="156" t="n">
        <v>-1040.81</v>
      </c>
      <c r="S171" s="152" t="n">
        <v>5.273809524</v>
      </c>
      <c r="T171" s="152" t="n">
        <v>1.9375</v>
      </c>
      <c r="U171" s="152" t="n">
        <v>3.336309524</v>
      </c>
      <c r="V171" s="152" t="n">
        <v>1.417964995</v>
      </c>
      <c r="W171" s="152" t="n">
        <v>1.918344529</v>
      </c>
      <c r="X171" s="158" t="n">
        <v>4.1212</v>
      </c>
      <c r="Y171" s="158" t="n">
        <v>718.7510857</v>
      </c>
      <c r="Z171" s="158" t="n">
        <v>19.54335</v>
      </c>
      <c r="AA171" s="158" t="n">
        <v>3.357190476</v>
      </c>
      <c r="AB171" s="159" t="n">
        <v>0.1311044368</v>
      </c>
      <c r="AC171" s="159" t="n">
        <v>-0.02772157543</v>
      </c>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83" t="inlineStr">
        <is>
          <t>2019-10</t>
        </is>
      </c>
      <c r="B172" s="155" t="n">
        <v>3433.311613</v>
      </c>
      <c r="C172" s="155" t="n">
        <v>135.92</v>
      </c>
      <c r="D172" s="155" t="n">
        <v>597.33</v>
      </c>
      <c r="E172" s="155" t="n">
        <v>7092.28</v>
      </c>
      <c r="F172" s="152" t="n">
        <v>4.25</v>
      </c>
      <c r="G172" s="152" t="n">
        <v>1.83</v>
      </c>
      <c r="H172" s="152" t="n">
        <v>2.42</v>
      </c>
      <c r="I172" s="156" t="n">
        <v>-6344.163231</v>
      </c>
      <c r="J172" s="152" t="n">
        <v>2.044472782</v>
      </c>
      <c r="K172" s="152" t="n">
        <v>116.7462591</v>
      </c>
      <c r="L172" s="152" t="n">
        <v>15.46652174</v>
      </c>
      <c r="M172" s="157" t="n">
        <v>0</v>
      </c>
      <c r="N172" s="155" t="n">
        <v>53083.7</v>
      </c>
      <c r="O172" s="152" t="n">
        <v>178.6086957</v>
      </c>
      <c r="P172" s="152" t="n">
        <v>1.786086957</v>
      </c>
      <c r="Q172" s="156" t="n">
        <v>-172.49</v>
      </c>
      <c r="R172" s="156" t="n">
        <v>-471.59</v>
      </c>
      <c r="S172" s="152" t="n">
        <v>5.313181818</v>
      </c>
      <c r="T172" s="152" t="n">
        <v>1.766842105</v>
      </c>
      <c r="U172" s="152" t="n">
        <v>3.546339713</v>
      </c>
      <c r="V172" s="152" t="n">
        <v>1.367468167</v>
      </c>
      <c r="W172" s="152" t="n">
        <v>2.178871545</v>
      </c>
      <c r="X172" s="158" t="n">
        <v>4.086682609</v>
      </c>
      <c r="Y172" s="158" t="n">
        <v>722.4324826</v>
      </c>
      <c r="Z172" s="158" t="n">
        <v>19.29837217</v>
      </c>
      <c r="AA172" s="158" t="n">
        <v>3.36007619</v>
      </c>
      <c r="AB172" s="159" t="n">
        <v>-0.2666762011</v>
      </c>
      <c r="AC172" s="159" t="n">
        <v>-0.1802623005</v>
      </c>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83" t="inlineStr">
        <is>
          <t>2019-11</t>
        </is>
      </c>
      <c r="B173" s="155" t="n">
        <v>3401.473</v>
      </c>
      <c r="C173" s="155" t="n">
        <v>137.2</v>
      </c>
      <c r="D173" s="155" t="n">
        <v>542.9400000000001</v>
      </c>
      <c r="E173" s="155" t="n">
        <v>7046.82</v>
      </c>
      <c r="F173" s="152" t="n">
        <v>4.25</v>
      </c>
      <c r="G173" s="152" t="n">
        <v>1.55</v>
      </c>
      <c r="H173" s="152" t="n">
        <v>2.7</v>
      </c>
      <c r="I173" s="156" t="n">
        <v>-4504.724544</v>
      </c>
      <c r="J173" s="152" t="n">
        <v>2.11895512</v>
      </c>
      <c r="K173" s="152" t="n">
        <v>116.5594684</v>
      </c>
      <c r="L173" s="152" t="n">
        <v>12.5235</v>
      </c>
      <c r="M173" s="157" t="n">
        <v>0</v>
      </c>
      <c r="N173" s="155" t="n">
        <v>52951.8</v>
      </c>
      <c r="O173" s="152" t="n">
        <v>181.8571429</v>
      </c>
      <c r="P173" s="152" t="n">
        <v>1.818571429</v>
      </c>
      <c r="Q173" s="156" t="n">
        <v>-57.21</v>
      </c>
      <c r="R173" s="156" t="n">
        <v>-911.4400000000001</v>
      </c>
      <c r="S173" s="152" t="n">
        <v>5.603157895</v>
      </c>
      <c r="T173" s="152" t="n">
        <v>1.934117647</v>
      </c>
      <c r="U173" s="152" t="n">
        <v>3.669040248</v>
      </c>
      <c r="V173" s="152" t="n">
        <v>1.483136842</v>
      </c>
      <c r="W173" s="152" t="n">
        <v>2.185903406</v>
      </c>
      <c r="X173" s="158" t="n">
        <v>4.156357143</v>
      </c>
      <c r="Y173" s="158" t="n">
        <v>779.5039524</v>
      </c>
      <c r="Z173" s="158" t="n">
        <v>19.28694571</v>
      </c>
      <c r="AA173" s="158" t="n">
        <v>3.372715</v>
      </c>
      <c r="AB173" s="159" t="n">
        <v>0.9927427176</v>
      </c>
      <c r="AC173" s="159" t="n">
        <v>0.8225338838</v>
      </c>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83" t="inlineStr">
        <is>
          <t>2019-12</t>
        </is>
      </c>
      <c r="B174" s="155" t="n">
        <v>3378.050645</v>
      </c>
      <c r="C174" s="155" t="n">
        <v>139.13</v>
      </c>
      <c r="D174" s="155" t="n">
        <v>657.54</v>
      </c>
      <c r="E174" s="155" t="n">
        <v>7086.53</v>
      </c>
      <c r="F174" s="152" t="n">
        <v>4.25</v>
      </c>
      <c r="G174" s="152" t="n">
        <v>1.55</v>
      </c>
      <c r="H174" s="152" t="n">
        <v>2.7</v>
      </c>
      <c r="I174" s="156" t="n">
        <v>-2934.132085</v>
      </c>
      <c r="J174" s="152" t="n">
        <v>2.457251638</v>
      </c>
      <c r="K174" s="152" t="n">
        <v>115.90961</v>
      </c>
      <c r="L174" s="152" t="n">
        <v>13.75666667</v>
      </c>
      <c r="M174" s="157" t="n">
        <v>0</v>
      </c>
      <c r="N174" s="155" t="n">
        <v>53167.19</v>
      </c>
      <c r="O174" s="152" t="n">
        <v>171.0454545</v>
      </c>
      <c r="P174" s="152" t="n">
        <v>1.710454545</v>
      </c>
      <c r="Q174" s="156" t="n">
        <v>-312.82</v>
      </c>
      <c r="R174" s="156" t="n">
        <v>-667.21</v>
      </c>
      <c r="S174" s="152" t="n">
        <v>5.583</v>
      </c>
      <c r="T174" s="152" t="n">
        <v>1.795</v>
      </c>
      <c r="U174" s="152" t="n">
        <v>3.788</v>
      </c>
      <c r="V174" s="152" t="n">
        <v>1.581071428</v>
      </c>
      <c r="W174" s="152" t="n">
        <v>2.206928572</v>
      </c>
      <c r="X174" s="158" t="n">
        <v>4.107940909</v>
      </c>
      <c r="Y174" s="158" t="n">
        <v>765.2586409</v>
      </c>
      <c r="Z174" s="158" t="n">
        <v>19.07965818</v>
      </c>
      <c r="AA174" s="158" t="n">
        <v>3.354738095</v>
      </c>
      <c r="AB174" s="159" t="n">
        <v>-0.5690876847</v>
      </c>
      <c r="AC174" s="159" t="n">
        <v>-0.531843996</v>
      </c>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83" t="inlineStr">
        <is>
          <t>2020-01</t>
        </is>
      </c>
      <c r="B175" s="155" t="n">
        <v>3311.189355</v>
      </c>
      <c r="C175" s="155" t="n">
        <v>132.64</v>
      </c>
      <c r="D175" s="155" t="n">
        <v>537.91</v>
      </c>
      <c r="E175" s="155" t="n">
        <v>7051.96</v>
      </c>
      <c r="F175" s="152" t="n">
        <v>4.25</v>
      </c>
      <c r="G175" s="152" t="n">
        <v>1.55</v>
      </c>
      <c r="H175" s="152" t="n">
        <v>2.7</v>
      </c>
      <c r="I175" s="156" t="n">
        <v>2831.894771</v>
      </c>
      <c r="J175" s="152" t="n">
        <v>2.72996169</v>
      </c>
      <c r="K175" s="152" t="n">
        <v>115.2793857</v>
      </c>
      <c r="L175" s="152" t="n">
        <v>13.94095238</v>
      </c>
      <c r="M175" s="157" t="n">
        <v>0</v>
      </c>
      <c r="N175" s="155" t="n">
        <v>53461.52</v>
      </c>
      <c r="O175" s="152" t="n">
        <v>170.0869565</v>
      </c>
      <c r="P175" s="152" t="n">
        <v>1.700869565</v>
      </c>
      <c r="Q175" s="156" t="n">
        <v>-78.41</v>
      </c>
      <c r="R175" s="156" t="n">
        <v>-336.39</v>
      </c>
      <c r="S175" s="152" t="n">
        <v>5.392380952</v>
      </c>
      <c r="T175" s="152" t="n">
        <v>1.752777778</v>
      </c>
      <c r="U175" s="152" t="n">
        <v>3.639603175</v>
      </c>
      <c r="V175" s="152" t="n">
        <v>1.603828566</v>
      </c>
      <c r="W175" s="152" t="n">
        <v>2.035774608</v>
      </c>
      <c r="X175" s="158" t="n">
        <v>4.144</v>
      </c>
      <c r="Y175" s="158" t="n">
        <v>774.1786565</v>
      </c>
      <c r="Z175" s="158" t="n">
        <v>18.77573957</v>
      </c>
      <c r="AA175" s="158" t="n">
        <v>3.327763636</v>
      </c>
      <c r="AB175" s="159" t="n">
        <v>-0.07106709284</v>
      </c>
      <c r="AC175" s="159" t="n">
        <v>-0.213214429</v>
      </c>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83" t="inlineStr">
        <is>
          <t>2020-02</t>
        </is>
      </c>
      <c r="B176" s="155" t="n">
        <v>3411.052759</v>
      </c>
      <c r="C176" s="155" t="n">
        <v>125.37</v>
      </c>
      <c r="D176" s="155" t="n">
        <v>536.38</v>
      </c>
      <c r="E176" s="155" t="n">
        <v>7076.09</v>
      </c>
      <c r="F176" s="152" t="n">
        <v>4.25</v>
      </c>
      <c r="G176" s="152" t="n">
        <v>1.58</v>
      </c>
      <c r="H176" s="152" t="n">
        <v>2.67</v>
      </c>
      <c r="I176" s="156" t="n">
        <v>-4034.656326</v>
      </c>
      <c r="J176" s="152" t="n">
        <v>2.376308178</v>
      </c>
      <c r="K176" s="152" t="n">
        <v>116.7105421</v>
      </c>
      <c r="L176" s="152" t="n">
        <v>19.62894737</v>
      </c>
      <c r="M176" s="157" t="n">
        <v>0</v>
      </c>
      <c r="N176" s="155" t="n">
        <v>53676.04</v>
      </c>
      <c r="O176" s="152" t="n">
        <v>172.7</v>
      </c>
      <c r="P176" s="152" t="n">
        <v>1.727</v>
      </c>
      <c r="Q176" s="156" t="n">
        <v>69.23999999999999</v>
      </c>
      <c r="R176" s="156" t="n">
        <v>-978.67</v>
      </c>
      <c r="S176" s="152" t="n">
        <v>5.2</v>
      </c>
      <c r="T176" s="152" t="n">
        <v>1.6745</v>
      </c>
      <c r="U176" s="152" t="n">
        <v>3.5255</v>
      </c>
      <c r="V176" s="152" t="n">
        <v>1.540247365</v>
      </c>
      <c r="W176" s="152" t="n">
        <v>1.985252635</v>
      </c>
      <c r="X176" s="158" t="n">
        <v>4.34585</v>
      </c>
      <c r="Y176" s="158" t="n">
        <v>797.7135</v>
      </c>
      <c r="Z176" s="158" t="n">
        <v>18.801899</v>
      </c>
      <c r="AA176" s="158" t="n">
        <v>3.39138</v>
      </c>
      <c r="AB176" s="159" t="n">
        <v>0.7199279079000001</v>
      </c>
      <c r="AC176" s="159" t="n">
        <v>0.9232813437</v>
      </c>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83" t="inlineStr">
        <is>
          <t>2020-03</t>
        </is>
      </c>
      <c r="B177" s="155" t="n">
        <v>3877.048387</v>
      </c>
      <c r="C177" s="155" t="n">
        <v>100.17</v>
      </c>
      <c r="D177" s="155" t="n">
        <v>718.64</v>
      </c>
      <c r="E177" s="155" t="n">
        <v>7234.76</v>
      </c>
      <c r="F177" s="152" t="n">
        <v>4.217741935</v>
      </c>
      <c r="G177" s="152" t="n">
        <v>0.65</v>
      </c>
      <c r="H177" s="152" t="n">
        <v>3.567741935</v>
      </c>
      <c r="I177" s="156" t="n">
        <v>-1265.372149</v>
      </c>
      <c r="J177" s="152" t="n">
        <v>2.225878777</v>
      </c>
      <c r="K177" s="152" t="n">
        <v>121.0227409</v>
      </c>
      <c r="L177" s="152" t="n">
        <v>57.73681818</v>
      </c>
      <c r="M177" s="157" t="n">
        <v>1</v>
      </c>
      <c r="N177" s="155" t="n">
        <v>53336.49</v>
      </c>
      <c r="O177" s="152" t="n">
        <v>345.1818182</v>
      </c>
      <c r="P177" s="152" t="n">
        <v>3.451818182</v>
      </c>
      <c r="Q177" s="156" t="n">
        <v>234.39</v>
      </c>
      <c r="R177" s="156" t="n">
        <v>-2229.42</v>
      </c>
      <c r="S177" s="152" t="n">
        <v>6.668095238</v>
      </c>
      <c r="T177" s="152" t="n">
        <v>2.746666667</v>
      </c>
      <c r="U177" s="152" t="n">
        <v>3.921428571</v>
      </c>
      <c r="V177" s="152" t="n">
        <v>0.6171227236</v>
      </c>
      <c r="W177" s="152" t="n">
        <v>3.304305848</v>
      </c>
      <c r="X177" s="158" t="n">
        <v>4.883531818</v>
      </c>
      <c r="Y177" s="158" t="n">
        <v>840.3306773</v>
      </c>
      <c r="Z177" s="158" t="n">
        <v>22.14204455</v>
      </c>
      <c r="AA177" s="158" t="n">
        <v>3.492554545</v>
      </c>
      <c r="AB177" s="159" t="n">
        <v>3.564684862</v>
      </c>
      <c r="AC177" s="159" t="n">
        <v>3.267234776</v>
      </c>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83" t="inlineStr">
        <is>
          <t>2020-04</t>
        </is>
      </c>
      <c r="B178" s="155" t="n">
        <v>3977.393333</v>
      </c>
      <c r="C178" s="155" t="n">
        <v>96.73999999999999</v>
      </c>
      <c r="D178" s="155" t="n">
        <v>349.52</v>
      </c>
      <c r="E178" s="155" t="n">
        <v>6987.75</v>
      </c>
      <c r="F178" s="152" t="n">
        <v>3.75</v>
      </c>
      <c r="G178" s="152" t="n">
        <v>0.05</v>
      </c>
      <c r="H178" s="152" t="n">
        <v>3.7</v>
      </c>
      <c r="I178" s="156" t="n">
        <v>-8441.085868</v>
      </c>
      <c r="J178" s="152" t="n">
        <v>3.178987191</v>
      </c>
      <c r="K178" s="152" t="n">
        <v>123.2803455</v>
      </c>
      <c r="L178" s="152" t="n">
        <v>41.45380952</v>
      </c>
      <c r="M178" s="157" t="n">
        <v>1</v>
      </c>
      <c r="N178" s="155" t="n">
        <v>53862.68</v>
      </c>
      <c r="O178" s="152" t="n">
        <v>388.8636364</v>
      </c>
      <c r="P178" s="152" t="n">
        <v>3.888636364</v>
      </c>
      <c r="Q178" s="156" t="n">
        <v>11.17</v>
      </c>
      <c r="R178" s="156" t="n">
        <v>14.17</v>
      </c>
      <c r="S178" s="152" t="n">
        <v>6.2605</v>
      </c>
      <c r="T178" s="152" t="n">
        <v>2.819230769</v>
      </c>
      <c r="U178" s="152" t="n">
        <v>3.441269231</v>
      </c>
      <c r="V178" s="152" t="n">
        <v>0.6783285794</v>
      </c>
      <c r="W178" s="152" t="n">
        <v>2.762940651</v>
      </c>
      <c r="X178" s="158" t="n">
        <v>5.312122727</v>
      </c>
      <c r="Y178" s="158" t="n">
        <v>852.085</v>
      </c>
      <c r="Z178" s="158" t="n">
        <v>24.10104591</v>
      </c>
      <c r="AA178" s="158" t="n">
        <v>3.39842</v>
      </c>
      <c r="AB178" s="159" t="n">
        <v>1.850095616</v>
      </c>
      <c r="AC178" s="159" t="n">
        <v>0.8404867660000001</v>
      </c>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83" t="inlineStr">
        <is>
          <t>2020-05</t>
        </is>
      </c>
      <c r="B179" s="155" t="n">
        <v>3858.191613</v>
      </c>
      <c r="C179" s="155" t="n">
        <v>100.17</v>
      </c>
      <c r="D179" s="155" t="n">
        <v>448.57</v>
      </c>
      <c r="E179" s="155" t="n">
        <v>6784.09</v>
      </c>
      <c r="F179" s="152" t="n">
        <v>3.298387097</v>
      </c>
      <c r="G179" s="152" t="n">
        <v>0.05</v>
      </c>
      <c r="H179" s="152" t="n">
        <v>3.248387097</v>
      </c>
      <c r="I179" s="156" t="n">
        <v>-7384.940838</v>
      </c>
      <c r="J179" s="152" t="n">
        <v>3.909812532</v>
      </c>
      <c r="K179" s="152" t="n">
        <v>122.61501</v>
      </c>
      <c r="L179" s="152" t="n">
        <v>30.897</v>
      </c>
      <c r="M179" s="157" t="n">
        <v>1</v>
      </c>
      <c r="N179" s="155" t="n">
        <v>56361.68</v>
      </c>
      <c r="O179" s="152" t="n">
        <v>335.3333333</v>
      </c>
      <c r="P179" s="152" t="n">
        <v>3.353333333</v>
      </c>
      <c r="Q179" s="156" t="n">
        <v>-94.90000000000001</v>
      </c>
      <c r="R179" s="156" t="n">
        <v>1887.31</v>
      </c>
      <c r="S179" s="152" t="n">
        <v>4.949473684</v>
      </c>
      <c r="T179" s="152" t="n">
        <v>2.58</v>
      </c>
      <c r="U179" s="152" t="n">
        <v>2.369473684</v>
      </c>
      <c r="V179" s="152" t="n">
        <v>0.7583300024</v>
      </c>
      <c r="W179" s="152" t="n">
        <v>1.611143682</v>
      </c>
      <c r="X179" s="158" t="n">
        <v>5.632842857</v>
      </c>
      <c r="Y179" s="158" t="n">
        <v>820.0199857</v>
      </c>
      <c r="Z179" s="158" t="n">
        <v>23.33409524</v>
      </c>
      <c r="AA179" s="158" t="n">
        <v>3.42185</v>
      </c>
      <c r="AB179" s="159" t="n">
        <v>-0.4358909802</v>
      </c>
      <c r="AC179" s="159" t="n">
        <v>-0.1862623949</v>
      </c>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83" t="inlineStr">
        <is>
          <t>2020-06</t>
        </is>
      </c>
      <c r="B180" s="155" t="n">
        <v>3701.604333</v>
      </c>
      <c r="C180" s="155" t="n">
        <v>108.03</v>
      </c>
      <c r="D180" s="155" t="n">
        <v>526.42</v>
      </c>
      <c r="E180" s="155" t="n">
        <v>6784.76</v>
      </c>
      <c r="F180" s="152" t="n">
        <v>2.75</v>
      </c>
      <c r="G180" s="152" t="n">
        <v>0.08</v>
      </c>
      <c r="H180" s="152" t="n">
        <v>2.67</v>
      </c>
      <c r="I180" s="156" t="n">
        <v>-12312.51201</v>
      </c>
      <c r="J180" s="152" t="n">
        <v>5.17609732</v>
      </c>
      <c r="K180" s="152" t="n">
        <v>119.6766045</v>
      </c>
      <c r="L180" s="152" t="n">
        <v>31.11954545</v>
      </c>
      <c r="M180" s="157" t="n">
        <v>0</v>
      </c>
      <c r="N180" s="155" t="n">
        <v>56623.49</v>
      </c>
      <c r="O180" s="152" t="n">
        <v>287.3181818</v>
      </c>
      <c r="P180" s="152" t="n">
        <v>2.873181818</v>
      </c>
      <c r="Q180" s="156" t="n">
        <v>-57.41</v>
      </c>
      <c r="R180" s="156" t="n">
        <v>-672.46</v>
      </c>
      <c r="S180" s="152" t="n">
        <v>4.722105263</v>
      </c>
      <c r="T180" s="152" t="n">
        <v>2.533684211</v>
      </c>
      <c r="U180" s="152" t="n">
        <v>2.188421053</v>
      </c>
      <c r="V180" s="152" t="n">
        <v>1.065604546</v>
      </c>
      <c r="W180" s="152" t="n">
        <v>1.122816507</v>
      </c>
      <c r="X180" s="158" t="n">
        <v>5.182331818</v>
      </c>
      <c r="Y180" s="158" t="n">
        <v>795.8832</v>
      </c>
      <c r="Z180" s="158" t="n">
        <v>22.17543045</v>
      </c>
      <c r="AA180" s="158" t="n">
        <v>3.471095238</v>
      </c>
      <c r="AB180" s="159" t="n">
        <v>-1.843489585</v>
      </c>
      <c r="AC180" s="159" t="n">
        <v>-1.092759523</v>
      </c>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83" t="inlineStr">
        <is>
          <t>2020-07</t>
        </is>
      </c>
      <c r="B181" s="155" t="n">
        <v>3657.866774</v>
      </c>
      <c r="C181" s="155" t="n">
        <v>117.97</v>
      </c>
      <c r="D181" s="155" t="n">
        <v>584.64</v>
      </c>
      <c r="E181" s="155" t="n">
        <v>6762.52</v>
      </c>
      <c r="F181" s="152" t="n">
        <v>2.5</v>
      </c>
      <c r="G181" s="152" t="n">
        <v>0.09</v>
      </c>
      <c r="H181" s="152" t="n">
        <v>2.41</v>
      </c>
      <c r="I181" s="156" t="n">
        <v>-11480.51974</v>
      </c>
      <c r="J181" s="152" t="n">
        <v>5.791065909</v>
      </c>
      <c r="K181" s="152" t="n">
        <v>118.69005</v>
      </c>
      <c r="L181" s="152" t="n">
        <v>26.84045455</v>
      </c>
      <c r="M181" s="157" t="n">
        <v>0</v>
      </c>
      <c r="N181" s="155" t="n">
        <v>56971.93</v>
      </c>
      <c r="O181" s="152" t="n">
        <v>272.173913</v>
      </c>
      <c r="P181" s="152" t="n">
        <v>2.72173913</v>
      </c>
      <c r="Q181" s="156" t="n">
        <v>-29.76</v>
      </c>
      <c r="R181" s="156" t="n">
        <v>-770.79</v>
      </c>
      <c r="S181" s="152" t="n">
        <v>4.234545455</v>
      </c>
      <c r="T181" s="152" t="n">
        <v>2.128181818</v>
      </c>
      <c r="U181" s="152" t="n">
        <v>2.106363636</v>
      </c>
      <c r="V181" s="152" t="n">
        <v>1.350899989</v>
      </c>
      <c r="W181" s="152" t="n">
        <v>0.7554636474</v>
      </c>
      <c r="X181" s="158" t="n">
        <v>5.279895652</v>
      </c>
      <c r="Y181" s="158" t="n">
        <v>780.9887043</v>
      </c>
      <c r="Z181" s="158" t="n">
        <v>22.33604217</v>
      </c>
      <c r="AA181" s="158" t="n">
        <v>3.517340909</v>
      </c>
      <c r="AB181" s="159" t="n">
        <v>-0.0828278232</v>
      </c>
      <c r="AC181" s="159" t="n">
        <v>0.2065429672</v>
      </c>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83" t="inlineStr">
        <is>
          <t>2020-08</t>
        </is>
      </c>
      <c r="B182" s="155" t="n">
        <v>3783.025806</v>
      </c>
      <c r="C182" s="155" t="n">
        <v>122.67</v>
      </c>
      <c r="D182" s="155" t="n">
        <v>635.88</v>
      </c>
      <c r="E182" s="155" t="n">
        <v>6718.1</v>
      </c>
      <c r="F182" s="152" t="n">
        <v>2.266129032</v>
      </c>
      <c r="G182" s="152" t="n">
        <v>0.1</v>
      </c>
      <c r="H182" s="152" t="n">
        <v>2.166129032</v>
      </c>
      <c r="I182" s="156" t="n">
        <v>-11214.28637</v>
      </c>
      <c r="J182" s="152" t="n">
        <v>6.324605304</v>
      </c>
      <c r="K182" s="152" t="n">
        <v>116.9453476</v>
      </c>
      <c r="L182" s="152" t="n">
        <v>22.88952381</v>
      </c>
      <c r="M182" s="157" t="n">
        <v>0</v>
      </c>
      <c r="N182" s="155" t="n">
        <v>57184.93</v>
      </c>
      <c r="O182" s="152" t="n">
        <v>241.047619</v>
      </c>
      <c r="P182" s="152" t="n">
        <v>2.41047619</v>
      </c>
      <c r="Q182" s="156" t="n">
        <v>64.18000000000001</v>
      </c>
      <c r="R182" s="156" t="n">
        <v>-795.33</v>
      </c>
      <c r="S182" s="152" t="n">
        <v>4.272631579</v>
      </c>
      <c r="T182" s="152" t="n">
        <v>1.785263158</v>
      </c>
      <c r="U182" s="152" t="n">
        <v>2.487368421</v>
      </c>
      <c r="V182" s="152" t="n">
        <v>1.582147621</v>
      </c>
      <c r="W182" s="152" t="n">
        <v>0.9052208000999999</v>
      </c>
      <c r="X182" s="158" t="n">
        <v>5.460933333</v>
      </c>
      <c r="Y182" s="158" t="n">
        <v>785.5256905</v>
      </c>
      <c r="Z182" s="158" t="n">
        <v>22.13742952</v>
      </c>
      <c r="AA182" s="158" t="n">
        <v>3.564547619</v>
      </c>
      <c r="AB182" s="159" t="n">
        <v>0.1689394899</v>
      </c>
      <c r="AC182" s="159" t="n">
        <v>0.3973146901</v>
      </c>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83" t="inlineStr">
        <is>
          <t>2020-09</t>
        </is>
      </c>
      <c r="B183" s="155" t="n">
        <v>3750.215333</v>
      </c>
      <c r="C183" s="155" t="n">
        <v>121.86</v>
      </c>
      <c r="D183" s="155" t="n">
        <v>653</v>
      </c>
      <c r="E183" s="155" t="n">
        <v>6788.77</v>
      </c>
      <c r="F183" s="152" t="n">
        <v>1.975</v>
      </c>
      <c r="G183" s="152" t="n">
        <v>0.09</v>
      </c>
      <c r="H183" s="152" t="n">
        <v>1.885</v>
      </c>
      <c r="I183" s="156" t="n">
        <v>-6442.003856</v>
      </c>
      <c r="J183" s="152" t="n">
        <v>7.363909642</v>
      </c>
      <c r="K183" s="152" t="n">
        <v>116.3431333</v>
      </c>
      <c r="L183" s="152" t="n">
        <v>27.64761905</v>
      </c>
      <c r="M183" s="157" t="n">
        <v>0</v>
      </c>
      <c r="N183" s="155" t="n">
        <v>56978.48</v>
      </c>
      <c r="O183" s="152" t="n">
        <v>253.9090909</v>
      </c>
      <c r="P183" s="152" t="n">
        <v>2.539090909</v>
      </c>
      <c r="Q183" s="156" t="n">
        <v>109.83</v>
      </c>
      <c r="R183" s="156" t="n">
        <v>-1294.55</v>
      </c>
      <c r="S183" s="152" t="n">
        <v>4.242727273</v>
      </c>
      <c r="T183" s="152" t="n">
        <v>1.537727273</v>
      </c>
      <c r="U183" s="152" t="n">
        <v>2.705</v>
      </c>
      <c r="V183" s="152" t="n">
        <v>1.578671421</v>
      </c>
      <c r="W183" s="152" t="n">
        <v>1.126328579</v>
      </c>
      <c r="X183" s="158" t="n">
        <v>5.393968182</v>
      </c>
      <c r="Y183" s="158" t="n">
        <v>773.2568182</v>
      </c>
      <c r="Z183" s="158" t="n">
        <v>21.54995182</v>
      </c>
      <c r="AA183" s="158" t="n">
        <v>3.555759091</v>
      </c>
      <c r="AB183" s="159" t="n">
        <v>-0.7336197567</v>
      </c>
      <c r="AC183" s="159" t="n">
        <v>-0.5974021241</v>
      </c>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83" t="inlineStr">
        <is>
          <t>2020-10</t>
        </is>
      </c>
      <c r="B184" s="155" t="n">
        <v>3833.788387</v>
      </c>
      <c r="C184" s="155" t="n">
        <v>121.18</v>
      </c>
      <c r="D184" s="155" t="n">
        <v>646.59</v>
      </c>
      <c r="E184" s="155" t="n">
        <v>6838.03</v>
      </c>
      <c r="F184" s="152" t="n">
        <v>1.75</v>
      </c>
      <c r="G184" s="152" t="n">
        <v>0.09</v>
      </c>
      <c r="H184" s="152" t="n">
        <v>1.66</v>
      </c>
      <c r="I184" s="156" t="n">
        <v>2477.461562</v>
      </c>
      <c r="J184" s="152" t="n">
        <v>6.480396271</v>
      </c>
      <c r="K184" s="152" t="n">
        <v>115.7798143</v>
      </c>
      <c r="L184" s="152" t="n">
        <v>29.43863636</v>
      </c>
      <c r="M184" s="157" t="n">
        <v>0</v>
      </c>
      <c r="N184" s="155" t="n">
        <v>56918.99</v>
      </c>
      <c r="O184" s="152" t="n">
        <v>240.4090909</v>
      </c>
      <c r="P184" s="152" t="n">
        <v>2.404090909</v>
      </c>
      <c r="Q184" s="156" t="n">
        <v>93.28</v>
      </c>
      <c r="R184" s="156" t="n">
        <v>-1154.57</v>
      </c>
      <c r="S184" s="152" t="n">
        <v>4.44</v>
      </c>
      <c r="T184" s="152" t="n">
        <v>1.314285714</v>
      </c>
      <c r="U184" s="152" t="n">
        <v>3.125714286</v>
      </c>
      <c r="V184" s="152" t="n">
        <v>1.592328577</v>
      </c>
      <c r="W184" s="152" t="n">
        <v>1.533385709</v>
      </c>
      <c r="X184" s="158" t="n">
        <v>5.621563636</v>
      </c>
      <c r="Y184" s="158" t="n">
        <v>787.7706818</v>
      </c>
      <c r="Z184" s="158" t="n">
        <v>21.21154636</v>
      </c>
      <c r="AA184" s="158" t="n">
        <v>3.596136364</v>
      </c>
      <c r="AB184" s="159" t="n">
        <v>0.3154473082</v>
      </c>
      <c r="AC184" s="159" t="n">
        <v>0.4661565877</v>
      </c>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83" t="inlineStr">
        <is>
          <t>2020-11</t>
        </is>
      </c>
      <c r="B185" s="155" t="n">
        <v>3685.626667</v>
      </c>
      <c r="C185" s="155" t="n">
        <v>123.44</v>
      </c>
      <c r="D185" s="155" t="n">
        <v>602.59</v>
      </c>
      <c r="E185" s="155" t="n">
        <v>6897.68</v>
      </c>
      <c r="F185" s="152" t="n">
        <v>1.75</v>
      </c>
      <c r="G185" s="152" t="n">
        <v>0.09</v>
      </c>
      <c r="H185" s="152" t="n">
        <v>1.66</v>
      </c>
      <c r="I185" s="156" t="n">
        <v>-8645.868268</v>
      </c>
      <c r="J185" s="152" t="n">
        <v>6.895144794</v>
      </c>
      <c r="K185" s="152" t="n">
        <v>114.0984</v>
      </c>
      <c r="L185" s="152" t="n">
        <v>24.9955</v>
      </c>
      <c r="M185" s="157" t="n">
        <v>0</v>
      </c>
      <c r="N185" s="155" t="n">
        <v>57244.55</v>
      </c>
      <c r="O185" s="152" t="n">
        <v>217.7142857</v>
      </c>
      <c r="P185" s="152" t="n">
        <v>2.177142857</v>
      </c>
      <c r="Q185" s="156" t="n">
        <v>-63.03</v>
      </c>
      <c r="R185" s="156" t="n">
        <v>-338.37</v>
      </c>
      <c r="S185" s="152" t="n">
        <v>4.398421053</v>
      </c>
      <c r="T185" s="152" t="n">
        <v>1.365263158</v>
      </c>
      <c r="U185" s="152" t="n">
        <v>3.033157895</v>
      </c>
      <c r="V185" s="152" t="n">
        <v>1.598405248</v>
      </c>
      <c r="W185" s="152" t="n">
        <v>1.434752646</v>
      </c>
      <c r="X185" s="158" t="n">
        <v>5.434390476</v>
      </c>
      <c r="Y185" s="158" t="n">
        <v>762.4780857</v>
      </c>
      <c r="Z185" s="158" t="n">
        <v>20.35438095</v>
      </c>
      <c r="AA185" s="158" t="n">
        <v>3.608719048</v>
      </c>
      <c r="AB185" s="159" t="n">
        <v>-1.311983844</v>
      </c>
      <c r="AC185" s="159" t="n">
        <v>-0.9112720511</v>
      </c>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83" t="inlineStr">
        <is>
          <t>2020-12</t>
        </is>
      </c>
      <c r="B186" s="155" t="n">
        <v>3466.127097</v>
      </c>
      <c r="C186" s="155" t="n">
        <v>129.34</v>
      </c>
      <c r="D186" s="155" t="n">
        <v>668.7</v>
      </c>
      <c r="E186" s="155" t="n">
        <v>6908.84</v>
      </c>
      <c r="F186" s="152" t="n">
        <v>1.75</v>
      </c>
      <c r="G186" s="152" t="n">
        <v>0.09</v>
      </c>
      <c r="H186" s="152" t="n">
        <v>1.66</v>
      </c>
      <c r="I186" s="156" t="n">
        <v>-11851.53491</v>
      </c>
      <c r="J186" s="152" t="n">
        <v>7.788250635</v>
      </c>
      <c r="K186" s="152" t="n">
        <v>111.8992143</v>
      </c>
      <c r="L186" s="152" t="n">
        <v>22.37409091</v>
      </c>
      <c r="M186" s="157" t="n">
        <v>0</v>
      </c>
      <c r="N186" s="155" t="n">
        <v>59030.79</v>
      </c>
      <c r="O186" s="152" t="n">
        <v>209.9565217</v>
      </c>
      <c r="P186" s="152" t="n">
        <v>2.099565217</v>
      </c>
      <c r="Q186" s="156" t="n">
        <v>-68.97</v>
      </c>
      <c r="R186" s="156" t="n">
        <v>916.7</v>
      </c>
      <c r="S186" s="152" t="n">
        <v>4.340526316</v>
      </c>
      <c r="T186" s="152" t="n">
        <v>1.185</v>
      </c>
      <c r="U186" s="152" t="n">
        <v>3.155526316</v>
      </c>
      <c r="V186" s="152" t="n">
        <v>1.855690902</v>
      </c>
      <c r="W186" s="152" t="n">
        <v>1.299835414</v>
      </c>
      <c r="X186" s="158" t="n">
        <v>5.14673913</v>
      </c>
      <c r="Y186" s="158" t="n">
        <v>730.3515217</v>
      </c>
      <c r="Z186" s="158" t="n">
        <v>19.89075783</v>
      </c>
      <c r="AA186" s="158" t="n">
        <v>3.603242857</v>
      </c>
      <c r="AB186" s="159" t="n">
        <v>-1.410605932</v>
      </c>
      <c r="AC186" s="159" t="n">
        <v>-1.086035413</v>
      </c>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83" t="inlineStr">
        <is>
          <t>2021-01</t>
        </is>
      </c>
      <c r="B187" s="155" t="n">
        <v>3491.321613</v>
      </c>
      <c r="C187" s="155" t="n">
        <v>133.99</v>
      </c>
      <c r="D187" s="155" t="n">
        <v>547.62</v>
      </c>
      <c r="E187" s="155" t="n">
        <v>6918.55</v>
      </c>
      <c r="F187" s="152" t="n">
        <v>1.75</v>
      </c>
      <c r="G187" s="152" t="n">
        <v>0.09</v>
      </c>
      <c r="H187" s="152" t="n">
        <v>1.66</v>
      </c>
      <c r="I187" s="156" t="n">
        <v>-3975.91576</v>
      </c>
      <c r="J187" s="152" t="n">
        <v>7.0911306</v>
      </c>
      <c r="K187" s="152" t="n">
        <v>111.4872722</v>
      </c>
      <c r="L187" s="152" t="n">
        <v>24.91</v>
      </c>
      <c r="M187" s="157" t="n">
        <v>0</v>
      </c>
      <c r="N187" s="155" t="n">
        <v>59000.87</v>
      </c>
      <c r="O187" s="152" t="n">
        <v>216.4285714</v>
      </c>
      <c r="P187" s="152" t="n">
        <v>2.164285714</v>
      </c>
      <c r="Q187" s="156" t="n">
        <v>28.99</v>
      </c>
      <c r="R187" s="156" t="n">
        <v>-841.36</v>
      </c>
      <c r="S187" s="152" t="n">
        <v>4.247894737</v>
      </c>
      <c r="T187" s="152" t="n">
        <v>0.8568421053</v>
      </c>
      <c r="U187" s="152" t="n">
        <v>3.391052632</v>
      </c>
      <c r="V187" s="152" t="n">
        <v>2.125578956</v>
      </c>
      <c r="W187" s="152" t="n">
        <v>1.265473676</v>
      </c>
      <c r="X187" s="158" t="n">
        <v>5.348328571</v>
      </c>
      <c r="Y187" s="158" t="n">
        <v>723.7957333000001</v>
      </c>
      <c r="Z187" s="158" t="n">
        <v>19.84059429</v>
      </c>
      <c r="AA187" s="158" t="n">
        <v>3.62495</v>
      </c>
      <c r="AB187" s="159" t="n">
        <v>0.1035725325</v>
      </c>
      <c r="AC187" s="159" t="n">
        <v>0.2009481724</v>
      </c>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83" t="inlineStr">
        <is>
          <t>2021-02</t>
        </is>
      </c>
      <c r="B188" s="155" t="n">
        <v>3554.504286</v>
      </c>
      <c r="C188" s="155" t="n">
        <v>133.22</v>
      </c>
      <c r="D188" s="155" t="n">
        <v>606.02</v>
      </c>
      <c r="E188" s="155" t="n">
        <v>6988.19</v>
      </c>
      <c r="F188" s="152" t="n">
        <v>1.75</v>
      </c>
      <c r="G188" s="152" t="n">
        <v>0.08</v>
      </c>
      <c r="H188" s="152" t="n">
        <v>1.67</v>
      </c>
      <c r="I188" s="156" t="n">
        <v>-11153.51896</v>
      </c>
      <c r="J188" s="152" t="n">
        <v>7.68803314</v>
      </c>
      <c r="K188" s="152" t="n">
        <v>112.0170526</v>
      </c>
      <c r="L188" s="152" t="n">
        <v>23.14052632</v>
      </c>
      <c r="M188" s="157" t="n">
        <v>0</v>
      </c>
      <c r="N188" s="155" t="n">
        <v>58975.17</v>
      </c>
      <c r="O188" s="152" t="n">
        <v>213.8</v>
      </c>
      <c r="P188" s="152" t="n">
        <v>2.138</v>
      </c>
      <c r="Q188" s="156" t="n">
        <v>-29.58</v>
      </c>
      <c r="R188" s="156" t="n">
        <v>-1103.72</v>
      </c>
      <c r="S188" s="152" t="n">
        <v>4.339</v>
      </c>
      <c r="T188" s="152" t="n">
        <v>0.9025</v>
      </c>
      <c r="U188" s="152" t="n">
        <v>3.4365</v>
      </c>
      <c r="V188" s="152" t="n">
        <v>2.294578954</v>
      </c>
      <c r="W188" s="152" t="n">
        <v>1.141921046</v>
      </c>
      <c r="X188" s="158" t="n">
        <v>5.412695</v>
      </c>
      <c r="Y188" s="158" t="n">
        <v>722.353985</v>
      </c>
      <c r="Z188" s="158" t="n">
        <v>20.2356995</v>
      </c>
      <c r="AA188" s="158" t="n">
        <v>3.64569</v>
      </c>
      <c r="AB188" s="159" t="n">
        <v>0.2169412801</v>
      </c>
      <c r="AC188" s="159" t="n">
        <v>0.2799184808</v>
      </c>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83" t="inlineStr">
        <is>
          <t>2021-03</t>
        </is>
      </c>
      <c r="B189" s="155" t="n">
        <v>3612.768387</v>
      </c>
      <c r="C189" s="155" t="n">
        <v>137.51</v>
      </c>
      <c r="D189" s="155" t="n">
        <v>795.37</v>
      </c>
      <c r="E189" s="155" t="n">
        <v>7064.92</v>
      </c>
      <c r="F189" s="152" t="n">
        <v>1.75</v>
      </c>
      <c r="G189" s="152" t="n">
        <v>0.07000000000000001</v>
      </c>
      <c r="H189" s="152" t="n">
        <v>1.68</v>
      </c>
      <c r="I189" s="156" t="n">
        <v>261.5796268</v>
      </c>
      <c r="J189" s="152" t="n">
        <v>7.560001257</v>
      </c>
      <c r="K189" s="152" t="n">
        <v>113.3366435</v>
      </c>
      <c r="L189" s="152" t="n">
        <v>21.84304348</v>
      </c>
      <c r="M189" s="157" t="n">
        <v>0</v>
      </c>
      <c r="N189" s="155" t="n">
        <v>58900.51</v>
      </c>
      <c r="O189" s="152" t="n">
        <v>223.3043478</v>
      </c>
      <c r="P189" s="152" t="n">
        <v>2.233043478</v>
      </c>
      <c r="Q189" s="156" t="n">
        <v>81.45</v>
      </c>
      <c r="R189" s="156" t="n">
        <v>-1495.67</v>
      </c>
      <c r="S189" s="152" t="n">
        <v>5.273636364</v>
      </c>
      <c r="T189" s="152" t="n">
        <v>1.634545455</v>
      </c>
      <c r="U189" s="152" t="n">
        <v>3.639090909</v>
      </c>
      <c r="V189" s="152" t="n">
        <v>2.455391314</v>
      </c>
      <c r="W189" s="152" t="n">
        <v>1.183699595</v>
      </c>
      <c r="X189" s="158" t="n">
        <v>5.645847826</v>
      </c>
      <c r="Y189" s="158" t="n">
        <v>726.1030261</v>
      </c>
      <c r="Z189" s="158" t="n">
        <v>20.68165391</v>
      </c>
      <c r="AA189" s="158" t="n">
        <v>3.709178261</v>
      </c>
      <c r="AB189" s="159" t="n">
        <v>0.606028151</v>
      </c>
      <c r="AC189" s="159" t="n">
        <v>0.804233131</v>
      </c>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83" t="inlineStr">
        <is>
          <t>2021-04</t>
        </is>
      </c>
      <c r="B190" s="155" t="n">
        <v>3650.776</v>
      </c>
      <c r="C190" s="155" t="n">
        <v>129.87</v>
      </c>
      <c r="D190" s="155" t="n">
        <v>709.16</v>
      </c>
      <c r="E190" s="155" t="n">
        <v>7424.56</v>
      </c>
      <c r="F190" s="152" t="n">
        <v>1.75</v>
      </c>
      <c r="G190" s="152" t="n">
        <v>0.07000000000000001</v>
      </c>
      <c r="H190" s="152" t="n">
        <v>1.68</v>
      </c>
      <c r="I190" s="156" t="n">
        <v>-5640.34754</v>
      </c>
      <c r="J190" s="152" t="n">
        <v>7.325164892</v>
      </c>
      <c r="K190" s="152" t="n">
        <v>112.6322864</v>
      </c>
      <c r="L190" s="152" t="n">
        <v>17.41619048</v>
      </c>
      <c r="M190" s="157" t="n">
        <v>0</v>
      </c>
      <c r="N190" s="155" t="n">
        <v>59085.22</v>
      </c>
      <c r="O190" s="152" t="n">
        <v>220.1363636</v>
      </c>
      <c r="P190" s="152" t="n">
        <v>2.201363636</v>
      </c>
      <c r="Q190" s="156" t="n">
        <v>47.14</v>
      </c>
      <c r="R190" s="156" t="n">
        <v>-879.1799999999999</v>
      </c>
      <c r="S190" s="152" t="n">
        <v>5.4805</v>
      </c>
      <c r="T190" s="152" t="n">
        <v>1.948</v>
      </c>
      <c r="U190" s="152" t="n">
        <v>3.5325</v>
      </c>
      <c r="V190" s="152" t="n">
        <v>2.536877275</v>
      </c>
      <c r="W190" s="152" t="n">
        <v>0.9956227255</v>
      </c>
      <c r="X190" s="158" t="n">
        <v>5.5658</v>
      </c>
      <c r="Y190" s="158" t="n">
        <v>707.7875136</v>
      </c>
      <c r="Z190" s="158" t="n">
        <v>20.02527364</v>
      </c>
      <c r="AA190" s="158" t="n">
        <v>3.699525</v>
      </c>
      <c r="AB190" s="159" t="n">
        <v>-0.9377845485</v>
      </c>
      <c r="AC190" s="159" t="n">
        <v>-0.7532881313999999</v>
      </c>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83" t="inlineStr">
        <is>
          <t>2021-05</t>
        </is>
      </c>
      <c r="B191" s="155" t="n">
        <v>3735.666129</v>
      </c>
      <c r="C191" s="155" t="n">
        <v>131.94</v>
      </c>
      <c r="D191" s="155" t="n">
        <v>759.17</v>
      </c>
      <c r="E191" s="155" t="n">
        <v>7735.16</v>
      </c>
      <c r="F191" s="152" t="n">
        <v>1.75</v>
      </c>
      <c r="G191" s="152" t="n">
        <v>0.06</v>
      </c>
      <c r="H191" s="152" t="n">
        <v>1.69</v>
      </c>
      <c r="I191" s="156" t="n">
        <v>-4145.044419</v>
      </c>
      <c r="J191" s="152" t="n">
        <v>7.053505991</v>
      </c>
      <c r="K191" s="152" t="n">
        <v>111.21227</v>
      </c>
      <c r="L191" s="152" t="n">
        <v>19.7605</v>
      </c>
      <c r="M191" s="157" t="n">
        <v>0</v>
      </c>
      <c r="N191" s="155" t="n">
        <v>59143.96</v>
      </c>
      <c r="O191" s="152" t="n">
        <v>236.8571429</v>
      </c>
      <c r="P191" s="152" t="n">
        <v>2.368571429</v>
      </c>
      <c r="Q191" s="156" t="n">
        <v>-16.48</v>
      </c>
      <c r="R191" s="156" t="n">
        <v>-947.0599999999999</v>
      </c>
      <c r="S191" s="152" t="n">
        <v>6.035</v>
      </c>
      <c r="T191" s="152" t="n">
        <v>2.1225</v>
      </c>
      <c r="U191" s="152" t="n">
        <v>3.9125</v>
      </c>
      <c r="V191" s="152" t="n">
        <v>2.690989995</v>
      </c>
      <c r="W191" s="152" t="n">
        <v>1.221510005</v>
      </c>
      <c r="X191" s="158" t="n">
        <v>5.290752381</v>
      </c>
      <c r="Y191" s="158" t="n">
        <v>713.4066571</v>
      </c>
      <c r="Z191" s="158" t="n">
        <v>19.91764238</v>
      </c>
      <c r="AA191" s="158" t="n">
        <v>3.774757143</v>
      </c>
      <c r="AB191" s="159" t="n">
        <v>-0.5295735298000001</v>
      </c>
      <c r="AC191" s="159" t="n">
        <v>0.01019442144</v>
      </c>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83" t="inlineStr">
        <is>
          <t>2021-06</t>
        </is>
      </c>
      <c r="B192" s="155" t="n">
        <v>3685.042667</v>
      </c>
      <c r="C192" s="155" t="n">
        <v>138.18</v>
      </c>
      <c r="D192" s="155" t="n">
        <v>699.01</v>
      </c>
      <c r="E192" s="155" t="n">
        <v>7907.75</v>
      </c>
      <c r="F192" s="152" t="n">
        <v>1.75</v>
      </c>
      <c r="G192" s="152" t="n">
        <v>0.08</v>
      </c>
      <c r="H192" s="152" t="n">
        <v>1.67</v>
      </c>
      <c r="I192" s="156" t="n">
        <v>-10505.66582</v>
      </c>
      <c r="J192" s="152" t="n">
        <v>6.902005515</v>
      </c>
      <c r="K192" s="152" t="n">
        <v>111.5776955</v>
      </c>
      <c r="L192" s="152" t="n">
        <v>16.95681818</v>
      </c>
      <c r="M192" s="157" t="n">
        <v>0</v>
      </c>
      <c r="N192" s="155" t="n">
        <v>58917.31</v>
      </c>
      <c r="O192" s="152" t="n">
        <v>243.5454545</v>
      </c>
      <c r="P192" s="152" t="n">
        <v>2.435454545</v>
      </c>
      <c r="Q192" s="156" t="n">
        <v>61.27</v>
      </c>
      <c r="R192" s="156" t="n">
        <v>-1051.93</v>
      </c>
      <c r="S192" s="152" t="n">
        <v>5.9495</v>
      </c>
      <c r="T192" s="152" t="n">
        <v>2.0255</v>
      </c>
      <c r="U192" s="152" t="n">
        <v>3.924</v>
      </c>
      <c r="V192" s="152" t="n">
        <v>2.502268195</v>
      </c>
      <c r="W192" s="152" t="n">
        <v>1.421731805</v>
      </c>
      <c r="X192" s="158" t="n">
        <v>5.035368182</v>
      </c>
      <c r="Y192" s="158" t="n">
        <v>728.6411136</v>
      </c>
      <c r="Z192" s="158" t="n">
        <v>19.94855</v>
      </c>
      <c r="AA192" s="158" t="n">
        <v>3.911604762</v>
      </c>
      <c r="AB192" s="159" t="n">
        <v>-0.2704856867</v>
      </c>
      <c r="AC192" s="159" t="n">
        <v>0.5158634174</v>
      </c>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83" t="inlineStr">
        <is>
          <t>2021-07</t>
        </is>
      </c>
      <c r="B193" s="155" t="n">
        <v>3829.418065</v>
      </c>
      <c r="C193" s="155" t="n">
        <v>136.71</v>
      </c>
      <c r="D193" s="155" t="n">
        <v>741.6</v>
      </c>
      <c r="E193" s="155" t="n">
        <v>8064.71</v>
      </c>
      <c r="F193" s="152" t="n">
        <v>1.75</v>
      </c>
      <c r="G193" s="152" t="n">
        <v>0.1</v>
      </c>
      <c r="H193" s="152" t="n">
        <v>1.65</v>
      </c>
      <c r="I193" s="156" t="n">
        <v>-8204.341235</v>
      </c>
      <c r="J193" s="152" t="n">
        <v>6.627304432</v>
      </c>
      <c r="K193" s="152" t="n">
        <v>113.063319</v>
      </c>
      <c r="L193" s="152" t="n">
        <v>17.60333333</v>
      </c>
      <c r="M193" s="157" t="n">
        <v>0</v>
      </c>
      <c r="N193" s="155" t="n">
        <v>58878.39</v>
      </c>
      <c r="O193" s="152" t="n">
        <v>267.3181818</v>
      </c>
      <c r="P193" s="152" t="n">
        <v>2.673181818</v>
      </c>
      <c r="Q193" s="156" t="n">
        <v>143.13</v>
      </c>
      <c r="R193" s="156" t="n">
        <v>-1224.69</v>
      </c>
      <c r="S193" s="152" t="n">
        <v>6.127</v>
      </c>
      <c r="T193" s="152" t="n">
        <v>2.547</v>
      </c>
      <c r="U193" s="152" t="n">
        <v>3.58</v>
      </c>
      <c r="V193" s="152" t="n">
        <v>2.556014299</v>
      </c>
      <c r="W193" s="152" t="n">
        <v>1.023985701</v>
      </c>
      <c r="X193" s="158" t="n">
        <v>5.156363636</v>
      </c>
      <c r="Y193" s="158" t="n">
        <v>752.0147682</v>
      </c>
      <c r="Z193" s="158" t="n">
        <v>19.92552318</v>
      </c>
      <c r="AA193" s="158" t="n">
        <v>3.942455</v>
      </c>
      <c r="AB193" s="159" t="n">
        <v>0.4932260639</v>
      </c>
      <c r="AC193" s="159" t="n">
        <v>0.5303906559</v>
      </c>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83" t="inlineStr">
        <is>
          <t>2021-08</t>
        </is>
      </c>
      <c r="B194" s="155" t="n">
        <v>3881.183548</v>
      </c>
      <c r="C194" s="155" t="n">
        <v>136.74</v>
      </c>
      <c r="D194" s="155" t="n">
        <v>744.4299999999999</v>
      </c>
      <c r="E194" s="155" t="n">
        <v>8173.26</v>
      </c>
      <c r="F194" s="152" t="n">
        <v>1.75</v>
      </c>
      <c r="G194" s="152" t="n">
        <v>0.09</v>
      </c>
      <c r="H194" s="152" t="n">
        <v>1.66</v>
      </c>
      <c r="I194" s="156" t="n">
        <v>4852.144199</v>
      </c>
      <c r="J194" s="152" t="n">
        <v>5.280166034</v>
      </c>
      <c r="K194" s="152" t="n">
        <v>113.4025364</v>
      </c>
      <c r="L194" s="152" t="n">
        <v>17.47272727</v>
      </c>
      <c r="M194" s="157" t="n">
        <v>0</v>
      </c>
      <c r="N194" s="155" t="n">
        <v>58846.51</v>
      </c>
      <c r="O194" s="152" t="n">
        <v>277.4090909</v>
      </c>
      <c r="P194" s="152" t="n">
        <v>2.774090909</v>
      </c>
      <c r="Q194" s="156" t="n">
        <v>-186.24</v>
      </c>
      <c r="R194" s="156" t="n">
        <v>-923.8</v>
      </c>
      <c r="S194" s="152" t="n">
        <v>6.207142857</v>
      </c>
      <c r="T194" s="152" t="n">
        <v>2.474761905</v>
      </c>
      <c r="U194" s="152" t="n">
        <v>3.732380952</v>
      </c>
      <c r="V194" s="152" t="n">
        <v>2.578799996</v>
      </c>
      <c r="W194" s="152" t="n">
        <v>1.153580957</v>
      </c>
      <c r="X194" s="158" t="n">
        <v>5.251418182</v>
      </c>
      <c r="Y194" s="158" t="n">
        <v>780.8318227</v>
      </c>
      <c r="Z194" s="158" t="n">
        <v>20.02157</v>
      </c>
      <c r="AA194" s="158" t="n">
        <v>4.087252381</v>
      </c>
      <c r="AB194" s="159" t="n">
        <v>0.5900634574</v>
      </c>
      <c r="AC194" s="159" t="n">
        <v>1.170480312</v>
      </c>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83" t="inlineStr">
        <is>
          <t>2021-09</t>
        </is>
      </c>
      <c r="B195" s="155" t="n">
        <v>3821.537667</v>
      </c>
      <c r="C195" s="155" t="n">
        <v>146.87</v>
      </c>
      <c r="D195" s="155" t="n">
        <v>682.84</v>
      </c>
      <c r="E195" s="155" t="n">
        <v>8203.1</v>
      </c>
      <c r="F195" s="152" t="n">
        <v>1.75</v>
      </c>
      <c r="G195" s="152" t="n">
        <v>0.08</v>
      </c>
      <c r="H195" s="152" t="n">
        <v>1.67</v>
      </c>
      <c r="I195" s="156" t="n">
        <v>-1203.703056</v>
      </c>
      <c r="J195" s="152" t="n">
        <v>4.840944881</v>
      </c>
      <c r="K195" s="152" t="n">
        <v>113.4437476</v>
      </c>
      <c r="L195" s="152" t="n">
        <v>19.8247619</v>
      </c>
      <c r="M195" s="157" t="n">
        <v>0</v>
      </c>
      <c r="N195" s="155" t="n">
        <v>58721.07</v>
      </c>
      <c r="O195" s="152" t="n">
        <v>281.7727273</v>
      </c>
      <c r="P195" s="152" t="n">
        <v>2.817727273</v>
      </c>
      <c r="Q195" s="156" t="n">
        <v>-12.78</v>
      </c>
      <c r="R195" s="156" t="n">
        <v>-1105.8</v>
      </c>
      <c r="S195" s="152" t="n">
        <v>6.493636364</v>
      </c>
      <c r="T195" s="152" t="n">
        <v>2.434545455</v>
      </c>
      <c r="U195" s="152" t="n">
        <v>4.059090909</v>
      </c>
      <c r="V195" s="152" t="n">
        <v>2.5629381</v>
      </c>
      <c r="W195" s="152" t="n">
        <v>1.496152809</v>
      </c>
      <c r="X195" s="158" t="n">
        <v>5.274736364</v>
      </c>
      <c r="Y195" s="158" t="n">
        <v>785.3691227</v>
      </c>
      <c r="Z195" s="158" t="n">
        <v>20.00172864</v>
      </c>
      <c r="AA195" s="158" t="n">
        <v>4.108054545</v>
      </c>
      <c r="AB195" s="159" t="n">
        <v>-0.002236865068</v>
      </c>
      <c r="AC195" s="159" t="n">
        <v>0.1028929765</v>
      </c>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83" t="inlineStr">
        <is>
          <t>2021-10</t>
        </is>
      </c>
      <c r="B196" s="155" t="n">
        <v>3773.384194</v>
      </c>
      <c r="C196" s="155" t="n">
        <v>149.87</v>
      </c>
      <c r="D196" s="155" t="n">
        <v>664.02</v>
      </c>
      <c r="E196" s="155" t="n">
        <v>8220.530000000001</v>
      </c>
      <c r="F196" s="152" t="n">
        <v>2</v>
      </c>
      <c r="G196" s="152" t="n">
        <v>0.08</v>
      </c>
      <c r="H196" s="152" t="n">
        <v>1.92</v>
      </c>
      <c r="I196" s="156" t="n">
        <v>-14353.43524</v>
      </c>
      <c r="J196" s="152" t="n">
        <v>6.25218226</v>
      </c>
      <c r="K196" s="152" t="n">
        <v>114.063485</v>
      </c>
      <c r="L196" s="152" t="n">
        <v>17.87142857</v>
      </c>
      <c r="M196" s="157" t="n">
        <v>0</v>
      </c>
      <c r="N196" s="155" t="n">
        <v>58792</v>
      </c>
      <c r="O196" s="152" t="n">
        <v>290.6190476</v>
      </c>
      <c r="P196" s="152" t="n">
        <v>2.906190476</v>
      </c>
      <c r="Q196" s="156" t="n">
        <v>-62.97</v>
      </c>
      <c r="R196" s="156" t="n">
        <v>-659.72</v>
      </c>
      <c r="S196" s="152" t="n">
        <v>6.8985</v>
      </c>
      <c r="T196" s="152" t="n">
        <v>2.5105</v>
      </c>
      <c r="U196" s="152" t="n">
        <v>4.388</v>
      </c>
      <c r="V196" s="152" t="n">
        <v>2.769164991</v>
      </c>
      <c r="W196" s="152" t="n">
        <v>1.618835009</v>
      </c>
      <c r="X196" s="158" t="n">
        <v>5.538542857</v>
      </c>
      <c r="Y196" s="158" t="n">
        <v>814.2059286</v>
      </c>
      <c r="Z196" s="158" t="n">
        <v>20.45407095</v>
      </c>
      <c r="AA196" s="158" t="n">
        <v>4.01368</v>
      </c>
      <c r="AB196" s="159" t="n">
        <v>1.058561938</v>
      </c>
      <c r="AC196" s="159" t="n">
        <v>0.3289338611</v>
      </c>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83" t="inlineStr">
        <is>
          <t>2021-11</t>
        </is>
      </c>
      <c r="B197" s="155" t="n">
        <v>3902.901</v>
      </c>
      <c r="C197" s="155" t="n">
        <v>151.22</v>
      </c>
      <c r="D197" s="155" t="n">
        <v>817.1900000000001</v>
      </c>
      <c r="E197" s="155" t="n">
        <v>8435.129999999999</v>
      </c>
      <c r="F197" s="152" t="n">
        <v>2.483333333</v>
      </c>
      <c r="G197" s="152" t="n">
        <v>0.08</v>
      </c>
      <c r="H197" s="152" t="n">
        <v>2.403333333</v>
      </c>
      <c r="I197" s="156" t="n">
        <v>-13322.33323</v>
      </c>
      <c r="J197" s="152" t="n">
        <v>6.64429459</v>
      </c>
      <c r="K197" s="152" t="n">
        <v>114.989795</v>
      </c>
      <c r="L197" s="152" t="n">
        <v>18.50047619</v>
      </c>
      <c r="M197" s="157" t="n">
        <v>0</v>
      </c>
      <c r="N197" s="155" t="n">
        <v>58532.09</v>
      </c>
      <c r="O197" s="152" t="n">
        <v>318.1818182</v>
      </c>
      <c r="P197" s="152" t="n">
        <v>3.181818182</v>
      </c>
      <c r="Q197" s="156" t="n">
        <v>139.73</v>
      </c>
      <c r="R197" s="156" t="n">
        <v>-1689.24</v>
      </c>
      <c r="S197" s="152" t="n">
        <v>7.5145</v>
      </c>
      <c r="T197" s="152" t="n">
        <v>2.927</v>
      </c>
      <c r="U197" s="152" t="n">
        <v>4.5875</v>
      </c>
      <c r="V197" s="152" t="n">
        <v>2.96401999</v>
      </c>
      <c r="W197" s="152" t="n">
        <v>1.62348001</v>
      </c>
      <c r="X197" s="158" t="n">
        <v>5.55545</v>
      </c>
      <c r="Y197" s="158" t="n">
        <v>813.5070773</v>
      </c>
      <c r="Z197" s="158" t="n">
        <v>20.79524909</v>
      </c>
      <c r="AA197" s="158" t="n">
        <v>4.020495238</v>
      </c>
      <c r="AB197" s="159" t="n">
        <v>0.112040498</v>
      </c>
      <c r="AC197" s="159" t="n">
        <v>0.1206173851</v>
      </c>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83" t="inlineStr">
        <is>
          <t>2021-12</t>
        </is>
      </c>
      <c r="B198" s="155" t="n">
        <v>3963.133548</v>
      </c>
      <c r="C198" s="155" t="n">
        <v>150.03</v>
      </c>
      <c r="D198" s="155" t="n">
        <v>830.8099999999999</v>
      </c>
      <c r="E198" s="155" t="n">
        <v>8597.24</v>
      </c>
      <c r="F198" s="152" t="n">
        <v>2.693548387</v>
      </c>
      <c r="G198" s="152" t="n">
        <v>0.08</v>
      </c>
      <c r="H198" s="152" t="n">
        <v>2.613548387</v>
      </c>
      <c r="I198" s="156" t="n">
        <v>-15758.37634</v>
      </c>
      <c r="J198" s="152" t="n">
        <v>6.97187551</v>
      </c>
      <c r="K198" s="152" t="n">
        <v>115.8045381</v>
      </c>
      <c r="L198" s="152" t="n">
        <v>21.35454545</v>
      </c>
      <c r="M198" s="157" t="n">
        <v>0</v>
      </c>
      <c r="N198" s="155" t="n">
        <v>58579.2</v>
      </c>
      <c r="O198" s="152" t="n">
        <v>346.5217391</v>
      </c>
      <c r="P198" s="152" t="n">
        <v>3.465217391</v>
      </c>
      <c r="Q198" s="156" t="n">
        <v>-112.93</v>
      </c>
      <c r="R198" s="156" t="n">
        <v>-1059.29</v>
      </c>
      <c r="S198" s="152" t="n">
        <v>7.582</v>
      </c>
      <c r="T198" s="152" t="n">
        <v>2.798421053</v>
      </c>
      <c r="U198" s="152" t="n">
        <v>4.783578947</v>
      </c>
      <c r="V198" s="152" t="n">
        <v>2.734327284</v>
      </c>
      <c r="W198" s="152" t="n">
        <v>2.049251664</v>
      </c>
      <c r="X198" s="158" t="n">
        <v>5.650995652</v>
      </c>
      <c r="Y198" s="158" t="n">
        <v>849.818913</v>
      </c>
      <c r="Z198" s="158" t="n">
        <v>20.83254478</v>
      </c>
      <c r="AA198" s="158" t="n">
        <v>4.036868182</v>
      </c>
      <c r="AB198" s="159" t="n">
        <v>0.6186153737</v>
      </c>
      <c r="AC198" s="159" t="n">
        <v>0.5481672612</v>
      </c>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83" t="inlineStr">
        <is>
          <t>2022-01</t>
        </is>
      </c>
      <c r="B199" s="155" t="n">
        <v>3999.616129</v>
      </c>
      <c r="C199" s="155" t="n">
        <v>161.25</v>
      </c>
      <c r="D199" s="155" t="n">
        <v>664.45</v>
      </c>
      <c r="E199" s="155" t="n">
        <v>8714.07</v>
      </c>
      <c r="F199" s="152" t="n">
        <v>3.032258065</v>
      </c>
      <c r="G199" s="152" t="n">
        <v>0.08</v>
      </c>
      <c r="H199" s="152" t="n">
        <v>2.952258065</v>
      </c>
      <c r="I199" s="156" t="n">
        <v>2448.449004</v>
      </c>
      <c r="J199" s="152" t="n">
        <v>5.215531798</v>
      </c>
      <c r="K199" s="152" t="n">
        <v>115.03728</v>
      </c>
      <c r="L199" s="152" t="n">
        <v>23.181</v>
      </c>
      <c r="M199" s="157" t="n">
        <v>0</v>
      </c>
      <c r="N199" s="155" t="n">
        <v>58264.14</v>
      </c>
      <c r="O199" s="152" t="n">
        <v>355.0952381</v>
      </c>
      <c r="P199" s="152" t="n">
        <v>3.550952381</v>
      </c>
      <c r="Q199" s="156" t="n">
        <v>-32.31</v>
      </c>
      <c r="R199" s="156" t="n">
        <v>-1107.06</v>
      </c>
      <c r="S199" s="152" t="n">
        <v>8.372999999999999</v>
      </c>
      <c r="T199" s="152" t="n">
        <v>2.943</v>
      </c>
      <c r="U199" s="152" t="n">
        <v>5.43</v>
      </c>
      <c r="V199" s="152" t="n">
        <v>2.776670003</v>
      </c>
      <c r="W199" s="152" t="n">
        <v>2.653329997</v>
      </c>
      <c r="X199" s="158" t="n">
        <v>5.533804762</v>
      </c>
      <c r="Y199" s="158" t="n">
        <v>819.8269238</v>
      </c>
      <c r="Z199" s="158" t="n">
        <v>20.45195333</v>
      </c>
      <c r="AA199" s="158" t="n">
        <v>3.888342857</v>
      </c>
      <c r="AB199" s="159" t="n">
        <v>-0.9627257422</v>
      </c>
      <c r="AC199" s="159" t="n">
        <v>-1.473545765</v>
      </c>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83" t="inlineStr">
        <is>
          <t>2022-02</t>
        </is>
      </c>
      <c r="B200" s="155" t="n">
        <v>3935.835714</v>
      </c>
      <c r="C200" s="155" t="n">
        <v>159.72</v>
      </c>
      <c r="D200" s="155" t="n">
        <v>647.26</v>
      </c>
      <c r="E200" s="155" t="n">
        <v>8755.309999999999</v>
      </c>
      <c r="F200" s="152" t="n">
        <v>4</v>
      </c>
      <c r="G200" s="152" t="n">
        <v>0.08</v>
      </c>
      <c r="H200" s="152" t="n">
        <v>3.92</v>
      </c>
      <c r="I200" s="156" t="n">
        <v>-9751.783475</v>
      </c>
      <c r="J200" s="152" t="n">
        <v>5.120245584</v>
      </c>
      <c r="K200" s="152" t="n">
        <v>114.9977421</v>
      </c>
      <c r="L200" s="152" t="n">
        <v>25.74842105</v>
      </c>
      <c r="M200" s="157" t="n">
        <v>0</v>
      </c>
      <c r="N200" s="155" t="n">
        <v>58284.44</v>
      </c>
      <c r="O200" s="152" t="n">
        <v>371.45</v>
      </c>
      <c r="P200" s="152" t="n">
        <v>3.7145</v>
      </c>
      <c r="Q200" s="156" t="n">
        <v>1.95</v>
      </c>
      <c r="R200" s="156" t="n">
        <v>-796.34</v>
      </c>
      <c r="S200" s="152" t="n">
        <v>8.753</v>
      </c>
      <c r="T200" s="152" t="n">
        <v>2.8775</v>
      </c>
      <c r="U200" s="152" t="n">
        <v>5.8755</v>
      </c>
      <c r="V200" s="152" t="n">
        <v>2.824347396</v>
      </c>
      <c r="W200" s="152" t="n">
        <v>3.051152604</v>
      </c>
      <c r="X200" s="158" t="n">
        <v>5.19342</v>
      </c>
      <c r="Y200" s="158" t="n">
        <v>806.89199</v>
      </c>
      <c r="Z200" s="158" t="n">
        <v>20.4117995</v>
      </c>
      <c r="AA200" s="158" t="n">
        <v>3.790945</v>
      </c>
      <c r="AB200" s="159" t="n">
        <v>-0.9022178561999999</v>
      </c>
      <c r="AC200" s="159" t="n">
        <v>-1.18442557</v>
      </c>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83" t="inlineStr">
        <is>
          <t>2022-03</t>
        </is>
      </c>
      <c r="B201" s="155" t="n">
        <v>3807.170968</v>
      </c>
      <c r="C201" s="155" t="n">
        <v>168.92</v>
      </c>
      <c r="D201" s="155" t="n">
        <v>733.95</v>
      </c>
      <c r="E201" s="155" t="n">
        <v>8693.889999999999</v>
      </c>
      <c r="F201" s="152" t="n">
        <v>4</v>
      </c>
      <c r="G201" s="152" t="n">
        <v>0.2</v>
      </c>
      <c r="H201" s="152" t="n">
        <v>3.8</v>
      </c>
      <c r="I201" s="156" t="n">
        <v>-9535.658323</v>
      </c>
      <c r="J201" s="152" t="n">
        <v>5.78623551</v>
      </c>
      <c r="K201" s="152" t="n">
        <v>116.2908391</v>
      </c>
      <c r="L201" s="152" t="n">
        <v>26.96869565</v>
      </c>
      <c r="M201" s="157" t="n">
        <v>0</v>
      </c>
      <c r="N201" s="155" t="n">
        <v>58003.92</v>
      </c>
      <c r="O201" s="152" t="n">
        <v>364.4782609</v>
      </c>
      <c r="P201" s="152" t="n">
        <v>3.644782609</v>
      </c>
      <c r="Q201" s="156" t="n">
        <v>31.09</v>
      </c>
      <c r="R201" s="156" t="n">
        <v>-1198.99</v>
      </c>
      <c r="S201" s="152" t="n">
        <v>9.442272727000001</v>
      </c>
      <c r="T201" s="152" t="n">
        <v>3.193636364</v>
      </c>
      <c r="U201" s="152" t="n">
        <v>6.248636364</v>
      </c>
      <c r="V201" s="152" t="n">
        <v>3.342730429</v>
      </c>
      <c r="W201" s="152" t="n">
        <v>2.905905935</v>
      </c>
      <c r="X201" s="158" t="n">
        <v>4.975517391</v>
      </c>
      <c r="Y201" s="158" t="n">
        <v>798.4104435</v>
      </c>
      <c r="Z201" s="158" t="n">
        <v>20.49295391</v>
      </c>
      <c r="AA201" s="158" t="n">
        <v>3.738621739</v>
      </c>
      <c r="AB201" s="159" t="n">
        <v>-0.5771004569</v>
      </c>
      <c r="AC201" s="159" t="n">
        <v>-0.7099007107</v>
      </c>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83" t="inlineStr">
        <is>
          <t>2022-04</t>
        </is>
      </c>
      <c r="B202" s="155" t="n">
        <v>3792.982</v>
      </c>
      <c r="C202" s="155" t="n">
        <v>174.49</v>
      </c>
      <c r="D202" s="155" t="n">
        <v>754.84</v>
      </c>
      <c r="E202" s="155" t="n">
        <v>8739.57</v>
      </c>
      <c r="F202" s="152" t="n">
        <v>5</v>
      </c>
      <c r="G202" s="152" t="n">
        <v>0.33</v>
      </c>
      <c r="H202" s="152" t="n">
        <v>4.67</v>
      </c>
      <c r="I202" s="156" t="n">
        <v>222.4787016</v>
      </c>
      <c r="J202" s="152" t="n">
        <v>5.387696326</v>
      </c>
      <c r="K202" s="152" t="n">
        <v>117.1687952</v>
      </c>
      <c r="L202" s="152" t="n">
        <v>24.3735</v>
      </c>
      <c r="M202" s="157" t="n">
        <v>0</v>
      </c>
      <c r="N202" s="155" t="n">
        <v>57473.73</v>
      </c>
      <c r="O202" s="152" t="n">
        <v>344.4761905</v>
      </c>
      <c r="P202" s="152" t="n">
        <v>3.444761905</v>
      </c>
      <c r="Q202" s="156" t="n">
        <v>323.79</v>
      </c>
      <c r="R202" s="156" t="n">
        <v>-1836.83</v>
      </c>
      <c r="S202" s="152" t="n">
        <v>9.471052631999999</v>
      </c>
      <c r="T202" s="152" t="n">
        <v>3.439473684</v>
      </c>
      <c r="U202" s="152" t="n">
        <v>6.031578947</v>
      </c>
      <c r="V202" s="152" t="n">
        <v>3.266240025</v>
      </c>
      <c r="W202" s="152" t="n">
        <v>2.765338923</v>
      </c>
      <c r="X202" s="158" t="n">
        <v>4.750071429</v>
      </c>
      <c r="Y202" s="158" t="n">
        <v>818.9242857</v>
      </c>
      <c r="Z202" s="158" t="n">
        <v>20.0125719</v>
      </c>
      <c r="AA202" s="158" t="n">
        <v>3.741005263</v>
      </c>
      <c r="AB202" s="159" t="n">
        <v>-0.4918526605</v>
      </c>
      <c r="AC202" s="159" t="n">
        <v>-0.3536068624</v>
      </c>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83" t="inlineStr">
        <is>
          <t>2022-05</t>
        </is>
      </c>
      <c r="B203" s="155" t="n">
        <v>4019.079355</v>
      </c>
      <c r="C203" s="155" t="n">
        <v>164.26</v>
      </c>
      <c r="D203" s="155" t="n">
        <v>841.09</v>
      </c>
      <c r="E203" s="155" t="n">
        <v>8821.49</v>
      </c>
      <c r="F203" s="152" t="n">
        <v>5.967741935</v>
      </c>
      <c r="G203" s="152" t="n">
        <v>0.77</v>
      </c>
      <c r="H203" s="152" t="n">
        <v>5.197741935</v>
      </c>
      <c r="I203" s="156" t="n">
        <v>-2825.785652</v>
      </c>
      <c r="J203" s="152" t="n">
        <v>5.298016658</v>
      </c>
      <c r="K203" s="152" t="n">
        <v>119.6961905</v>
      </c>
      <c r="L203" s="152" t="n">
        <v>29.31363636</v>
      </c>
      <c r="M203" s="157" t="n">
        <v>0</v>
      </c>
      <c r="N203" s="155" t="n">
        <v>57628.59</v>
      </c>
      <c r="O203" s="152" t="n">
        <v>383.0454545</v>
      </c>
      <c r="P203" s="152" t="n">
        <v>3.830454545</v>
      </c>
      <c r="Q203" s="156" t="n">
        <v>80.43000000000001</v>
      </c>
      <c r="R203" s="156" t="n">
        <v>-1121.92</v>
      </c>
      <c r="S203" s="152" t="n">
        <v>10.70428571</v>
      </c>
      <c r="T203" s="152" t="n">
        <v>3.927619048</v>
      </c>
      <c r="U203" s="152" t="n">
        <v>6.776666667</v>
      </c>
      <c r="V203" s="152" t="n">
        <v>3.010319063</v>
      </c>
      <c r="W203" s="152" t="n">
        <v>3.766347604</v>
      </c>
      <c r="X203" s="158" t="n">
        <v>4.95475</v>
      </c>
      <c r="Y203" s="158" t="n">
        <v>848.2588545</v>
      </c>
      <c r="Z203" s="158" t="n">
        <v>19.97522409</v>
      </c>
      <c r="AA203" s="158" t="n">
        <v>3.757277273</v>
      </c>
      <c r="AB203" s="159" t="n">
        <v>0.6975517018</v>
      </c>
      <c r="AC203" s="159" t="n">
        <v>0.6129228175</v>
      </c>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83" t="inlineStr">
        <is>
          <t>2022-06</t>
        </is>
      </c>
      <c r="B204" s="155" t="n">
        <v>3930.766667</v>
      </c>
      <c r="C204" s="155" t="n">
        <v>194.14</v>
      </c>
      <c r="D204" s="155" t="n">
        <v>821.59</v>
      </c>
      <c r="E204" s="155" t="n">
        <v>8944.07</v>
      </c>
      <c r="F204" s="152" t="n">
        <v>6</v>
      </c>
      <c r="G204" s="152" t="n">
        <v>1.21</v>
      </c>
      <c r="H204" s="152" t="n">
        <v>4.79</v>
      </c>
      <c r="I204" s="156" t="n">
        <v>-13728.02858</v>
      </c>
      <c r="J204" s="152" t="n">
        <v>5.517064225</v>
      </c>
      <c r="K204" s="152" t="n">
        <v>120.0257095</v>
      </c>
      <c r="L204" s="152" t="n">
        <v>28.23318182</v>
      </c>
      <c r="M204" s="157" t="n">
        <v>0</v>
      </c>
      <c r="N204" s="155" t="n">
        <v>57164.46</v>
      </c>
      <c r="O204" s="152" t="n">
        <v>388.7272727</v>
      </c>
      <c r="P204" s="152" t="n">
        <v>3.887272727</v>
      </c>
      <c r="Q204" s="156" t="n">
        <v>140.01</v>
      </c>
      <c r="R204" s="156" t="n">
        <v>-1425.48</v>
      </c>
      <c r="S204" s="152" t="n">
        <v>11.0575</v>
      </c>
      <c r="T204" s="152" t="n">
        <v>4.6795</v>
      </c>
      <c r="U204" s="152" t="n">
        <v>6.378</v>
      </c>
      <c r="V204" s="152" t="n">
        <v>2.863523813</v>
      </c>
      <c r="W204" s="152" t="n">
        <v>3.514476187</v>
      </c>
      <c r="X204" s="158" t="n">
        <v>5.051759091</v>
      </c>
      <c r="Y204" s="158" t="n">
        <v>867.3395318</v>
      </c>
      <c r="Z204" s="158" t="n">
        <v>19.95293318</v>
      </c>
      <c r="AA204" s="158" t="n">
        <v>3.748438095</v>
      </c>
      <c r="AB204" s="159" t="n">
        <v>0.3376256081</v>
      </c>
      <c r="AC204" s="159" t="n">
        <v>0.2083099663</v>
      </c>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83" t="inlineStr">
        <is>
          <t>2022-07</t>
        </is>
      </c>
      <c r="B205" s="155" t="n">
        <v>4367.805806</v>
      </c>
      <c r="C205" s="155" t="n">
        <v>189.5</v>
      </c>
      <c r="D205" s="155" t="n">
        <v>889.45</v>
      </c>
      <c r="E205" s="155" t="n">
        <v>9091.92</v>
      </c>
      <c r="F205" s="152" t="n">
        <v>7.5</v>
      </c>
      <c r="G205" s="152" t="n">
        <v>1.68</v>
      </c>
      <c r="H205" s="152" t="n">
        <v>5.82</v>
      </c>
      <c r="I205" s="156" t="n">
        <v>-6723.770522</v>
      </c>
      <c r="J205" s="152" t="n">
        <v>5.416419004</v>
      </c>
      <c r="K205" s="152" t="n">
        <v>122.7512</v>
      </c>
      <c r="L205" s="152" t="n">
        <v>24.9952381</v>
      </c>
      <c r="M205" s="157" t="n">
        <v>0</v>
      </c>
      <c r="N205" s="155" t="n">
        <v>57349.41</v>
      </c>
      <c r="O205" s="152" t="n">
        <v>437.8571429</v>
      </c>
      <c r="P205" s="152" t="n">
        <v>4.378571429</v>
      </c>
      <c r="Q205" s="156" t="n">
        <v>141.22</v>
      </c>
      <c r="R205" s="156" t="n">
        <v>-1271.19</v>
      </c>
      <c r="S205" s="152" t="n">
        <v>12.09105263</v>
      </c>
      <c r="T205" s="152" t="n">
        <v>5.413684211</v>
      </c>
      <c r="U205" s="152" t="n">
        <v>6.677368421</v>
      </c>
      <c r="V205" s="152" t="n">
        <v>2.532545006</v>
      </c>
      <c r="W205" s="152" t="n">
        <v>4.144823415</v>
      </c>
      <c r="X205" s="158" t="n">
        <v>5.367771429</v>
      </c>
      <c r="Y205" s="158" t="n">
        <v>951.3871381</v>
      </c>
      <c r="Z205" s="158" t="n">
        <v>20.47002476</v>
      </c>
      <c r="AA205" s="158" t="n">
        <v>3.903436842</v>
      </c>
      <c r="AB205" s="159" t="n">
        <v>1.909497503</v>
      </c>
      <c r="AC205" s="159" t="n">
        <v>2.249536018</v>
      </c>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83" t="inlineStr">
        <is>
          <t>2022-08</t>
        </is>
      </c>
      <c r="B206" s="155" t="n">
        <v>4322.469355</v>
      </c>
      <c r="C206" s="155" t="n">
        <v>161.64</v>
      </c>
      <c r="D206" s="155" t="n">
        <v>769.4400000000001</v>
      </c>
      <c r="E206" s="155" t="n">
        <v>9116.93</v>
      </c>
      <c r="F206" s="152" t="n">
        <v>9</v>
      </c>
      <c r="G206" s="152" t="n">
        <v>2.33</v>
      </c>
      <c r="H206" s="152" t="n">
        <v>6.67</v>
      </c>
      <c r="I206" s="156" t="n">
        <v>-9665.237655999999</v>
      </c>
      <c r="J206" s="152" t="n">
        <v>6.403271638</v>
      </c>
      <c r="K206" s="152" t="n">
        <v>122.3177522</v>
      </c>
      <c r="L206" s="152" t="n">
        <v>22.16956522</v>
      </c>
      <c r="M206" s="157" t="n">
        <v>0</v>
      </c>
      <c r="N206" s="155" t="n">
        <v>56982.62</v>
      </c>
      <c r="O206" s="152" t="n">
        <v>400.2608696</v>
      </c>
      <c r="P206" s="152" t="n">
        <v>4.002608696</v>
      </c>
      <c r="Q206" s="156" t="n">
        <v>69.19</v>
      </c>
      <c r="R206" s="156" t="n">
        <v>-1667.9</v>
      </c>
      <c r="S206" s="152" t="n">
        <v>11.66636364</v>
      </c>
      <c r="T206" s="152" t="n">
        <v>5.264545455</v>
      </c>
      <c r="U206" s="152" t="n">
        <v>6.401818182</v>
      </c>
      <c r="V206" s="152" t="n">
        <v>2.704795651</v>
      </c>
      <c r="W206" s="152" t="n">
        <v>3.697022531</v>
      </c>
      <c r="X206" s="158" t="n">
        <v>5.142995652</v>
      </c>
      <c r="Y206" s="158" t="n">
        <v>902.2732696</v>
      </c>
      <c r="Z206" s="158" t="n">
        <v>20.07445652</v>
      </c>
      <c r="AA206" s="158" t="n">
        <v>3.873559091</v>
      </c>
      <c r="AB206" s="159" t="n">
        <v>-1.387121965</v>
      </c>
      <c r="AC206" s="159" t="n">
        <v>-1.19242059</v>
      </c>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83" t="inlineStr">
        <is>
          <t>2022-09</t>
        </is>
      </c>
      <c r="B207" s="155" t="n">
        <v>4433.651</v>
      </c>
      <c r="C207" s="155" t="n">
        <v>171.86</v>
      </c>
      <c r="D207" s="155" t="n">
        <v>750.95</v>
      </c>
      <c r="E207" s="155" t="n">
        <v>9185.040000000001</v>
      </c>
      <c r="F207" s="152" t="n">
        <v>9.033333333</v>
      </c>
      <c r="G207" s="152" t="n">
        <v>2.56</v>
      </c>
      <c r="H207" s="152" t="n">
        <v>6.473333333</v>
      </c>
      <c r="I207" s="156" t="n">
        <v>775.7208097</v>
      </c>
      <c r="J207" s="152" t="n">
        <v>6.268715719</v>
      </c>
      <c r="K207" s="152" t="n">
        <v>125.5946</v>
      </c>
      <c r="L207" s="152" t="n">
        <v>27.34181818</v>
      </c>
      <c r="M207" s="157" t="n">
        <v>0</v>
      </c>
      <c r="N207" s="155" t="n">
        <v>56326.34</v>
      </c>
      <c r="O207" s="152" t="n">
        <v>423.8181818</v>
      </c>
      <c r="P207" s="152" t="n">
        <v>4.238181818</v>
      </c>
      <c r="Q207" s="156" t="n">
        <v>33.19</v>
      </c>
      <c r="R207" s="156" t="n">
        <v>-1808.56</v>
      </c>
      <c r="S207" s="152" t="n">
        <v>12.31909091</v>
      </c>
      <c r="T207" s="152" t="n">
        <v>4.841363636</v>
      </c>
      <c r="U207" s="152" t="n">
        <v>7.477727273</v>
      </c>
      <c r="V207" s="152" t="n">
        <v>2.470857143</v>
      </c>
      <c r="W207" s="152" t="n">
        <v>5.006870129</v>
      </c>
      <c r="X207" s="158" t="n">
        <v>5.236013636</v>
      </c>
      <c r="Y207" s="158" t="n">
        <v>924.6438682</v>
      </c>
      <c r="Z207" s="158" t="n">
        <v>20.01561273</v>
      </c>
      <c r="AA207" s="158" t="n">
        <v>3.898959091</v>
      </c>
      <c r="AB207" s="159" t="n">
        <v>0.3305730855</v>
      </c>
      <c r="AC207" s="159" t="n">
        <v>0.3818507321</v>
      </c>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83" t="inlineStr">
        <is>
          <t>2022-10</t>
        </is>
      </c>
      <c r="B208" s="155" t="n">
        <v>4711.830323</v>
      </c>
      <c r="C208" s="155" t="n">
        <v>169.15</v>
      </c>
      <c r="D208" s="155" t="n">
        <v>894.34</v>
      </c>
      <c r="E208" s="155" t="n">
        <v>9415.360000000001</v>
      </c>
      <c r="F208" s="152" t="n">
        <v>10.03225806</v>
      </c>
      <c r="G208" s="152" t="n">
        <v>3.08</v>
      </c>
      <c r="H208" s="152" t="n">
        <v>6.952258065</v>
      </c>
      <c r="I208" s="156" t="n">
        <v>-7519.731175</v>
      </c>
      <c r="J208" s="152" t="n">
        <v>5.804178868</v>
      </c>
      <c r="K208" s="152" t="n">
        <v>127.480605</v>
      </c>
      <c r="L208" s="152" t="n">
        <v>30.00571429</v>
      </c>
      <c r="M208" s="157" t="n">
        <v>0</v>
      </c>
      <c r="N208" s="155" t="n">
        <v>56380.08</v>
      </c>
      <c r="O208" s="152" t="n">
        <v>470.8571429</v>
      </c>
      <c r="P208" s="152" t="n">
        <v>4.708571429</v>
      </c>
      <c r="Q208" s="156" t="n">
        <v>169.15</v>
      </c>
      <c r="R208" s="156" t="n">
        <v>-1293</v>
      </c>
      <c r="S208" s="152" t="n">
        <v>13.5135</v>
      </c>
      <c r="T208" s="152" t="n">
        <v>5.5105</v>
      </c>
      <c r="U208" s="152" t="n">
        <v>8.003</v>
      </c>
      <c r="V208" s="152" t="n">
        <v>2.443115032</v>
      </c>
      <c r="W208" s="152" t="n">
        <v>5.559884968</v>
      </c>
      <c r="X208" s="158" t="n">
        <v>5.247928571</v>
      </c>
      <c r="Y208" s="158" t="n">
        <v>953.295719</v>
      </c>
      <c r="Z208" s="158" t="n">
        <v>19.95526238</v>
      </c>
      <c r="AA208" s="158" t="n">
        <v>3.979347619</v>
      </c>
      <c r="AB208" s="159" t="n">
        <v>0.2624688373</v>
      </c>
      <c r="AC208" s="159" t="n">
        <v>0.6097906839</v>
      </c>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83" t="inlineStr">
        <is>
          <t>2022-11</t>
        </is>
      </c>
      <c r="B209" s="155" t="n">
        <v>4926.660667</v>
      </c>
      <c r="C209" s="155" t="n">
        <v>168.11</v>
      </c>
      <c r="D209" s="155" t="n">
        <v>812.59</v>
      </c>
      <c r="E209" s="155" t="n">
        <v>9410.76</v>
      </c>
      <c r="F209" s="152" t="n">
        <v>11</v>
      </c>
      <c r="G209" s="152" t="n">
        <v>3.78</v>
      </c>
      <c r="H209" s="152" t="n">
        <v>7.22</v>
      </c>
      <c r="I209" s="156" t="n">
        <v>-5467.725894</v>
      </c>
      <c r="J209" s="152" t="n">
        <v>5.270243754</v>
      </c>
      <c r="K209" s="152" t="n">
        <v>124.85272</v>
      </c>
      <c r="L209" s="152" t="n">
        <v>23.29909091</v>
      </c>
      <c r="M209" s="157" t="n">
        <v>0</v>
      </c>
      <c r="N209" s="155" t="n">
        <v>56981.59</v>
      </c>
      <c r="O209" s="152" t="n">
        <v>416.7272727</v>
      </c>
      <c r="P209" s="152" t="n">
        <v>4.167272727</v>
      </c>
      <c r="Q209" s="156" t="n">
        <v>65.38</v>
      </c>
      <c r="R209" s="156" t="n">
        <v>-775.86</v>
      </c>
      <c r="S209" s="152" t="n">
        <v>13.391</v>
      </c>
      <c r="T209" s="152" t="n">
        <v>5.74</v>
      </c>
      <c r="U209" s="152" t="n">
        <v>7.651</v>
      </c>
      <c r="V209" s="152" t="n">
        <v>2.372730017</v>
      </c>
      <c r="W209" s="152" t="n">
        <v>5.278269983</v>
      </c>
      <c r="X209" s="158" t="n">
        <v>5.269895455</v>
      </c>
      <c r="Y209" s="158" t="n">
        <v>915.3527227</v>
      </c>
      <c r="Z209" s="158" t="n">
        <v>19.42906727</v>
      </c>
      <c r="AA209" s="158" t="n">
        <v>3.87657619</v>
      </c>
      <c r="AB209" s="159" t="n">
        <v>-0.8918695705</v>
      </c>
      <c r="AC209" s="159" t="n">
        <v>-1.192710941</v>
      </c>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83" t="inlineStr">
        <is>
          <t>2022-12</t>
        </is>
      </c>
      <c r="B210" s="155" t="n">
        <v>4788.490645</v>
      </c>
      <c r="C210" s="155" t="n">
        <v>161.8</v>
      </c>
      <c r="D210" s="155" t="n">
        <v>848.88</v>
      </c>
      <c r="E210" s="155" t="n">
        <v>9428.83</v>
      </c>
      <c r="F210" s="152" t="n">
        <v>11.41935484</v>
      </c>
      <c r="G210" s="152" t="n">
        <v>4.1</v>
      </c>
      <c r="H210" s="152" t="n">
        <v>7.319354839</v>
      </c>
      <c r="I210" s="156" t="n">
        <v>-15808.39626</v>
      </c>
      <c r="J210" s="152" t="n">
        <v>5.273643973</v>
      </c>
      <c r="K210" s="152" t="n">
        <v>122.2343286</v>
      </c>
      <c r="L210" s="152" t="n">
        <v>21.78428571</v>
      </c>
      <c r="M210" s="157" t="n">
        <v>0</v>
      </c>
      <c r="N210" s="155" t="n">
        <v>57269.16</v>
      </c>
      <c r="O210" s="152" t="n">
        <v>381.7727273</v>
      </c>
      <c r="P210" s="152" t="n">
        <v>3.817727273</v>
      </c>
      <c r="Q210" s="156" t="n">
        <v>-64.23999999999999</v>
      </c>
      <c r="R210" s="156" t="n">
        <v>-750.34</v>
      </c>
      <c r="S210" s="152" t="n">
        <v>12.722</v>
      </c>
      <c r="T210" s="152" t="n">
        <v>5.3615</v>
      </c>
      <c r="U210" s="152" t="n">
        <v>7.3605</v>
      </c>
      <c r="V210" s="152" t="n">
        <v>2.242285717</v>
      </c>
      <c r="W210" s="152" t="n">
        <v>5.118214283</v>
      </c>
      <c r="X210" s="158" t="n">
        <v>5.242127273</v>
      </c>
      <c r="Y210" s="158" t="n">
        <v>872.4404636</v>
      </c>
      <c r="Z210" s="158" t="n">
        <v>19.54254636</v>
      </c>
      <c r="AA210" s="158" t="n">
        <v>3.828975</v>
      </c>
      <c r="AB210" s="159" t="n">
        <v>-0.6806531827</v>
      </c>
      <c r="AC210" s="159" t="n">
        <v>-0.7565284383999999</v>
      </c>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83" t="inlineStr">
        <is>
          <t>2023-01</t>
        </is>
      </c>
      <c r="B211" s="155" t="n">
        <v>4715.203871</v>
      </c>
      <c r="C211" s="155" t="n">
        <v>160.16</v>
      </c>
      <c r="D211" s="155" t="n">
        <v>785.02</v>
      </c>
      <c r="E211" s="155" t="n">
        <v>9549.4</v>
      </c>
      <c r="F211" s="152" t="n">
        <v>12.0483871</v>
      </c>
      <c r="G211" s="152" t="n">
        <v>4.33</v>
      </c>
      <c r="H211" s="152" t="n">
        <v>7.718387097</v>
      </c>
      <c r="I211" s="156" t="n">
        <v>3235.982625</v>
      </c>
      <c r="J211" s="152" t="n">
        <v>4.838201575</v>
      </c>
      <c r="K211" s="152" t="n">
        <v>119.810065</v>
      </c>
      <c r="L211" s="152" t="n">
        <v>20.16904762</v>
      </c>
      <c r="M211" s="157" t="n">
        <v>0</v>
      </c>
      <c r="N211" s="155" t="n">
        <v>57772.25</v>
      </c>
      <c r="O211" s="152" t="n">
        <v>370.1818182</v>
      </c>
      <c r="P211" s="152" t="n">
        <v>3.701818182</v>
      </c>
      <c r="Q211" s="156" t="n">
        <v>24.05</v>
      </c>
      <c r="R211" s="156" t="n">
        <v>-863.3</v>
      </c>
      <c r="S211" s="152" t="n">
        <v>12.48047619</v>
      </c>
      <c r="T211" s="152" t="n">
        <v>4.881904762</v>
      </c>
      <c r="U211" s="152" t="n">
        <v>7.598571429</v>
      </c>
      <c r="V211" s="152" t="n">
        <v>2.148364985</v>
      </c>
      <c r="W211" s="152" t="n">
        <v>5.450206444</v>
      </c>
      <c r="X211" s="158" t="n">
        <v>5.200381818</v>
      </c>
      <c r="Y211" s="158" t="n">
        <v>825.0718136</v>
      </c>
      <c r="Z211" s="158" t="n">
        <v>18.94156545</v>
      </c>
      <c r="AA211" s="158" t="n">
        <v>3.833804762</v>
      </c>
      <c r="AB211" s="159" t="n">
        <v>-1.246400617</v>
      </c>
      <c r="AC211" s="159" t="n">
        <v>-0.9069825013</v>
      </c>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83" t="inlineStr">
        <is>
          <t>2023-02</t>
        </is>
      </c>
      <c r="B212" s="155" t="n">
        <v>4803.1125</v>
      </c>
      <c r="C212" s="155" t="n">
        <v>162.34</v>
      </c>
      <c r="D212" s="155" t="n">
        <v>832.7</v>
      </c>
      <c r="E212" s="155" t="n">
        <v>9734.84</v>
      </c>
      <c r="F212" s="152" t="n">
        <v>12.75</v>
      </c>
      <c r="G212" s="152" t="n">
        <v>4.57</v>
      </c>
      <c r="H212" s="152" t="n">
        <v>8.18</v>
      </c>
      <c r="I212" s="156" t="n">
        <v>-10208.45713</v>
      </c>
      <c r="J212" s="152" t="n">
        <v>4.866973857</v>
      </c>
      <c r="K212" s="152" t="n">
        <v>120.3083737</v>
      </c>
      <c r="L212" s="152" t="n">
        <v>20.1205</v>
      </c>
      <c r="M212" s="157" t="n">
        <v>0</v>
      </c>
      <c r="N212" s="155" t="n">
        <v>57374.45</v>
      </c>
      <c r="O212" s="152" t="n">
        <v>384.35</v>
      </c>
      <c r="P212" s="152" t="n">
        <v>3.8435</v>
      </c>
      <c r="Q212" s="156" t="n">
        <v>233.94</v>
      </c>
      <c r="R212" s="156" t="n">
        <v>-2243.14</v>
      </c>
      <c r="S212" s="152" t="n">
        <v>12.276</v>
      </c>
      <c r="T212" s="152" t="n">
        <v>4.7675</v>
      </c>
      <c r="U212" s="152" t="n">
        <v>7.5085</v>
      </c>
      <c r="V212" s="152" t="n">
        <v>2.356010537</v>
      </c>
      <c r="W212" s="152" t="n">
        <v>5.152489463</v>
      </c>
      <c r="X212" s="158" t="n">
        <v>5.17434</v>
      </c>
      <c r="Y212" s="158" t="n">
        <v>801.34175</v>
      </c>
      <c r="Z212" s="158" t="n">
        <v>18.553871</v>
      </c>
      <c r="AA212" s="158" t="n">
        <v>3.84146</v>
      </c>
      <c r="AB212" s="159" t="n">
        <v>-0.7604530505</v>
      </c>
      <c r="AC212" s="159" t="n">
        <v>-0.5277546275</v>
      </c>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83" t="inlineStr">
        <is>
          <t>2023-03</t>
        </is>
      </c>
      <c r="B213" s="155" t="n">
        <v>4766.305806</v>
      </c>
      <c r="C213" s="155" t="n">
        <v>153.95</v>
      </c>
      <c r="D213" s="155" t="n">
        <v>858.26</v>
      </c>
      <c r="E213" s="155" t="n">
        <v>9859.15</v>
      </c>
      <c r="F213" s="152" t="n">
        <v>12.75806452</v>
      </c>
      <c r="G213" s="152" t="n">
        <v>4.65</v>
      </c>
      <c r="H213" s="152" t="n">
        <v>8.108064516000001</v>
      </c>
      <c r="I213" s="156" t="n">
        <v>-6830.854038</v>
      </c>
      <c r="J213" s="152" t="n">
        <v>4.69656028</v>
      </c>
      <c r="K213" s="152" t="n">
        <v>120.745013</v>
      </c>
      <c r="L213" s="152" t="n">
        <v>21.64434783</v>
      </c>
      <c r="M213" s="157" t="n">
        <v>0</v>
      </c>
      <c r="N213" s="155" t="n">
        <v>57965.68</v>
      </c>
      <c r="O213" s="152" t="n">
        <v>411.6086957</v>
      </c>
      <c r="P213" s="152" t="n">
        <v>4.116086957</v>
      </c>
      <c r="Q213" s="156" t="n">
        <v>190.55</v>
      </c>
      <c r="R213" s="156" t="n">
        <v>-1189.17</v>
      </c>
      <c r="S213" s="152" t="n">
        <v>12.01681818</v>
      </c>
      <c r="T213" s="152" t="n">
        <v>4.716363636</v>
      </c>
      <c r="U213" s="152" t="n">
        <v>7.300454545</v>
      </c>
      <c r="V213" s="152" t="n">
        <v>2.337921733</v>
      </c>
      <c r="W213" s="152" t="n">
        <v>4.962532812</v>
      </c>
      <c r="X213" s="158" t="n">
        <v>5.21116087</v>
      </c>
      <c r="Y213" s="158" t="n">
        <v>807.3986695999999</v>
      </c>
      <c r="Z213" s="158" t="n">
        <v>18.32991217</v>
      </c>
      <c r="AA213" s="158" t="n">
        <v>3.77916087</v>
      </c>
      <c r="AB213" s="159" t="n">
        <v>-0.08988140565</v>
      </c>
      <c r="AC213" s="159" t="n">
        <v>-0.3938080883</v>
      </c>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83" t="inlineStr">
        <is>
          <t>2023-04</t>
        </is>
      </c>
      <c r="B214" s="155" t="n">
        <v>4542.674333</v>
      </c>
      <c r="C214" s="155" t="n">
        <v>155.74</v>
      </c>
      <c r="D214" s="155" t="n">
        <v>736.74</v>
      </c>
      <c r="E214" s="155" t="n">
        <v>9841.049999999999</v>
      </c>
      <c r="F214" s="152" t="n">
        <v>13</v>
      </c>
      <c r="G214" s="152" t="n">
        <v>4.83</v>
      </c>
      <c r="H214" s="152" t="n">
        <v>8.17</v>
      </c>
      <c r="I214" s="156" t="n">
        <v>6253.650288</v>
      </c>
      <c r="J214" s="152" t="n">
        <v>4.316572151</v>
      </c>
      <c r="K214" s="152" t="n">
        <v>119.245145</v>
      </c>
      <c r="L214" s="152" t="n">
        <v>17.81789474</v>
      </c>
      <c r="M214" s="157" t="n">
        <v>0</v>
      </c>
      <c r="N214" s="155" t="n">
        <v>58022.63</v>
      </c>
      <c r="O214" s="152" t="n">
        <v>402.15</v>
      </c>
      <c r="P214" s="152" t="n">
        <v>4.0215</v>
      </c>
      <c r="Q214" s="156" t="n">
        <v>178.75</v>
      </c>
      <c r="R214" s="156" t="n">
        <v>-1248.04</v>
      </c>
      <c r="S214" s="152" t="n">
        <v>11.25</v>
      </c>
      <c r="T214" s="152" t="n">
        <v>4.388888889</v>
      </c>
      <c r="U214" s="152" t="n">
        <v>6.861111111</v>
      </c>
      <c r="V214" s="152" t="n">
        <v>2.276825011</v>
      </c>
      <c r="W214" s="152" t="n">
        <v>4.5842861</v>
      </c>
      <c r="X214" s="158" t="n">
        <v>5.02336</v>
      </c>
      <c r="Y214" s="158" t="n">
        <v>804.97701</v>
      </c>
      <c r="Z214" s="158" t="n">
        <v>18.057974</v>
      </c>
      <c r="AA214" s="158" t="n">
        <v>3.76545</v>
      </c>
      <c r="AB214" s="159" t="n">
        <v>-0.6531090346</v>
      </c>
      <c r="AC214" s="159" t="n">
        <v>-0.5604717403</v>
      </c>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83" t="inlineStr">
        <is>
          <t>2023-05</t>
        </is>
      </c>
      <c r="B215" s="155" t="n">
        <v>4540.089032</v>
      </c>
      <c r="C215" s="155" t="n">
        <v>152.75</v>
      </c>
      <c r="D215" s="155" t="n">
        <v>877.1799999999999</v>
      </c>
      <c r="E215" s="155" t="n">
        <v>9877.139999999999</v>
      </c>
      <c r="F215" s="152" t="n">
        <v>13.24193548</v>
      </c>
      <c r="G215" s="152" t="n">
        <v>5.06</v>
      </c>
      <c r="H215" s="152" t="n">
        <v>8.181935484</v>
      </c>
      <c r="I215" s="156" t="n">
        <v>358.2410622</v>
      </c>
      <c r="J215" s="152" t="n">
        <v>4.115965629</v>
      </c>
      <c r="K215" s="152" t="n">
        <v>119.6292545</v>
      </c>
      <c r="L215" s="152" t="n">
        <v>17.63608696</v>
      </c>
      <c r="M215" s="157" t="n">
        <v>0</v>
      </c>
      <c r="N215" s="155" t="n">
        <v>57705.75</v>
      </c>
      <c r="O215" s="152" t="n">
        <v>412.7391304</v>
      </c>
      <c r="P215" s="152" t="n">
        <v>4.127391304</v>
      </c>
      <c r="Q215" s="156" t="n">
        <v>158.92</v>
      </c>
      <c r="R215" s="156" t="n">
        <v>-1985.55</v>
      </c>
      <c r="S215" s="152" t="n">
        <v>11.05095238</v>
      </c>
      <c r="T215" s="152" t="n">
        <v>4.444285714</v>
      </c>
      <c r="U215" s="152" t="n">
        <v>6.606666667</v>
      </c>
      <c r="V215" s="152" t="n">
        <v>2.15348636</v>
      </c>
      <c r="W215" s="152" t="n">
        <v>4.453180306</v>
      </c>
      <c r="X215" s="158" t="n">
        <v>4.983313043</v>
      </c>
      <c r="Y215" s="158" t="n">
        <v>799.3510783</v>
      </c>
      <c r="Z215" s="158" t="n">
        <v>17.70276217</v>
      </c>
      <c r="AA215" s="158" t="n">
        <v>3.688668182</v>
      </c>
      <c r="AB215" s="159" t="n">
        <v>-0.5011104434</v>
      </c>
      <c r="AC215" s="159" t="n">
        <v>-0.7877390397</v>
      </c>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83" t="inlineStr">
        <is>
          <t>2023-06</t>
        </is>
      </c>
      <c r="B216" s="155" t="n">
        <v>4209.268</v>
      </c>
      <c r="C216" s="155" t="n">
        <v>149</v>
      </c>
      <c r="D216" s="155" t="n">
        <v>783.48</v>
      </c>
      <c r="E216" s="155" t="n">
        <v>9839.030000000001</v>
      </c>
      <c r="F216" s="152" t="n">
        <v>13.25</v>
      </c>
      <c r="G216" s="152" t="n">
        <v>5.08</v>
      </c>
      <c r="H216" s="152" t="n">
        <v>8.17</v>
      </c>
      <c r="I216" s="156" t="n">
        <v>-6250.657965</v>
      </c>
      <c r="J216" s="152" t="n">
        <v>3.64486113</v>
      </c>
      <c r="K216" s="152" t="n">
        <v>119.2969524</v>
      </c>
      <c r="L216" s="152" t="n">
        <v>14.00318182</v>
      </c>
      <c r="M216" s="157" t="n">
        <v>0</v>
      </c>
      <c r="N216" s="155" t="n">
        <v>57838.77</v>
      </c>
      <c r="O216" s="152" t="n">
        <v>366.5909091</v>
      </c>
      <c r="P216" s="152" t="n">
        <v>3.665909091</v>
      </c>
      <c r="Q216" s="156" t="n">
        <v>148.37</v>
      </c>
      <c r="R216" s="156" t="n">
        <v>-1489.36</v>
      </c>
      <c r="S216" s="152" t="n">
        <v>10.3245</v>
      </c>
      <c r="T216" s="152" t="n">
        <v>4.235</v>
      </c>
      <c r="U216" s="152" t="n">
        <v>6.0895</v>
      </c>
      <c r="V216" s="152" t="n">
        <v>2.138395241</v>
      </c>
      <c r="W216" s="152" t="n">
        <v>3.951104759</v>
      </c>
      <c r="X216" s="158" t="n">
        <v>4.854009091</v>
      </c>
      <c r="Y216" s="158" t="n">
        <v>799.5101955</v>
      </c>
      <c r="Z216" s="158" t="n">
        <v>17.20136636</v>
      </c>
      <c r="AA216" s="158" t="n">
        <v>3.650419048</v>
      </c>
      <c r="AB216" s="159" t="n">
        <v>-0.6834579742</v>
      </c>
      <c r="AC216" s="159" t="n">
        <v>-0.7197794472</v>
      </c>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83" t="inlineStr">
        <is>
          <t>2023-07</t>
        </is>
      </c>
      <c r="B217" s="155" t="n">
        <v>4069.233548</v>
      </c>
      <c r="C217" s="155" t="n">
        <v>148.93</v>
      </c>
      <c r="D217" s="155" t="n">
        <v>761.61</v>
      </c>
      <c r="E217" s="155" t="n">
        <v>9711.190000000001</v>
      </c>
      <c r="F217" s="152" t="n">
        <v>13.25</v>
      </c>
      <c r="G217" s="152" t="n">
        <v>5.12</v>
      </c>
      <c r="H217" s="152" t="n">
        <v>8.130000000000001</v>
      </c>
      <c r="I217" s="156" t="n">
        <v>-926.8154562</v>
      </c>
      <c r="J217" s="152" t="n">
        <v>3.279629586</v>
      </c>
      <c r="K217" s="152" t="n">
        <v>118.049165</v>
      </c>
      <c r="L217" s="152" t="n">
        <v>13.93238095</v>
      </c>
      <c r="M217" s="157" t="n">
        <v>0</v>
      </c>
      <c r="N217" s="155" t="n">
        <v>58111.93</v>
      </c>
      <c r="O217" s="152" t="n">
        <v>340</v>
      </c>
      <c r="P217" s="152" t="n">
        <v>3.4</v>
      </c>
      <c r="Q217" s="156" t="n">
        <v>83.7</v>
      </c>
      <c r="R217" s="156" t="n">
        <v>-1407.5</v>
      </c>
      <c r="S217" s="152" t="n">
        <v>9.929473684</v>
      </c>
      <c r="T217" s="152" t="n">
        <v>4.093157895</v>
      </c>
      <c r="U217" s="152" t="n">
        <v>5.836315789</v>
      </c>
      <c r="V217" s="152" t="n">
        <v>2.202724981</v>
      </c>
      <c r="W217" s="152" t="n">
        <v>3.633590808</v>
      </c>
      <c r="X217" s="158" t="n">
        <v>4.800533333</v>
      </c>
      <c r="Y217" s="158" t="n">
        <v>815.0168905</v>
      </c>
      <c r="Z217" s="158" t="n">
        <v>16.86173762</v>
      </c>
      <c r="AA217" s="158" t="n">
        <v>3.601255</v>
      </c>
      <c r="AB217" s="159" t="n">
        <v>-0.202625797</v>
      </c>
      <c r="AC217" s="159" t="n">
        <v>-0.4222317561</v>
      </c>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83" t="inlineStr">
        <is>
          <t>2023-08</t>
        </is>
      </c>
      <c r="B218" s="155" t="n">
        <v>4070.725161</v>
      </c>
      <c r="C218" s="155" t="n">
        <v>158.2</v>
      </c>
      <c r="D218" s="155" t="n">
        <v>887.76</v>
      </c>
      <c r="E218" s="155" t="n">
        <v>9829.51</v>
      </c>
      <c r="F218" s="152" t="n">
        <v>13.25</v>
      </c>
      <c r="G218" s="152" t="n">
        <v>5.33</v>
      </c>
      <c r="H218" s="152" t="n">
        <v>7.92</v>
      </c>
      <c r="I218" s="156" t="n">
        <v>-4986.281174</v>
      </c>
      <c r="J218" s="152" t="n">
        <v>2.984836461</v>
      </c>
      <c r="K218" s="152" t="n">
        <v>119.8563478</v>
      </c>
      <c r="L218" s="152" t="n">
        <v>15.85391304</v>
      </c>
      <c r="M218" s="157" t="n">
        <v>0</v>
      </c>
      <c r="N218" s="155" t="n">
        <v>57944.58</v>
      </c>
      <c r="O218" s="152" t="n">
        <v>323.7826087</v>
      </c>
      <c r="P218" s="152" t="n">
        <v>3.237826087</v>
      </c>
      <c r="Q218" s="156" t="n">
        <v>86.16</v>
      </c>
      <c r="R218" s="156" t="n">
        <v>-2102.61</v>
      </c>
      <c r="S218" s="152" t="n">
        <v>10.26809524</v>
      </c>
      <c r="T218" s="152" t="n">
        <v>4.414761905</v>
      </c>
      <c r="U218" s="152" t="n">
        <v>5.853333333</v>
      </c>
      <c r="V218" s="152" t="n">
        <v>2.23587825</v>
      </c>
      <c r="W218" s="152" t="n">
        <v>3.617455083</v>
      </c>
      <c r="X218" s="158" t="n">
        <v>4.90323913</v>
      </c>
      <c r="Y218" s="158" t="n">
        <v>856.5443609</v>
      </c>
      <c r="Z218" s="158" t="n">
        <v>16.93789391</v>
      </c>
      <c r="AA218" s="158" t="n">
        <v>3.697768182</v>
      </c>
      <c r="AB218" s="159" t="n">
        <v>0.7637915181</v>
      </c>
      <c r="AC218" s="159" t="n">
        <v>1.107241663</v>
      </c>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83" t="inlineStr">
        <is>
          <t>2023-09</t>
        </is>
      </c>
      <c r="B219" s="155" t="n">
        <v>4004.520667</v>
      </c>
      <c r="C219" s="155" t="n">
        <v>158.88</v>
      </c>
      <c r="D219" s="155" t="n">
        <v>881.47</v>
      </c>
      <c r="E219" s="155" t="n">
        <v>9960.030000000001</v>
      </c>
      <c r="F219" s="152" t="n">
        <v>13.25</v>
      </c>
      <c r="G219" s="152" t="n">
        <v>5.33</v>
      </c>
      <c r="H219" s="152" t="n">
        <v>7.92</v>
      </c>
      <c r="I219" s="156" t="n">
        <v>-4435.154069</v>
      </c>
      <c r="J219" s="152" t="n">
        <v>3.31314259</v>
      </c>
      <c r="K219" s="152" t="n">
        <v>121.64553</v>
      </c>
      <c r="L219" s="152" t="n">
        <v>15.17333333</v>
      </c>
      <c r="M219" s="157" t="n">
        <v>0</v>
      </c>
      <c r="N219" s="155" t="n">
        <v>57566.19</v>
      </c>
      <c r="O219" s="152" t="n">
        <v>329.8571429</v>
      </c>
      <c r="P219" s="152" t="n">
        <v>3.298571429</v>
      </c>
      <c r="Q219" s="156" t="n">
        <v>50.06</v>
      </c>
      <c r="R219" s="156" t="n">
        <v>-2013.26</v>
      </c>
      <c r="S219" s="152" t="n">
        <v>10.80095238</v>
      </c>
      <c r="T219" s="152" t="n">
        <v>4.553333333</v>
      </c>
      <c r="U219" s="152" t="n">
        <v>6.247619048</v>
      </c>
      <c r="V219" s="152" t="n">
        <v>2.266419995</v>
      </c>
      <c r="W219" s="152" t="n">
        <v>3.981199053</v>
      </c>
      <c r="X219" s="158" t="n">
        <v>4.938557143</v>
      </c>
      <c r="Y219" s="158" t="n">
        <v>886.6047619</v>
      </c>
      <c r="Z219" s="158" t="n">
        <v>17.25992476</v>
      </c>
      <c r="AA219" s="158" t="n">
        <v>3.730995238</v>
      </c>
      <c r="AB219" s="159" t="n">
        <v>0.6182965181</v>
      </c>
      <c r="AC219" s="159" t="n">
        <v>0.6461100967</v>
      </c>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83" t="inlineStr">
        <is>
          <t>2023-10</t>
        </is>
      </c>
      <c r="B220" s="155" t="n">
        <v>4222.433226</v>
      </c>
      <c r="C220" s="155" t="n">
        <v>157.26</v>
      </c>
      <c r="D220" s="155" t="n">
        <v>885.75</v>
      </c>
      <c r="E220" s="155" t="n">
        <v>9951.440000000001</v>
      </c>
      <c r="F220" s="152" t="n">
        <v>13.25</v>
      </c>
      <c r="G220" s="152" t="n">
        <v>5.33</v>
      </c>
      <c r="H220" s="152" t="n">
        <v>7.92</v>
      </c>
      <c r="I220" s="156" t="n">
        <v>-13240.80264</v>
      </c>
      <c r="J220" s="152" t="n">
        <v>3.673593161</v>
      </c>
      <c r="K220" s="152" t="n">
        <v>123.4971476</v>
      </c>
      <c r="L220" s="152" t="n">
        <v>18.88772727</v>
      </c>
      <c r="M220" s="157" t="n">
        <v>0</v>
      </c>
      <c r="N220" s="155" t="n">
        <v>57447.16</v>
      </c>
      <c r="O220" s="152" t="n">
        <v>346.0909091</v>
      </c>
      <c r="P220" s="152" t="n">
        <v>3.460909091</v>
      </c>
      <c r="Q220" s="156" t="n">
        <v>241.67</v>
      </c>
      <c r="R220" s="156" t="n">
        <v>-2383.93</v>
      </c>
      <c r="S220" s="152" t="n">
        <v>11.50904762</v>
      </c>
      <c r="T220" s="152" t="n">
        <v>4.767142857</v>
      </c>
      <c r="U220" s="152" t="n">
        <v>6.741904762</v>
      </c>
      <c r="V220" s="152" t="n">
        <v>2.271980933</v>
      </c>
      <c r="W220" s="152" t="n">
        <v>4.469923829</v>
      </c>
      <c r="X220" s="158" t="n">
        <v>5.06385</v>
      </c>
      <c r="Y220" s="158" t="n">
        <v>925.0958909</v>
      </c>
      <c r="Z220" s="158" t="n">
        <v>17.99809364</v>
      </c>
      <c r="AA220" s="158" t="n">
        <v>3.845759091</v>
      </c>
      <c r="AB220" s="159" t="n">
        <v>1.15661039</v>
      </c>
      <c r="AC220" s="159" t="n">
        <v>1.479270261</v>
      </c>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83" t="inlineStr">
        <is>
          <t>2023-11</t>
        </is>
      </c>
      <c r="B221" s="155" t="n">
        <v>4038.804667</v>
      </c>
      <c r="C221" s="155" t="n">
        <v>143.02</v>
      </c>
      <c r="D221" s="155" t="n">
        <v>886.9</v>
      </c>
      <c r="E221" s="155" t="n">
        <v>10025.75</v>
      </c>
      <c r="F221" s="152" t="n">
        <v>13.25</v>
      </c>
      <c r="G221" s="152" t="n">
        <v>5.33</v>
      </c>
      <c r="H221" s="152" t="n">
        <v>7.92</v>
      </c>
      <c r="I221" s="156" t="n">
        <v>-13022.02769</v>
      </c>
      <c r="J221" s="152" t="n">
        <v>4.149544635</v>
      </c>
      <c r="K221" s="152" t="n">
        <v>121.22212</v>
      </c>
      <c r="L221" s="152" t="n">
        <v>14.01909091</v>
      </c>
      <c r="M221" s="157" t="n">
        <v>0</v>
      </c>
      <c r="N221" s="155" t="n">
        <v>58592.27</v>
      </c>
      <c r="O221" s="152" t="n">
        <v>312.4545455</v>
      </c>
      <c r="P221" s="152" t="n">
        <v>3.124545455</v>
      </c>
      <c r="Q221" s="156" t="n">
        <v>158.26</v>
      </c>
      <c r="R221" s="156" t="n">
        <v>-407.12</v>
      </c>
      <c r="S221" s="152" t="n">
        <v>10.501</v>
      </c>
      <c r="T221" s="152" t="n">
        <v>4.4805</v>
      </c>
      <c r="U221" s="152" t="n">
        <v>6.0205</v>
      </c>
      <c r="V221" s="152" t="n">
        <v>2.179876169</v>
      </c>
      <c r="W221" s="152" t="n">
        <v>3.840623831</v>
      </c>
      <c r="X221" s="158" t="n">
        <v>4.902168182</v>
      </c>
      <c r="Y221" s="158" t="n">
        <v>885.2386182</v>
      </c>
      <c r="Z221" s="158" t="n">
        <v>17.34034182</v>
      </c>
      <c r="AA221" s="158" t="n">
        <v>3.760795238</v>
      </c>
      <c r="AB221" s="159" t="n">
        <v>-1.393411098</v>
      </c>
      <c r="AC221" s="159" t="n">
        <v>-1.491934563</v>
      </c>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83" t="inlineStr">
        <is>
          <t>2023-12</t>
        </is>
      </c>
      <c r="B222" s="155" t="n">
        <v>3948.206774</v>
      </c>
      <c r="C222" s="155" t="n">
        <v>148.74</v>
      </c>
      <c r="D222" s="155" t="n">
        <v>914.21</v>
      </c>
      <c r="E222" s="155" t="n">
        <v>10091.08</v>
      </c>
      <c r="F222" s="152" t="n">
        <v>13.15322581</v>
      </c>
      <c r="G222" s="152" t="n">
        <v>5.33</v>
      </c>
      <c r="H222" s="152" t="n">
        <v>7.823225806</v>
      </c>
      <c r="I222" s="156" t="n">
        <v>-16863.47586</v>
      </c>
      <c r="J222" s="152" t="n">
        <v>4.216018904</v>
      </c>
      <c r="K222" s="152" t="n">
        <v>119.83314</v>
      </c>
      <c r="L222" s="152" t="n">
        <v>12.7185</v>
      </c>
      <c r="M222" s="157" t="n">
        <v>0</v>
      </c>
      <c r="N222" s="155" t="n">
        <v>59608.32</v>
      </c>
      <c r="O222" s="152" t="n">
        <v>289.2380952</v>
      </c>
      <c r="P222" s="152" t="n">
        <v>2.892380952</v>
      </c>
      <c r="Q222" s="156" t="n">
        <v>81.25</v>
      </c>
      <c r="R222" s="156" t="n">
        <v>-731.25</v>
      </c>
      <c r="S222" s="152" t="n">
        <v>9.975</v>
      </c>
      <c r="T222" s="152" t="n">
        <v>4.119444444</v>
      </c>
      <c r="U222" s="152" t="n">
        <v>5.855555556</v>
      </c>
      <c r="V222" s="152" t="n">
        <v>2.079309988</v>
      </c>
      <c r="W222" s="152" t="n">
        <v>3.776245568</v>
      </c>
      <c r="X222" s="158" t="n">
        <v>4.895261905</v>
      </c>
      <c r="Y222" s="158" t="n">
        <v>875.7559143</v>
      </c>
      <c r="Z222" s="158" t="n">
        <v>17.1358319</v>
      </c>
      <c r="AA222" s="158" t="n">
        <v>3.733942105</v>
      </c>
      <c r="AB222" s="159" t="n">
        <v>-0.3922472592</v>
      </c>
      <c r="AC222" s="159" t="n">
        <v>-0.4358506351</v>
      </c>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83" t="inlineStr">
        <is>
          <t>2024-01</t>
        </is>
      </c>
      <c r="B223" s="155" t="n">
        <v>3915.19871</v>
      </c>
      <c r="C223" s="155" t="n">
        <v>151.86</v>
      </c>
      <c r="D223" s="155" t="n">
        <v>912.79</v>
      </c>
      <c r="E223" s="155" t="n">
        <v>10218.85</v>
      </c>
      <c r="F223" s="152" t="n">
        <v>13</v>
      </c>
      <c r="G223" s="152" t="n">
        <v>5.33</v>
      </c>
      <c r="H223" s="152" t="n">
        <v>7.67</v>
      </c>
      <c r="I223" s="156" t="n">
        <v>-1386.781896</v>
      </c>
      <c r="J223" s="152" t="n">
        <v>4.175494571</v>
      </c>
      <c r="K223" s="152" t="n">
        <v>120.2273571</v>
      </c>
      <c r="L223" s="152" t="n">
        <v>13.38863636</v>
      </c>
      <c r="M223" s="157" t="n">
        <v>0</v>
      </c>
      <c r="N223" s="155" t="n">
        <v>59653.73</v>
      </c>
      <c r="O223" s="152" t="n">
        <v>302.6956522</v>
      </c>
      <c r="P223" s="152" t="n">
        <v>3.026956522</v>
      </c>
      <c r="Q223" s="156" t="n">
        <v>212.29</v>
      </c>
      <c r="R223" s="156" t="n">
        <v>-2148.5</v>
      </c>
      <c r="S223" s="152" t="n">
        <v>9.345238094999999</v>
      </c>
      <c r="T223" s="152" t="n">
        <v>3.871904762</v>
      </c>
      <c r="U223" s="152" t="n">
        <v>5.473333333</v>
      </c>
      <c r="V223" s="152" t="n">
        <v>2.171176195</v>
      </c>
      <c r="W223" s="152" t="n">
        <v>3.302157138</v>
      </c>
      <c r="X223" s="158" t="n">
        <v>4.910917391</v>
      </c>
      <c r="Y223" s="158" t="n">
        <v>910.1408478</v>
      </c>
      <c r="Z223" s="158" t="n">
        <v>17.04017522</v>
      </c>
      <c r="AA223" s="158" t="n">
        <v>3.740742857</v>
      </c>
      <c r="AB223" s="159" t="n">
        <v>0.3397757829</v>
      </c>
      <c r="AC223" s="159" t="n">
        <v>0.2938950627</v>
      </c>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83" t="inlineStr">
        <is>
          <t>2024-02</t>
        </is>
      </c>
      <c r="B224" s="155" t="n">
        <v>3931.438621</v>
      </c>
      <c r="C224" s="155" t="n">
        <v>151.07</v>
      </c>
      <c r="D224" s="155" t="n">
        <v>913.9299999999999</v>
      </c>
      <c r="E224" s="155" t="n">
        <v>10300.08</v>
      </c>
      <c r="F224" s="152" t="n">
        <v>12.75</v>
      </c>
      <c r="G224" s="152" t="n">
        <v>5.33</v>
      </c>
      <c r="H224" s="152" t="n">
        <v>7.42</v>
      </c>
      <c r="I224" s="156" t="n">
        <v>-12856.69828</v>
      </c>
      <c r="J224" s="152" t="n">
        <v>4.330062739</v>
      </c>
      <c r="K224" s="152" t="n">
        <v>121.06594</v>
      </c>
      <c r="L224" s="152" t="n">
        <v>13.98047619</v>
      </c>
      <c r="M224" s="157" t="n">
        <v>0</v>
      </c>
      <c r="N224" s="155" t="n">
        <v>59463.56</v>
      </c>
      <c r="O224" s="152" t="n">
        <v>309.0952381</v>
      </c>
      <c r="P224" s="152" t="n">
        <v>3.090952381</v>
      </c>
      <c r="Q224" s="156" t="n">
        <v>238.64</v>
      </c>
      <c r="R224" s="156" t="n">
        <v>-2663.26</v>
      </c>
      <c r="S224" s="152" t="n">
        <v>9.27</v>
      </c>
      <c r="T224" s="152" t="n">
        <v>3.984761905</v>
      </c>
      <c r="U224" s="152" t="n">
        <v>5.285238095</v>
      </c>
      <c r="V224" s="152" t="n">
        <v>2.264555013</v>
      </c>
      <c r="W224" s="152" t="n">
        <v>3.020683082</v>
      </c>
      <c r="X224" s="158" t="n">
        <v>4.964785714</v>
      </c>
      <c r="Y224" s="158" t="n">
        <v>965.8012095</v>
      </c>
      <c r="Z224" s="158" t="n">
        <v>17.07062048</v>
      </c>
      <c r="AA224" s="158" t="n">
        <v>3.827938095</v>
      </c>
      <c r="AB224" s="159" t="n">
        <v>0.7585337697</v>
      </c>
      <c r="AC224" s="159" t="n">
        <v>1.034813723</v>
      </c>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83" t="inlineStr">
        <is>
          <t>2024-03</t>
        </is>
      </c>
      <c r="B225" s="155" t="n">
        <v>3899.34129</v>
      </c>
      <c r="C225" s="155" t="n">
        <v>152.47</v>
      </c>
      <c r="D225" s="155" t="n">
        <v>894.05</v>
      </c>
      <c r="E225" s="155" t="n">
        <v>10335.87</v>
      </c>
      <c r="F225" s="152" t="n">
        <v>12.65322581</v>
      </c>
      <c r="G225" s="152" t="n">
        <v>5.33</v>
      </c>
      <c r="H225" s="152" t="n">
        <v>7.323225806</v>
      </c>
      <c r="I225" s="156" t="n">
        <v>-2100.702934</v>
      </c>
      <c r="J225" s="152" t="n">
        <v>4.053981088</v>
      </c>
      <c r="K225" s="152" t="n">
        <v>120.6588333</v>
      </c>
      <c r="L225" s="152" t="n">
        <v>13.7875</v>
      </c>
      <c r="M225" s="157" t="n">
        <v>0</v>
      </c>
      <c r="N225" s="155" t="n">
        <v>59994.63</v>
      </c>
      <c r="O225" s="152" t="n">
        <v>295.5714286</v>
      </c>
      <c r="P225" s="152" t="n">
        <v>2.955714286</v>
      </c>
      <c r="Q225" s="156" t="n">
        <v>106.99</v>
      </c>
      <c r="R225" s="156" t="n">
        <v>-1353.85</v>
      </c>
      <c r="S225" s="152" t="n">
        <v>9.515555556000001</v>
      </c>
      <c r="T225" s="152" t="n">
        <v>4.392222222</v>
      </c>
      <c r="U225" s="152" t="n">
        <v>5.123333333</v>
      </c>
      <c r="V225" s="152" t="n">
        <v>2.317689991</v>
      </c>
      <c r="W225" s="152" t="n">
        <v>2.805643342</v>
      </c>
      <c r="X225" s="158" t="n">
        <v>4.9806</v>
      </c>
      <c r="Y225" s="158" t="n">
        <v>969.6888</v>
      </c>
      <c r="Z225" s="158" t="n">
        <v>16.73718857</v>
      </c>
      <c r="AA225" s="158" t="n">
        <v>3.708989474</v>
      </c>
      <c r="AB225" s="159" t="n">
        <v>-0.2600426789</v>
      </c>
      <c r="AC225" s="159" t="n">
        <v>-0.827477887</v>
      </c>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83" t="inlineStr">
        <is>
          <t>2024-04</t>
        </is>
      </c>
      <c r="B226" s="155" t="n">
        <v>3867.975333</v>
      </c>
      <c r="C226" s="155" t="n">
        <v>156.2</v>
      </c>
      <c r="D226" s="155" t="n">
        <v>929.39</v>
      </c>
      <c r="E226" s="155" t="n">
        <v>10528.52</v>
      </c>
      <c r="F226" s="152" t="n">
        <v>12.25</v>
      </c>
      <c r="G226" s="152" t="n">
        <v>5.33</v>
      </c>
      <c r="H226" s="152" t="n">
        <v>6.92</v>
      </c>
      <c r="I226" s="156" t="n">
        <v>-18621.39771</v>
      </c>
      <c r="J226" s="152" t="n">
        <v>5.505846826</v>
      </c>
      <c r="K226" s="152" t="n">
        <v>122.1428136</v>
      </c>
      <c r="L226" s="152" t="n">
        <v>16.13772727</v>
      </c>
      <c r="M226" s="157" t="n">
        <v>0</v>
      </c>
      <c r="N226" s="155" t="n">
        <v>59806.04</v>
      </c>
      <c r="O226" s="152" t="n">
        <v>291.4090909</v>
      </c>
      <c r="P226" s="152" t="n">
        <v>2.914090909</v>
      </c>
      <c r="Q226" s="156" t="n">
        <v>322.53</v>
      </c>
      <c r="R226" s="156" t="n">
        <v>-2794.2</v>
      </c>
      <c r="S226" s="152" t="n">
        <v>10.28454545</v>
      </c>
      <c r="T226" s="152" t="n">
        <v>5.046363636</v>
      </c>
      <c r="U226" s="152" t="n">
        <v>5.238181818</v>
      </c>
      <c r="V226" s="152" t="n">
        <v>2.395227281</v>
      </c>
      <c r="W226" s="152" t="n">
        <v>2.842954538</v>
      </c>
      <c r="X226" s="158" t="n">
        <v>5.128790909</v>
      </c>
      <c r="Y226" s="158" t="n">
        <v>958.6875045</v>
      </c>
      <c r="Z226" s="158" t="n">
        <v>16.76438591</v>
      </c>
      <c r="AA226" s="158" t="n">
        <v>3.715031818</v>
      </c>
      <c r="AB226" s="159" t="n">
        <v>0.04061121811</v>
      </c>
      <c r="AC226" s="159" t="n">
        <v>0.06566204225</v>
      </c>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83" t="inlineStr">
        <is>
          <t>2024-05</t>
        </is>
      </c>
      <c r="B227" s="155" t="n">
        <v>3869.100645</v>
      </c>
      <c r="C227" s="155" t="n">
        <v>149.8</v>
      </c>
      <c r="D227" s="155" t="n">
        <v>960.09</v>
      </c>
      <c r="E227" s="155" t="n">
        <v>10611.43</v>
      </c>
      <c r="F227" s="152" t="n">
        <v>11.76612903</v>
      </c>
      <c r="G227" s="152" t="n">
        <v>5.33</v>
      </c>
      <c r="H227" s="152" t="n">
        <v>6.436129032</v>
      </c>
      <c r="I227" s="156" t="n">
        <v>-4474.015612</v>
      </c>
      <c r="J227" s="152" t="n">
        <v>5.787888007</v>
      </c>
      <c r="K227" s="152" t="n">
        <v>121.8583409</v>
      </c>
      <c r="L227" s="152" t="n">
        <v>13.05869565</v>
      </c>
      <c r="M227" s="157" t="n">
        <v>0</v>
      </c>
      <c r="N227" s="155" t="n">
        <v>60582.47</v>
      </c>
      <c r="O227" s="152" t="n">
        <v>297.3478261</v>
      </c>
      <c r="P227" s="152" t="n">
        <v>2.973478261</v>
      </c>
      <c r="Q227" s="156" t="n">
        <v>225.76</v>
      </c>
      <c r="R227" s="156" t="n">
        <v>-900.16</v>
      </c>
      <c r="S227" s="152" t="n">
        <v>10.24380952</v>
      </c>
      <c r="T227" s="152" t="n">
        <v>5.379047619</v>
      </c>
      <c r="U227" s="152" t="n">
        <v>4.864761905</v>
      </c>
      <c r="V227" s="152" t="n">
        <v>2.308363644</v>
      </c>
      <c r="W227" s="152" t="n">
        <v>2.556398261</v>
      </c>
      <c r="X227" s="158" t="n">
        <v>5.137221739</v>
      </c>
      <c r="Y227" s="158" t="n">
        <v>916.884113</v>
      </c>
      <c r="Z227" s="158" t="n">
        <v>16.76932696</v>
      </c>
      <c r="AA227" s="158" t="n">
        <v>3.731727273</v>
      </c>
      <c r="AB227" s="159" t="n">
        <v>-0.6410412244</v>
      </c>
      <c r="AC227" s="159" t="n">
        <v>-0.3881304846</v>
      </c>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83" t="inlineStr">
        <is>
          <t>2024-06</t>
        </is>
      </c>
      <c r="B228" s="155" t="n">
        <v>4042.797</v>
      </c>
      <c r="C228" s="155" t="n">
        <v>157.16</v>
      </c>
      <c r="D228" s="155" t="n">
        <v>1017.28</v>
      </c>
      <c r="E228" s="155" t="n">
        <v>10845.23</v>
      </c>
      <c r="F228" s="152" t="n">
        <v>11.75</v>
      </c>
      <c r="G228" s="152" t="n">
        <v>5.33</v>
      </c>
      <c r="H228" s="152" t="n">
        <v>6.42</v>
      </c>
      <c r="I228" s="156" t="n">
        <v>-15576.83121</v>
      </c>
      <c r="J228" s="152" t="n">
        <v>6.332222692</v>
      </c>
      <c r="K228" s="152" t="n">
        <v>123.7094789</v>
      </c>
      <c r="L228" s="152" t="n">
        <v>12.667</v>
      </c>
      <c r="M228" s="157" t="n">
        <v>0</v>
      </c>
      <c r="N228" s="155" t="n">
        <v>60901.42</v>
      </c>
      <c r="O228" s="152" t="n">
        <v>313.05</v>
      </c>
      <c r="P228" s="152" t="n">
        <v>3.1305</v>
      </c>
      <c r="Q228" s="156" t="n">
        <v>407.34</v>
      </c>
      <c r="R228" s="156" t="n">
        <v>-2003.2</v>
      </c>
      <c r="S228" s="152" t="n">
        <v>10.25777778</v>
      </c>
      <c r="T228" s="152" t="n">
        <v>5.384444444</v>
      </c>
      <c r="U228" s="152" t="n">
        <v>4.873333333</v>
      </c>
      <c r="V228" s="152" t="n">
        <v>2.21875788</v>
      </c>
      <c r="W228" s="152" t="n">
        <v>2.654575453</v>
      </c>
      <c r="X228" s="158" t="n">
        <v>5.38867</v>
      </c>
      <c r="Y228" s="158" t="n">
        <v>927.894005</v>
      </c>
      <c r="Z228" s="158" t="n">
        <v>18.13341225</v>
      </c>
      <c r="AA228" s="158" t="n">
        <v>3.786705263</v>
      </c>
      <c r="AB228" s="159" t="n">
        <v>1.416648456</v>
      </c>
      <c r="AC228" s="159" t="n">
        <v>1.359107684</v>
      </c>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83" t="inlineStr">
        <is>
          <t>2024-07</t>
        </is>
      </c>
      <c r="B229" s="155" t="n">
        <v>4036.921935</v>
      </c>
      <c r="C229" s="155" t="n">
        <v>156.3</v>
      </c>
      <c r="D229" s="155" t="n">
        <v>1006.44</v>
      </c>
      <c r="E229" s="155" t="n">
        <v>11090.06</v>
      </c>
      <c r="F229" s="152" t="n">
        <v>11.26612903</v>
      </c>
      <c r="G229" s="152" t="n">
        <v>5.33</v>
      </c>
      <c r="H229" s="152" t="n">
        <v>5.936129032</v>
      </c>
      <c r="I229" s="156" t="n">
        <v>-2836.833987</v>
      </c>
      <c r="J229" s="152" t="n">
        <v>6.443703501</v>
      </c>
      <c r="K229" s="152" t="n">
        <v>123.3824364</v>
      </c>
      <c r="L229" s="152" t="n">
        <v>14.37391304</v>
      </c>
      <c r="M229" s="157" t="n">
        <v>0</v>
      </c>
      <c r="N229" s="155" t="n">
        <v>61868.46</v>
      </c>
      <c r="O229" s="152" t="n">
        <v>308.5652174</v>
      </c>
      <c r="P229" s="152" t="n">
        <v>3.085652174</v>
      </c>
      <c r="Q229" s="156" t="n">
        <v>195.45</v>
      </c>
      <c r="R229" s="156" t="n">
        <v>-1168.91</v>
      </c>
      <c r="S229" s="152" t="n">
        <v>10.19727273</v>
      </c>
      <c r="T229" s="152" t="n">
        <v>5.494545455</v>
      </c>
      <c r="U229" s="152" t="n">
        <v>4.702727273</v>
      </c>
      <c r="V229" s="152" t="n">
        <v>2.206277273</v>
      </c>
      <c r="W229" s="152" t="n">
        <v>2.49645</v>
      </c>
      <c r="X229" s="158" t="n">
        <v>5.541747826</v>
      </c>
      <c r="Y229" s="158" t="n">
        <v>935.9515348</v>
      </c>
      <c r="Z229" s="158" t="n">
        <v>18.06171826</v>
      </c>
      <c r="AA229" s="158" t="n">
        <v>3.764135</v>
      </c>
      <c r="AB229" s="159" t="n">
        <v>0.2122136521</v>
      </c>
      <c r="AC229" s="159" t="n">
        <v>0.04138275339</v>
      </c>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83" t="inlineStr">
        <is>
          <t>2024-08</t>
        </is>
      </c>
      <c r="B230" s="155" t="n">
        <v>4065.546452</v>
      </c>
      <c r="C230" s="155" t="n">
        <v>157.21</v>
      </c>
      <c r="D230" s="155" t="n">
        <v>1008.94</v>
      </c>
      <c r="E230" s="155" t="n">
        <v>11211.24</v>
      </c>
      <c r="F230" s="152" t="n">
        <v>10.75</v>
      </c>
      <c r="G230" s="152" t="n">
        <v>5.33</v>
      </c>
      <c r="H230" s="152" t="n">
        <v>5.42</v>
      </c>
      <c r="I230" s="156" t="n">
        <v>-10928.00282</v>
      </c>
      <c r="J230" s="152" t="n">
        <v>6.790500101</v>
      </c>
      <c r="K230" s="152" t="n">
        <v>122.6137409</v>
      </c>
      <c r="L230" s="152" t="n">
        <v>19.31227273</v>
      </c>
      <c r="M230" s="157" t="n">
        <v>0</v>
      </c>
      <c r="N230" s="155" t="n">
        <v>62778.49</v>
      </c>
      <c r="O230" s="152" t="n">
        <v>322.1363636</v>
      </c>
      <c r="P230" s="152" t="n">
        <v>3.221363636</v>
      </c>
      <c r="Q230" s="156" t="n">
        <v>185.67</v>
      </c>
      <c r="R230" s="156" t="n">
        <v>-1451.07</v>
      </c>
      <c r="S230" s="152" t="n">
        <v>9.582000000000001</v>
      </c>
      <c r="T230" s="152" t="n">
        <v>5.0475</v>
      </c>
      <c r="U230" s="152" t="n">
        <v>4.5345</v>
      </c>
      <c r="V230" s="152" t="n">
        <v>2.027113627</v>
      </c>
      <c r="W230" s="152" t="n">
        <v>2.507386373</v>
      </c>
      <c r="X230" s="158" t="n">
        <v>5.552313636</v>
      </c>
      <c r="Y230" s="158" t="n">
        <v>927.7602182000001</v>
      </c>
      <c r="Z230" s="158" t="n">
        <v>19.07088545</v>
      </c>
      <c r="AA230" s="158" t="n">
        <v>3.74185</v>
      </c>
      <c r="AB230" s="159" t="n">
        <v>0.4554266835</v>
      </c>
      <c r="AC230" s="159" t="n">
        <v>0.2246027761</v>
      </c>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83" t="inlineStr">
        <is>
          <t>2024-09</t>
        </is>
      </c>
      <c r="B231" s="155" t="n">
        <v>4182.512333</v>
      </c>
      <c r="C231" s="155" t="n">
        <v>153.43</v>
      </c>
      <c r="D231" s="155" t="n">
        <v>1037.32</v>
      </c>
      <c r="E231" s="155" t="n">
        <v>11367.09</v>
      </c>
      <c r="F231" s="152" t="n">
        <v>10.75</v>
      </c>
      <c r="G231" s="152" t="n">
        <v>5.13</v>
      </c>
      <c r="H231" s="152" t="n">
        <v>5.62</v>
      </c>
      <c r="I231" s="156" t="n">
        <v>-1961.057506</v>
      </c>
      <c r="J231" s="152" t="n">
        <v>6.646096117</v>
      </c>
      <c r="K231" s="152" t="n">
        <v>121.884855</v>
      </c>
      <c r="L231" s="152" t="n">
        <v>17.66333333</v>
      </c>
      <c r="M231" s="157" t="n">
        <v>0</v>
      </c>
      <c r="N231" s="155" t="n">
        <v>63581.9</v>
      </c>
      <c r="O231" s="152" t="n">
        <v>323.6190476</v>
      </c>
      <c r="P231" s="152" t="n">
        <v>3.236190476</v>
      </c>
      <c r="Q231" s="156" t="n">
        <v>317.91</v>
      </c>
      <c r="R231" s="156" t="n">
        <v>-1670.42</v>
      </c>
      <c r="S231" s="152" t="n">
        <v>9.359999999999999</v>
      </c>
      <c r="T231" s="152" t="n">
        <v>4.953333333</v>
      </c>
      <c r="U231" s="152" t="n">
        <v>4.406666667</v>
      </c>
      <c r="V231" s="152" t="n">
        <v>2.036079991</v>
      </c>
      <c r="W231" s="152" t="n">
        <v>2.370586676</v>
      </c>
      <c r="X231" s="158" t="n">
        <v>5.541266667</v>
      </c>
      <c r="Y231" s="158" t="n">
        <v>925.8795476</v>
      </c>
      <c r="Z231" s="158" t="n">
        <v>19.52721143</v>
      </c>
      <c r="AA231" s="158" t="n">
        <v>3.768961905</v>
      </c>
      <c r="AB231" s="159" t="n">
        <v>0.1366409956</v>
      </c>
      <c r="AC231" s="159" t="n">
        <v>0.2501509067</v>
      </c>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83" t="inlineStr">
        <is>
          <t>2024-10</t>
        </is>
      </c>
      <c r="B232" s="155" t="n">
        <v>4249.47</v>
      </c>
      <c r="C232" s="155" t="n">
        <v>157.45</v>
      </c>
      <c r="D232" s="155" t="n">
        <v>1036.4</v>
      </c>
      <c r="E232" s="155" t="n">
        <v>11517.74</v>
      </c>
      <c r="F232" s="152" t="n">
        <v>10.25</v>
      </c>
      <c r="G232" s="152" t="n">
        <v>4.83</v>
      </c>
      <c r="H232" s="152" t="n">
        <v>5.42</v>
      </c>
      <c r="I232" s="156" t="n">
        <v>-13343.67814</v>
      </c>
      <c r="J232" s="152" t="n">
        <v>6.652100585</v>
      </c>
      <c r="K232" s="152" t="n">
        <v>123.5952909</v>
      </c>
      <c r="L232" s="152" t="n">
        <v>19.96086957</v>
      </c>
      <c r="M232" s="157" t="n">
        <v>0</v>
      </c>
      <c r="N232" s="155" t="n">
        <v>62771.57</v>
      </c>
      <c r="O232" s="152" t="n">
        <v>312.0869565</v>
      </c>
      <c r="P232" s="152" t="n">
        <v>3.120869565</v>
      </c>
      <c r="Q232" s="156" t="n">
        <v>383.15</v>
      </c>
      <c r="R232" s="156" t="n">
        <v>-3459.65</v>
      </c>
      <c r="S232" s="152" t="n">
        <v>9.719545455</v>
      </c>
      <c r="T232" s="152" t="n">
        <v>5.191363636</v>
      </c>
      <c r="U232" s="152" t="n">
        <v>4.528181818</v>
      </c>
      <c r="V232" s="152" t="n">
        <v>2.255495462</v>
      </c>
      <c r="W232" s="152" t="n">
        <v>2.272686357</v>
      </c>
      <c r="X232" s="158" t="n">
        <v>5.623808696</v>
      </c>
      <c r="Y232" s="158" t="n">
        <v>938.5641261</v>
      </c>
      <c r="Z232" s="158" t="n">
        <v>19.64228217</v>
      </c>
      <c r="AA232" s="158" t="n">
        <v>3.754363636</v>
      </c>
      <c r="AB232" s="159" t="n">
        <v>0.2716453405</v>
      </c>
      <c r="AC232" s="159" t="n">
        <v>0.1281423752</v>
      </c>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83" t="inlineStr">
        <is>
          <t>2024-11</t>
        </is>
      </c>
      <c r="B233" s="155" t="n">
        <v>4408.652333</v>
      </c>
      <c r="C233" s="155" t="n">
        <v>157.35</v>
      </c>
      <c r="D233" s="155" t="n">
        <v>1033.19</v>
      </c>
      <c r="E233" s="155" t="n">
        <v>11664.03</v>
      </c>
      <c r="F233" s="152" t="n">
        <v>9.75</v>
      </c>
      <c r="G233" s="152" t="n">
        <v>4.64</v>
      </c>
      <c r="H233" s="152" t="n">
        <v>5.11</v>
      </c>
      <c r="I233" s="156" t="n">
        <v>-18186.62878</v>
      </c>
      <c r="J233" s="152" t="n">
        <v>6.953539496</v>
      </c>
      <c r="K233" s="152" t="n">
        <v>126.3113368</v>
      </c>
      <c r="L233" s="152" t="n">
        <v>16.0152381</v>
      </c>
      <c r="M233" s="157" t="n">
        <v>0</v>
      </c>
      <c r="N233" s="155" t="n">
        <v>62957.73</v>
      </c>
      <c r="O233" s="152" t="n">
        <v>323.952381</v>
      </c>
      <c r="P233" s="152" t="n">
        <v>3.23952381</v>
      </c>
      <c r="Q233" s="156" t="n">
        <v>210.39</v>
      </c>
      <c r="R233" s="156" t="n">
        <v>-1826.94</v>
      </c>
      <c r="S233" s="152" t="n">
        <v>10.02210526</v>
      </c>
      <c r="T233" s="152" t="n">
        <v>5.334736842</v>
      </c>
      <c r="U233" s="152" t="n">
        <v>4.687368421</v>
      </c>
      <c r="V233" s="152" t="n">
        <v>2.331473652</v>
      </c>
      <c r="W233" s="152" t="n">
        <v>2.355894769</v>
      </c>
      <c r="X233" s="158" t="n">
        <v>5.804314286</v>
      </c>
      <c r="Y233" s="158" t="n">
        <v>971.6471381</v>
      </c>
      <c r="Z233" s="158" t="n">
        <v>20.25711857</v>
      </c>
      <c r="AA233" s="158" t="n">
        <v>3.779135</v>
      </c>
      <c r="AB233" s="159" t="n">
        <v>0.9856346216</v>
      </c>
      <c r="AC233" s="159" t="n">
        <v>0.8739609857</v>
      </c>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83" t="inlineStr">
        <is>
          <t>2024-12</t>
        </is>
      </c>
      <c r="B234" s="155" t="n">
        <v>4385.14871</v>
      </c>
      <c r="C234" s="155" t="n">
        <v>161.4</v>
      </c>
      <c r="D234" s="155" t="n">
        <v>1098.4</v>
      </c>
      <c r="E234" s="155" t="n">
        <v>11848.22</v>
      </c>
      <c r="F234" s="152" t="n">
        <v>9.677419355</v>
      </c>
      <c r="G234" s="152" t="n">
        <v>4.48</v>
      </c>
      <c r="H234" s="152" t="n">
        <v>5.197419355</v>
      </c>
      <c r="I234" s="156" t="n">
        <v>-12238.24063</v>
      </c>
      <c r="J234" s="152" t="n">
        <v>6.683581401</v>
      </c>
      <c r="K234" s="152" t="n">
        <v>127.575781</v>
      </c>
      <c r="L234" s="152" t="n">
        <v>15.86619048</v>
      </c>
      <c r="M234" s="157" t="n">
        <v>0</v>
      </c>
      <c r="N234" s="155" t="n">
        <v>62481.18</v>
      </c>
      <c r="O234" s="152" t="n">
        <v>323</v>
      </c>
      <c r="P234" s="152" t="n">
        <v>3.23</v>
      </c>
      <c r="Q234" s="156" t="n">
        <v>54.57</v>
      </c>
      <c r="R234" s="156" t="n">
        <v>-2952.47</v>
      </c>
      <c r="S234" s="152" t="n">
        <v>10.371</v>
      </c>
      <c r="T234" s="152" t="n">
        <v>5.261</v>
      </c>
      <c r="U234" s="152" t="n">
        <v>5.11</v>
      </c>
      <c r="V234" s="152" t="n">
        <v>2.296300014</v>
      </c>
      <c r="W234" s="152" t="n">
        <v>2.813699986</v>
      </c>
      <c r="X234" s="158" t="n">
        <v>6.099286364</v>
      </c>
      <c r="Y234" s="158" t="n">
        <v>984.5883773</v>
      </c>
      <c r="Z234" s="158" t="n">
        <v>20.20261636</v>
      </c>
      <c r="AA234" s="158" t="n">
        <v>3.735536842</v>
      </c>
      <c r="AB234" s="159" t="n">
        <v>0.4806324555</v>
      </c>
      <c r="AC234" s="159" t="n">
        <v>0.1295526405</v>
      </c>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83" t="inlineStr">
        <is>
          <t>2025-01</t>
        </is>
      </c>
      <c r="B235" s="155" t="n">
        <v>4307.567419</v>
      </c>
      <c r="C235" s="155" t="n">
        <v>165.69</v>
      </c>
      <c r="D235" s="155" t="n">
        <v>1009.66</v>
      </c>
      <c r="E235" s="155" t="n">
        <v>11945.09</v>
      </c>
      <c r="F235" s="152" t="n">
        <v>9.5</v>
      </c>
      <c r="G235" s="152" t="n">
        <v>4.33</v>
      </c>
      <c r="H235" s="152" t="n">
        <v>5.17</v>
      </c>
      <c r="I235" s="156" t="n">
        <v>-12491.39631</v>
      </c>
      <c r="J235" s="152" t="n">
        <v>6.775576693</v>
      </c>
      <c r="K235" s="152" t="n">
        <v>128.8369524</v>
      </c>
      <c r="L235" s="152" t="n">
        <v>16.76363636</v>
      </c>
      <c r="M235" s="157" t="n">
        <v>0</v>
      </c>
      <c r="N235" s="155" t="n">
        <v>62798.75</v>
      </c>
      <c r="O235" s="152" t="n">
        <v>321.9130435</v>
      </c>
      <c r="P235" s="152" t="n">
        <v>3.219130435</v>
      </c>
      <c r="Q235" s="156" t="n">
        <v>-17.34</v>
      </c>
      <c r="R235" s="156" t="n">
        <v>-1410.34</v>
      </c>
      <c r="S235" s="152" t="n">
        <v>10.70285714</v>
      </c>
      <c r="T235" s="152" t="n">
        <v>5.271428571</v>
      </c>
      <c r="U235" s="152" t="n">
        <v>5.431428571</v>
      </c>
      <c r="V235" s="152" t="n">
        <v>2.418833313</v>
      </c>
      <c r="W235" s="152" t="n">
        <v>3.012595259</v>
      </c>
      <c r="X235" s="158" t="n">
        <v>6.028886957</v>
      </c>
      <c r="Y235" s="158" t="n">
        <v>1000.168683</v>
      </c>
      <c r="Z235" s="158" t="n">
        <v>20.49089043</v>
      </c>
      <c r="AA235" s="158" t="n">
        <v>3.746922727</v>
      </c>
      <c r="AB235" s="159" t="n">
        <v>0.1570510632</v>
      </c>
      <c r="AC235" s="159" t="n">
        <v>0.1814636132</v>
      </c>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83" t="inlineStr">
        <is>
          <t>2025-02</t>
        </is>
      </c>
      <c r="B236" s="155" t="n">
        <v>4127.953929</v>
      </c>
      <c r="C236" s="155" t="n">
        <v>164.54</v>
      </c>
      <c r="D236" s="155" t="n">
        <v>1031.63</v>
      </c>
      <c r="E236" s="155" t="n">
        <v>12062.79</v>
      </c>
      <c r="F236" s="152" t="n">
        <v>9.5</v>
      </c>
      <c r="G236" s="152" t="n">
        <v>4.33</v>
      </c>
      <c r="H236" s="152" t="n">
        <v>5.17</v>
      </c>
      <c r="I236" s="156" t="n">
        <v>-17409.86142</v>
      </c>
      <c r="J236" s="152" t="n">
        <v>7.021169873</v>
      </c>
      <c r="K236" s="152" t="n">
        <v>127.8758316</v>
      </c>
      <c r="L236" s="152" t="n">
        <v>16.968</v>
      </c>
      <c r="M236" s="157" t="n">
        <v>0</v>
      </c>
      <c r="N236" s="155" t="n">
        <v>63450.61</v>
      </c>
      <c r="O236" s="152" t="n">
        <v>325.35</v>
      </c>
      <c r="P236" s="152" t="n">
        <v>3.2535</v>
      </c>
      <c r="Q236" s="156" t="n">
        <v>222.91</v>
      </c>
      <c r="R236" s="156" t="n">
        <v>-1741.78</v>
      </c>
      <c r="S236" s="152" t="n">
        <v>10.711</v>
      </c>
      <c r="T236" s="152" t="n">
        <v>5.3385</v>
      </c>
      <c r="U236" s="152" t="n">
        <v>5.3725</v>
      </c>
      <c r="V236" s="152" t="n">
        <v>2.524678958</v>
      </c>
      <c r="W236" s="152" t="n">
        <v>2.847821042</v>
      </c>
      <c r="X236" s="158" t="n">
        <v>5.765345</v>
      </c>
      <c r="Y236" s="158" t="n">
        <v>954.782765</v>
      </c>
      <c r="Z236" s="158" t="n">
        <v>20.4073</v>
      </c>
      <c r="AA236" s="158" t="n">
        <v>3.69685</v>
      </c>
      <c r="AB236" s="159" t="n">
        <v>-1.137999396</v>
      </c>
      <c r="AC236" s="159" t="n">
        <v>-1.121634355</v>
      </c>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83" t="inlineStr">
        <is>
          <t>2025-03</t>
        </is>
      </c>
      <c r="B237" s="155" t="n">
        <v>4137.684516</v>
      </c>
      <c r="C237" s="155" t="n">
        <v>163.87</v>
      </c>
      <c r="D237" s="155" t="n">
        <v>1089.33</v>
      </c>
      <c r="E237" s="155" t="n">
        <v>12258.07</v>
      </c>
      <c r="F237" s="152" t="n">
        <v>9.5</v>
      </c>
      <c r="G237" s="152" t="n">
        <v>4.33</v>
      </c>
      <c r="H237" s="152" t="n">
        <v>5.17</v>
      </c>
      <c r="I237" s="156" t="n">
        <v>-7588.630465</v>
      </c>
      <c r="J237" s="152" t="n">
        <v>7.317183331</v>
      </c>
      <c r="K237" s="152" t="n">
        <v>126.2430429</v>
      </c>
      <c r="L237" s="152" t="n">
        <v>21.84142857</v>
      </c>
      <c r="M237" s="157" t="n">
        <v>0</v>
      </c>
      <c r="N237" s="155" t="n">
        <v>63854</v>
      </c>
      <c r="O237" s="152" t="n">
        <v>336.4761905</v>
      </c>
      <c r="P237" s="152" t="n">
        <v>3.364761905</v>
      </c>
      <c r="Q237" s="156" t="n">
        <v>206.63</v>
      </c>
      <c r="R237" s="156" t="n">
        <v>-2292.08</v>
      </c>
      <c r="S237" s="152" t="n">
        <v>10.9955</v>
      </c>
      <c r="T237" s="152" t="n">
        <v>5.6365</v>
      </c>
      <c r="U237" s="152" t="n">
        <v>5.359</v>
      </c>
      <c r="V237" s="152" t="n">
        <v>2.447190489</v>
      </c>
      <c r="W237" s="152" t="n">
        <v>2.911809511</v>
      </c>
      <c r="X237" s="158" t="n">
        <v>5.75622381</v>
      </c>
      <c r="Y237" s="158" t="n">
        <v>932.3276238</v>
      </c>
      <c r="Z237" s="158" t="n">
        <v>20.17183524</v>
      </c>
      <c r="AA237" s="158" t="n">
        <v>3.652485714</v>
      </c>
      <c r="AB237" s="159" t="n">
        <v>-0.5533742554</v>
      </c>
      <c r="AC237" s="159" t="n">
        <v>-0.6553964546</v>
      </c>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83" t="inlineStr">
        <is>
          <t>2025-04</t>
        </is>
      </c>
      <c r="B238" s="155" t="n">
        <v>4280.258</v>
      </c>
      <c r="C238" s="155" t="n">
        <v>162.39</v>
      </c>
      <c r="D238" s="155" t="n">
        <v>1097.41</v>
      </c>
      <c r="E238" s="155" t="n">
        <v>12426.09</v>
      </c>
      <c r="F238" s="152" t="n">
        <v>9.5</v>
      </c>
      <c r="G238" s="152" t="n">
        <v>4.33</v>
      </c>
      <c r="H238" s="152" t="n">
        <v>5.17</v>
      </c>
      <c r="I238" s="156" t="n">
        <v>-13594.17391</v>
      </c>
      <c r="J238" s="152" t="n">
        <v>7.046019782</v>
      </c>
      <c r="K238" s="152" t="n">
        <v>124.1402</v>
      </c>
      <c r="L238" s="152" t="n">
        <v>31.96619048</v>
      </c>
      <c r="M238" s="157" t="n">
        <v>0</v>
      </c>
      <c r="N238" s="155" t="n">
        <v>64630.58</v>
      </c>
      <c r="O238" s="152" t="n">
        <v>385.3181818</v>
      </c>
      <c r="P238" s="152" t="n">
        <v>3.853181818</v>
      </c>
      <c r="Q238" s="156" t="n">
        <v>135.08</v>
      </c>
      <c r="R238" s="156" t="n">
        <v>-1524.99</v>
      </c>
      <c r="S238" s="152" t="n">
        <v>11.3175</v>
      </c>
      <c r="T238" s="152" t="n">
        <v>6.126315789</v>
      </c>
      <c r="U238" s="152" t="n">
        <v>5.191184211</v>
      </c>
      <c r="V238" s="152" t="n">
        <v>2.314747617</v>
      </c>
      <c r="W238" s="152" t="n">
        <v>2.876436593</v>
      </c>
      <c r="X238" s="158" t="n">
        <v>5.789945455</v>
      </c>
      <c r="Y238" s="158" t="n">
        <v>962.8508909</v>
      </c>
      <c r="Z238" s="158" t="n">
        <v>19.96541045</v>
      </c>
      <c r="AA238" s="158" t="n">
        <v>3.70003</v>
      </c>
      <c r="AB238" s="159" t="n">
        <v>0.22912326</v>
      </c>
      <c r="AC238" s="159" t="n">
        <v>0.4344294529</v>
      </c>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83" t="inlineStr">
        <is>
          <t>2025-05</t>
        </is>
      </c>
      <c r="B239" s="155" t="n">
        <v>4203.377097</v>
      </c>
      <c r="C239" s="155" t="n">
        <v>157.92</v>
      </c>
      <c r="D239" s="155" t="n">
        <v>1095.91</v>
      </c>
      <c r="E239" s="155" t="n">
        <v>12561.91</v>
      </c>
      <c r="F239" s="152" t="n">
        <v>9.258064515999999</v>
      </c>
      <c r="G239" s="152" t="n">
        <v>4.33</v>
      </c>
      <c r="H239" s="152" t="n">
        <v>4.928064516</v>
      </c>
      <c r="I239" s="156" t="n">
        <v>-5976.691931</v>
      </c>
      <c r="J239" s="152" t="n">
        <v>7.127072678</v>
      </c>
      <c r="K239" s="152" t="n">
        <v>122.3421619</v>
      </c>
      <c r="L239" s="152" t="n">
        <v>20.46227273</v>
      </c>
      <c r="M239" s="157" t="n">
        <v>0</v>
      </c>
      <c r="N239" s="155" t="n">
        <v>64592.1</v>
      </c>
      <c r="O239" s="152" t="n">
        <v>356.6363636</v>
      </c>
      <c r="P239" s="152" t="n">
        <v>3.566363636</v>
      </c>
      <c r="Q239" s="156" t="n">
        <v>22.75</v>
      </c>
      <c r="R239" s="156" t="n">
        <v>-2132.77</v>
      </c>
      <c r="S239" s="152" t="n">
        <v>11.37190476</v>
      </c>
      <c r="T239" s="152" t="n">
        <v>6.160952381</v>
      </c>
      <c r="U239" s="152" t="n">
        <v>5.210952381</v>
      </c>
      <c r="V239" s="152" t="n">
        <v>2.397971448</v>
      </c>
      <c r="W239" s="152" t="n">
        <v>2.812980933</v>
      </c>
      <c r="X239" s="158" t="n">
        <v>5.666786364</v>
      </c>
      <c r="Y239" s="158" t="n">
        <v>940.4631955</v>
      </c>
      <c r="Z239" s="158" t="n">
        <v>19.40206773</v>
      </c>
      <c r="AA239" s="158" t="n">
        <v>3.659914286</v>
      </c>
      <c r="AB239" s="159" t="n">
        <v>-0.9347451919999999</v>
      </c>
      <c r="AC239" s="159" t="n">
        <v>-0.9178529637</v>
      </c>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83" t="inlineStr">
        <is>
          <t>2025-06</t>
        </is>
      </c>
      <c r="B240" s="155" t="n">
        <v>4113.485</v>
      </c>
      <c r="C240" s="155" t="n">
        <v>164.6</v>
      </c>
      <c r="D240" s="155" t="n">
        <v>1084.15</v>
      </c>
      <c r="E240" s="155" t="n">
        <v>12628.78</v>
      </c>
      <c r="F240" s="152" t="n">
        <v>9.25</v>
      </c>
      <c r="G240" s="152" t="n">
        <v>4.33</v>
      </c>
      <c r="H240" s="152" t="n">
        <v>4.92</v>
      </c>
      <c r="I240" s="156" t="n">
        <v>-11405.85686</v>
      </c>
      <c r="J240" s="152" t="n">
        <v>6.902094389</v>
      </c>
      <c r="K240" s="152" t="n">
        <v>120.59387</v>
      </c>
      <c r="L240" s="152" t="n">
        <v>18.40333333</v>
      </c>
      <c r="M240" s="157" t="n">
        <v>0</v>
      </c>
      <c r="N240" s="155" t="n">
        <v>65163.18</v>
      </c>
      <c r="O240" s="152" t="n">
        <v>347.047619</v>
      </c>
      <c r="P240" s="152" t="n">
        <v>3.47047619</v>
      </c>
      <c r="Q240" s="156" t="n">
        <v>82.95999999999999</v>
      </c>
      <c r="R240" s="156" t="n">
        <v>-1562.48</v>
      </c>
      <c r="S240" s="152" t="n">
        <v>11.79</v>
      </c>
      <c r="T240" s="152" t="n">
        <v>6.345555556</v>
      </c>
      <c r="U240" s="152" t="n">
        <v>5.444444444</v>
      </c>
      <c r="V240" s="152" t="n">
        <v>2.336609995</v>
      </c>
      <c r="W240" s="152" t="n">
        <v>3.107834449</v>
      </c>
      <c r="X240" s="158" t="n">
        <v>5.543938095</v>
      </c>
      <c r="Y240" s="158" t="n">
        <v>937.3952429</v>
      </c>
      <c r="Z240" s="158" t="n">
        <v>18.99023762</v>
      </c>
      <c r="AA240" s="158" t="n">
        <v>3.602195238</v>
      </c>
      <c r="AB240" s="159" t="n">
        <v>-0.5998585254</v>
      </c>
      <c r="AC240" s="159" t="n">
        <v>-0.7671549194</v>
      </c>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83" t="inlineStr">
        <is>
          <t>2025-07</t>
        </is>
      </c>
      <c r="B241" s="155" t="n">
        <v>4040.848387</v>
      </c>
      <c r="C241" s="155" t="n">
        <v>164.94</v>
      </c>
      <c r="D241" s="155" t="n">
        <v>1158.36</v>
      </c>
      <c r="E241" s="155" t="n">
        <v>12780.7</v>
      </c>
      <c r="F241" s="152" t="n">
        <v>9.25</v>
      </c>
      <c r="G241" s="152" t="n">
        <v>4.33</v>
      </c>
      <c r="H241" s="152" t="n">
        <v>4.92</v>
      </c>
      <c r="I241" s="156" t="n">
        <v>-1995.450946</v>
      </c>
      <c r="J241" s="152" t="n">
        <v>6.856711008</v>
      </c>
      <c r="K241" s="152" t="n">
        <v>120.1126909</v>
      </c>
      <c r="L241" s="152" t="n">
        <v>16.38130435</v>
      </c>
      <c r="M241" s="157" t="n">
        <v>0</v>
      </c>
      <c r="N241" s="155" t="n">
        <v>64881.34</v>
      </c>
      <c r="O241" s="152" t="n">
        <v>318.7826087</v>
      </c>
      <c r="P241" s="152" t="n">
        <v>3.187826087</v>
      </c>
      <c r="Q241" s="156" t="n">
        <v>42.15</v>
      </c>
      <c r="R241" s="156" t="n">
        <v>-2680.62</v>
      </c>
      <c r="S241" s="152" t="n">
        <v>11.55347826</v>
      </c>
      <c r="T241" s="152" t="n">
        <v>6.287391304</v>
      </c>
      <c r="U241" s="152" t="n">
        <v>5.266086957</v>
      </c>
      <c r="V241" s="152" t="n">
        <v>2.462836363</v>
      </c>
      <c r="W241" s="152" t="n">
        <v>2.803250593</v>
      </c>
      <c r="X241" s="158" t="n">
        <v>5.528191304</v>
      </c>
      <c r="Y241" s="158" t="n">
        <v>954.1915304</v>
      </c>
      <c r="Z241" s="158" t="n">
        <v>18.65645435</v>
      </c>
      <c r="AA241" s="158" t="n">
        <v>3.556945</v>
      </c>
      <c r="AB241" s="159" t="n">
        <v>-0.1194245278</v>
      </c>
      <c r="AC241" s="159" t="n">
        <v>-0.3413637827</v>
      </c>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83" t="inlineStr">
        <is>
          <t>2025-08</t>
        </is>
      </c>
      <c r="B242" s="155" t="n">
        <v>4047.411613</v>
      </c>
      <c r="C242" s="155" t="n">
        <v>167.7</v>
      </c>
      <c r="D242" s="155" t="n">
        <v>1095.38</v>
      </c>
      <c r="E242" s="155" t="n">
        <v>12867.14</v>
      </c>
      <c r="F242" s="152" t="n">
        <v>9.25</v>
      </c>
      <c r="G242" s="152" t="n">
        <v>4.33</v>
      </c>
      <c r="H242" s="152" t="n">
        <v>4.92</v>
      </c>
      <c r="I242" s="156" t="n">
        <v>-5824.707711</v>
      </c>
      <c r="J242" s="152" t="n">
        <v>6.581444247</v>
      </c>
      <c r="K242" s="152" t="n">
        <v>120.5758429</v>
      </c>
      <c r="L242" s="152" t="n">
        <v>15.75</v>
      </c>
      <c r="M242" s="157" t="n">
        <v>0</v>
      </c>
      <c r="N242" s="155" t="n">
        <v>65466.99</v>
      </c>
      <c r="O242" s="152" t="n">
        <v>297</v>
      </c>
      <c r="P242" s="152" t="n">
        <v>2.97</v>
      </c>
      <c r="Q242" s="156" t="n">
        <v>-106.63</v>
      </c>
      <c r="R242" s="156" t="n">
        <v>-1400.87</v>
      </c>
      <c r="S242" s="152" t="n">
        <v>11.40684211</v>
      </c>
      <c r="T242" s="152" t="n">
        <v>6.273684211</v>
      </c>
      <c r="U242" s="152" t="n">
        <v>5.133157895</v>
      </c>
      <c r="V242" s="152" t="n">
        <v>2.466047628</v>
      </c>
      <c r="W242" s="152" t="n">
        <v>2.667110267</v>
      </c>
      <c r="X242" s="158" t="n">
        <v>5.44662381</v>
      </c>
      <c r="Y242" s="158" t="n">
        <v>965.2635762</v>
      </c>
      <c r="Z242" s="158" t="n">
        <v>18.67054714</v>
      </c>
      <c r="AA242" s="158" t="n">
        <v>3.542385</v>
      </c>
      <c r="AB242" s="159" t="n">
        <v>-0.08508103132</v>
      </c>
      <c r="AC242" s="159" t="n">
        <v>-0.1438473044</v>
      </c>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83" t="inlineStr">
        <is>
          <t>2025-09</t>
        </is>
      </c>
      <c r="B243" s="155" t="n">
        <v>3922.212</v>
      </c>
      <c r="C243" s="155" t="n">
        <v>169.72</v>
      </c>
      <c r="D243" s="155" t="n">
        <v>1100.26</v>
      </c>
      <c r="E243" s="155" t="n">
        <v>12930.08</v>
      </c>
      <c r="F243" s="152" t="n">
        <v>9.25</v>
      </c>
      <c r="G243" s="152" t="n">
        <v>4.22</v>
      </c>
      <c r="H243" s="152" t="n">
        <v>5.03</v>
      </c>
      <c r="I243" s="156" t="n">
        <v>1570.725831</v>
      </c>
      <c r="J243" s="152" t="n">
        <v>6.390943298</v>
      </c>
      <c r="K243" s="152" t="n">
        <v>120.0290619</v>
      </c>
      <c r="L243" s="152" t="n">
        <v>15.78909091</v>
      </c>
      <c r="M243" s="157" t="n">
        <v>0</v>
      </c>
      <c r="N243" s="155" t="n">
        <v>65823.14</v>
      </c>
      <c r="O243" s="152" t="n">
        <v>257.1363636</v>
      </c>
      <c r="P243" s="152" t="n">
        <v>2.571363636</v>
      </c>
      <c r="Q243" s="156" t="n">
        <v>-141.77</v>
      </c>
      <c r="R243" s="156" t="n">
        <v>-1620.01</v>
      </c>
      <c r="S243" s="152" t="n">
        <v>11.13409091</v>
      </c>
      <c r="T243" s="152" t="n">
        <v>6.084545455</v>
      </c>
      <c r="U243" s="152" t="n">
        <v>5.049545455</v>
      </c>
      <c r="V243" s="152" t="n">
        <v>2.447723786</v>
      </c>
      <c r="W243" s="152" t="n">
        <v>2.601821669</v>
      </c>
      <c r="X243" s="158" t="n">
        <v>5.367109091</v>
      </c>
      <c r="Y243" s="158" t="n">
        <v>959.7174818</v>
      </c>
      <c r="Z243" s="158" t="n">
        <v>18.45806682</v>
      </c>
      <c r="AA243" s="158" t="n">
        <v>3.501804545</v>
      </c>
      <c r="AB243" s="159" t="n">
        <v>-0.4456293328</v>
      </c>
      <c r="AC243" s="159" t="n">
        <v>-0.5634984964</v>
      </c>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83" t="inlineStr">
        <is>
          <t>2025-10</t>
        </is>
      </c>
      <c r="B244" s="155" t="n">
        <v>3877.844839</v>
      </c>
      <c r="C244" s="155" t="n">
        <v>163</v>
      </c>
      <c r="D244" s="155" t="n">
        <v>1092.1</v>
      </c>
      <c r="E244" s="155" t="n">
        <v>12985.78</v>
      </c>
      <c r="F244" s="152" t="n">
        <v>9.25</v>
      </c>
      <c r="G244" s="152" t="n">
        <v>4.09</v>
      </c>
      <c r="H244" s="152" t="n">
        <v>5.16</v>
      </c>
      <c r="I244" s="156" t="n">
        <v>-9455.491072999999</v>
      </c>
      <c r="J244" s="152" t="n">
        <v>6.18121828</v>
      </c>
      <c r="K244" s="152" t="n">
        <v>120.7618</v>
      </c>
      <c r="L244" s="152" t="n">
        <v>18.08652174</v>
      </c>
      <c r="M244" s="157" t="n">
        <v>0</v>
      </c>
      <c r="N244" s="155" t="n">
        <v>65924.60000000001</v>
      </c>
      <c r="O244" s="152" t="n">
        <v>262.2173913</v>
      </c>
      <c r="P244" s="152" t="n">
        <v>2.622173913</v>
      </c>
      <c r="Q244" s="156" t="n">
        <v>-347.83</v>
      </c>
      <c r="R244" s="156" t="n">
        <v>-1488.35</v>
      </c>
      <c r="S244" s="152" t="n">
        <v>11.27545455</v>
      </c>
      <c r="T244" s="152" t="n">
        <v>5.770454545</v>
      </c>
      <c r="U244" s="152" t="n">
        <v>5.505</v>
      </c>
      <c r="V244" s="152" t="n">
        <v>2.354418202</v>
      </c>
      <c r="W244" s="152" t="n">
        <v>3.150581798</v>
      </c>
      <c r="X244" s="158" t="n">
        <v>5.385226087</v>
      </c>
      <c r="Y244" s="158" t="n">
        <v>952.6674087</v>
      </c>
      <c r="Z244" s="158" t="n">
        <v>18.39539043</v>
      </c>
      <c r="AA244" s="158" t="n">
        <v>3.413227273</v>
      </c>
      <c r="AB244" s="159" t="n">
        <v>-0.2050885162</v>
      </c>
      <c r="AC244" s="159" t="n">
        <v>-0.6666556207</v>
      </c>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83" t="inlineStr">
        <is>
          <t>2025-11</t>
        </is>
      </c>
      <c r="B245" s="155" t="n">
        <v>3786.183333</v>
      </c>
      <c r="C245" s="155" t="n">
        <v>162.01</v>
      </c>
      <c r="D245" s="155" t="n">
        <v>1070.69</v>
      </c>
      <c r="E245" s="155" t="n">
        <v>13023.28</v>
      </c>
      <c r="F245" s="152" t="n">
        <v>9.25</v>
      </c>
      <c r="G245" s="152" t="n">
        <v>3.88</v>
      </c>
      <c r="H245" s="152" t="n">
        <v>5.37</v>
      </c>
      <c r="I245" s="156" t="n">
        <v>-25812.60589</v>
      </c>
      <c r="J245" s="152" t="n">
        <v>6.592556047</v>
      </c>
      <c r="K245" s="152" t="n">
        <v>121.4177167</v>
      </c>
      <c r="L245" s="152" t="n">
        <v>19.7695</v>
      </c>
      <c r="M245" s="157" t="n">
        <v>0</v>
      </c>
      <c r="N245" s="155" t="n">
        <v>66123.64999999999</v>
      </c>
      <c r="O245" s="152" t="n">
        <v>254.75</v>
      </c>
      <c r="P245" s="152" t="n">
        <v>2.5475</v>
      </c>
      <c r="Q245" s="156" t="n">
        <v>-95.90000000000001</v>
      </c>
      <c r="R245" s="156" t="n">
        <v>-1071.79</v>
      </c>
      <c r="S245" s="152" t="n">
        <v>11.90166667</v>
      </c>
      <c r="T245" s="152" t="n">
        <v>5.955</v>
      </c>
      <c r="U245" s="152" t="n">
        <v>5.946666667</v>
      </c>
      <c r="V245" s="152" t="n">
        <v>2.281516671</v>
      </c>
      <c r="W245" s="152" t="n">
        <v>3.665149995</v>
      </c>
      <c r="X245" s="158" t="n">
        <v>5.34024</v>
      </c>
      <c r="Y245" s="158" t="n">
        <v>934.79846</v>
      </c>
      <c r="Z245" s="158" t="n">
        <v>18.386701</v>
      </c>
      <c r="AA245" s="158" t="n">
        <v>3.37263</v>
      </c>
      <c r="AB245" s="159" t="n">
        <v>-0.4212607073</v>
      </c>
      <c r="AC245" s="159" t="n">
        <v>-0.5541441045</v>
      </c>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83" t="inlineStr">
        <is>
          <t>2025-12</t>
        </is>
      </c>
      <c r="B246" s="155" t="n">
        <v>3791.471935</v>
      </c>
      <c r="C246" s="155" t="n">
        <v>163.76</v>
      </c>
      <c r="D246" s="155" t="n">
        <v>1173.39</v>
      </c>
      <c r="E246" s="155" t="n">
        <v>13098.27</v>
      </c>
      <c r="F246" s="152" t="n">
        <v>9.25</v>
      </c>
      <c r="G246" s="152" t="n">
        <v>3.72</v>
      </c>
      <c r="H246" s="152" t="n">
        <v>5.53</v>
      </c>
      <c r="I246" s="156" t="n">
        <v>-7822.991807</v>
      </c>
      <c r="J246" s="152" t="n">
        <v>6.354401832</v>
      </c>
      <c r="K246" s="152" t="n">
        <v>120.1883227</v>
      </c>
      <c r="L246" s="152" t="n">
        <v>15.54818182</v>
      </c>
      <c r="M246" s="157" t="n">
        <v>0</v>
      </c>
      <c r="N246" s="155" t="n">
        <v>66352.3</v>
      </c>
      <c r="O246" s="152" t="n">
        <v>273.6956522</v>
      </c>
      <c r="P246" s="152" t="n">
        <v>2.736956522</v>
      </c>
      <c r="Q246" s="156" t="n">
        <v>172.27</v>
      </c>
      <c r="R246" s="156" t="n">
        <v>-2432.35</v>
      </c>
      <c r="S246" s="152" t="n">
        <v>12.3415</v>
      </c>
      <c r="T246" s="152" t="n">
        <v>6.241052632</v>
      </c>
      <c r="U246" s="152" t="n">
        <v>6.100447368</v>
      </c>
      <c r="V246" s="152" t="n">
        <v>2.215050025</v>
      </c>
      <c r="W246" s="152" t="n">
        <v>3.885397343</v>
      </c>
      <c r="X246" s="158" t="n">
        <v>5.456343478</v>
      </c>
      <c r="Y246" s="158" t="n">
        <v>913.9449913</v>
      </c>
      <c r="Z246" s="158" t="n">
        <v>18.04282565</v>
      </c>
      <c r="AA246" s="158" t="n">
        <v>3.366863158</v>
      </c>
      <c r="AB246" s="159" t="n">
        <v>-0.4150303452</v>
      </c>
      <c r="AC246" s="159" t="n">
        <v>-0.343229874</v>
      </c>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83" t="inlineStr">
        <is>
          <t>2026-01</t>
        </is>
      </c>
      <c r="B247" s="155" t="n">
        <v>3702.999032</v>
      </c>
      <c r="C247" s="155" t="n">
        <v>164.09</v>
      </c>
      <c r="D247" s="155" t="n">
        <v>1020.11</v>
      </c>
      <c r="E247" s="155" t="n">
        <v>13108.72</v>
      </c>
      <c r="F247" s="152" t="n">
        <v>9.25</v>
      </c>
      <c r="G247" s="152" t="n">
        <v>3.64</v>
      </c>
      <c r="H247" s="152" t="n">
        <v>5.61</v>
      </c>
      <c r="I247" s="156" t="n">
        <v>-5666.100052</v>
      </c>
      <c r="J247" s="152" t="n">
        <v>5.496041161</v>
      </c>
      <c r="K247" s="152" t="n">
        <v>119.22981</v>
      </c>
      <c r="L247" s="152" t="n">
        <v>16.17904762</v>
      </c>
      <c r="M247" s="157" t="n">
        <v>0</v>
      </c>
      <c r="N247" s="155" t="n">
        <v>66929.82000000001</v>
      </c>
      <c r="O247" s="152" t="n">
        <v>268.0909091</v>
      </c>
      <c r="P247" s="152" t="n">
        <v>2.680909091</v>
      </c>
      <c r="Q247" s="156" t="n">
        <v>79.91</v>
      </c>
      <c r="R247" s="156" t="n">
        <v>-1672.63</v>
      </c>
      <c r="S247" s="152" t="n">
        <v>12.5805</v>
      </c>
      <c r="T247" s="152" t="n">
        <v>5.8795</v>
      </c>
      <c r="U247" s="152" t="n">
        <v>6.701</v>
      </c>
      <c r="V247" s="152" t="n">
        <v>2.336664999</v>
      </c>
      <c r="W247" s="152" t="n">
        <v>4.364335001</v>
      </c>
      <c r="X247" s="158" t="n">
        <v>5.345190909</v>
      </c>
      <c r="Y247" s="158" t="n">
        <v>882.6829682</v>
      </c>
      <c r="Z247" s="158" t="n">
        <v>17.62665955</v>
      </c>
      <c r="AA247" s="158" t="n">
        <v>3.356115</v>
      </c>
      <c r="AB247" s="159" t="n">
        <v>-1.003894719</v>
      </c>
      <c r="AC247" s="159" t="n">
        <v>-0.8147680318</v>
      </c>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83" t="inlineStr">
        <is>
          <t>2026-02</t>
        </is>
      </c>
      <c r="B248" s="155" t="n">
        <v>3675.641429</v>
      </c>
      <c r="C248" s="155" t="n">
        <v>165.05</v>
      </c>
      <c r="D248" s="155" t="n">
        <v>1101.16</v>
      </c>
      <c r="E248" s="155" t="n">
        <v>13178.25</v>
      </c>
      <c r="F248" s="152" t="n">
        <v>10.21428571</v>
      </c>
      <c r="G248" s="152" t="n">
        <v>3.64</v>
      </c>
      <c r="H248" s="152" t="n">
        <v>6.574285714</v>
      </c>
      <c r="I248" s="156" t="n">
        <v>-28017.28184</v>
      </c>
      <c r="J248" s="152" t="n">
        <v>6.021341708</v>
      </c>
      <c r="K248" s="152" t="n">
        <v>117.9060211</v>
      </c>
      <c r="L248" s="152" t="n">
        <v>19.207</v>
      </c>
      <c r="M248" s="157" t="n">
        <v>0</v>
      </c>
      <c r="N248" s="155" t="n">
        <v>67424.11</v>
      </c>
      <c r="O248" s="152" t="n">
        <v>262.5</v>
      </c>
      <c r="P248" s="152" t="n">
        <v>2.625</v>
      </c>
      <c r="Q248" s="156" t="n">
        <v>446.75</v>
      </c>
      <c r="R248" s="156" t="n">
        <v>-2646.36</v>
      </c>
      <c r="S248" s="152" t="n">
        <v>13.1775</v>
      </c>
      <c r="T248" s="152" t="n">
        <v>6.146</v>
      </c>
      <c r="U248" s="152" t="n">
        <v>7.0315</v>
      </c>
      <c r="V248" s="152" t="n">
        <v>2.399415794</v>
      </c>
      <c r="W248" s="152" t="n">
        <v>4.632084206</v>
      </c>
      <c r="X248" s="158" t="n">
        <v>5.203135</v>
      </c>
      <c r="Y248" s="158" t="n">
        <v>862.716485</v>
      </c>
      <c r="Z248" s="158" t="n">
        <v>17.187973</v>
      </c>
      <c r="AA248" s="158" t="n">
        <v>3.35664</v>
      </c>
      <c r="AB248" s="159" t="n">
        <v>-0.9351712405</v>
      </c>
      <c r="AC248" s="159" t="n">
        <v>-0.6957686099</v>
      </c>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83" t="inlineStr">
        <is>
          <t>2026-03</t>
        </is>
      </c>
      <c r="B249" s="155" t="n">
        <v>3717.557419</v>
      </c>
      <c r="C249" s="155" t="n">
        <v>180.04</v>
      </c>
      <c r="D249" s="155" t="n">
        <v>1225.69</v>
      </c>
      <c r="E249" s="155" t="n">
        <v>13314.61</v>
      </c>
      <c r="F249" s="152" t="n">
        <v>10.25</v>
      </c>
      <c r="G249" s="152" t="n">
        <v>3.64</v>
      </c>
      <c r="H249" s="152" t="n">
        <v>6.61</v>
      </c>
      <c r="I249" s="156" t="n">
        <v>-2351.738572</v>
      </c>
      <c r="J249" s="152" t="n">
        <v>5.76200041</v>
      </c>
      <c r="K249" s="152" t="n">
        <v>119.9198545</v>
      </c>
      <c r="L249" s="152" t="n">
        <v>25.59681818</v>
      </c>
      <c r="M249" s="157" t="n">
        <v>0</v>
      </c>
      <c r="N249" s="155" t="n">
        <v>66611.03</v>
      </c>
      <c r="O249" s="152" t="n">
        <v>280.3181818</v>
      </c>
      <c r="P249" s="152" t="n">
        <v>2.803181818</v>
      </c>
      <c r="Q249" s="156" t="n">
        <v>231.61</v>
      </c>
      <c r="R249" s="156" t="n">
        <v>-3652.38</v>
      </c>
      <c r="S249" s="152" t="n">
        <v>13.75428571</v>
      </c>
      <c r="T249" s="152" t="n">
        <v>7.04</v>
      </c>
      <c r="U249" s="152" t="n">
        <v>6.714285714</v>
      </c>
      <c r="V249" s="152" t="n">
        <v>2.510727265</v>
      </c>
      <c r="W249" s="152" t="n">
        <v>4.20355845</v>
      </c>
      <c r="X249" s="158" t="n">
        <v>5.231281818</v>
      </c>
      <c r="Y249" s="158" t="n">
        <v>912.7447773</v>
      </c>
      <c r="Z249" s="158" t="n">
        <v>17.69336409</v>
      </c>
      <c r="AA249" s="158" t="n">
        <v>3.448359091</v>
      </c>
      <c r="AB249" s="159" t="n">
        <v>0.9966247935</v>
      </c>
      <c r="AC249" s="159" t="n">
        <v>1.292143866</v>
      </c>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83" t="inlineStr">
        <is>
          <t>2026-04</t>
        </is>
      </c>
      <c r="B250" s="155" t="n">
        <v>3617.518667</v>
      </c>
      <c r="C250" s="155" t="n">
        <v>185.04</v>
      </c>
      <c r="D250" s="155" t="n">
        <v>1102.86</v>
      </c>
      <c r="E250" s="155" t="n">
        <v>13320.06</v>
      </c>
      <c r="F250" s="152" t="n">
        <v>11.25</v>
      </c>
      <c r="G250" s="152" t="n">
        <v>3.64</v>
      </c>
      <c r="H250" s="152" t="n">
        <v>7.61</v>
      </c>
      <c r="I250" s="156" t="n">
        <v>-9092.641521</v>
      </c>
      <c r="J250" s="152" t="n">
        <v>5.539075577</v>
      </c>
      <c r="K250" s="152" t="n">
        <v>119.0363182</v>
      </c>
      <c r="L250" s="152" t="n">
        <v>19.81190476</v>
      </c>
      <c r="M250" s="157" t="n">
        <v>0</v>
      </c>
      <c r="N250" s="155" t="n">
        <v>67153.55</v>
      </c>
      <c r="O250" s="152" t="n">
        <v>244.7727273</v>
      </c>
      <c r="P250" s="152" t="n">
        <v>2.447727273</v>
      </c>
      <c r="Q250" s="156" t="n">
        <v>-29.74</v>
      </c>
      <c r="R250" s="156" t="n">
        <v>-1565.95</v>
      </c>
      <c r="S250" s="152" t="n">
        <v>13.4405</v>
      </c>
      <c r="T250" s="152" t="n">
        <v>6.8625</v>
      </c>
      <c r="U250" s="152" t="n">
        <v>6.578</v>
      </c>
      <c r="V250" s="152" t="n">
        <v>2.576072736</v>
      </c>
      <c r="W250" s="152" t="n">
        <v>4.001927264</v>
      </c>
      <c r="X250" s="158" t="n">
        <v>5.036581818</v>
      </c>
      <c r="Y250" s="158" t="n">
        <v>898.3015682</v>
      </c>
      <c r="Z250" s="158" t="n">
        <v>17.426435</v>
      </c>
      <c r="AA250" s="158" t="n">
        <v>3.44349</v>
      </c>
      <c r="AB250" s="159" t="n">
        <v>-0.8289013011</v>
      </c>
      <c r="AC250" s="159" t="n">
        <v>-0.6476321597</v>
      </c>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2">
    <mergeCell ref="A1:AC1"/>
    <mergeCell ref="A2:AC3"/>
  </mergeCell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1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s>
  <sheetData>
    <row r="1" ht="30" customHeight="1">
      <c r="A1" s="4" t="inlineStr">
        <is>
          <t>Transformaciones del modelo</t>
        </is>
      </c>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7" t="inlineStr">
        <is>
          <t>Todas las transformaciones son fórmulas enlazadas a Datos_fuente. Δ indica cambio mensual; ln indica logaritmo natural; asinh conserva el signo de los flujos y reduce el peso de valores extremos. Los rezagos cambian entre la explicación histórica y el pronóstico.</t>
        </is>
      </c>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ht="48" customHeight="1">
      <c r="A5" s="62" t="inlineStr">
        <is>
          <t>Mes</t>
        </is>
      </c>
      <c r="B5" s="62" t="inlineStr">
        <is>
          <t>ln TRM</t>
        </is>
      </c>
      <c r="C5" s="62" t="inlineStr">
        <is>
          <t>Δln TRM</t>
        </is>
      </c>
      <c r="D5" s="62" t="inlineStr">
        <is>
          <t>ln términos de intercambio</t>
        </is>
      </c>
      <c r="E5" s="62" t="inlineStr">
        <is>
          <t>Δln términos de intercambio</t>
        </is>
      </c>
      <c r="F5" s="62" t="inlineStr">
        <is>
          <t>ln remesas 12m</t>
        </is>
      </c>
      <c r="G5" s="62" t="inlineStr">
        <is>
          <t>Δln remesas 12m</t>
        </is>
      </c>
      <c r="H5" s="62" t="inlineStr">
        <is>
          <t>Diferencial tasas</t>
        </is>
      </c>
      <c r="I5" s="62" t="inlineStr">
        <is>
          <t>Δ diferencial</t>
        </is>
      </c>
      <c r="J5" s="62" t="inlineStr">
        <is>
          <t>Déficit 12m/PIB</t>
        </is>
      </c>
      <c r="K5" s="62" t="inlineStr">
        <is>
          <t>Δ déficit</t>
        </is>
      </c>
      <c r="L5" s="62" t="inlineStr">
        <is>
          <t>ln dólar amplio</t>
        </is>
      </c>
      <c r="M5" s="62" t="inlineStr">
        <is>
          <t>Δln dólar amplio</t>
        </is>
      </c>
      <c r="N5" s="62" t="inlineStr">
        <is>
          <t>ln VIX</t>
        </is>
      </c>
      <c r="O5" s="62" t="inlineStr">
        <is>
          <t>Δln VIX</t>
        </is>
      </c>
      <c r="P5" s="62" t="inlineStr">
        <is>
          <t>Pandemia</t>
        </is>
      </c>
      <c r="Q5" s="62" t="inlineStr">
        <is>
          <t>ln reservas netas sin FLAR</t>
        </is>
      </c>
      <c r="R5" s="62" t="inlineStr">
        <is>
          <t>Δln reservas</t>
        </is>
      </c>
      <c r="S5" s="62" t="inlineStr">
        <is>
          <t>EMBIG Colombia (pp)</t>
        </is>
      </c>
      <c r="T5" s="62" t="inlineStr">
        <is>
          <t>Δ EMBIG Colombia</t>
        </is>
      </c>
      <c r="U5" s="62" t="inlineStr">
        <is>
          <t>asinh balanza (USD miles de millones)</t>
        </is>
      </c>
      <c r="V5" s="62" t="inlineStr">
        <is>
          <t>Δ asinh balanza</t>
        </is>
      </c>
      <c r="W5" s="62" t="inlineStr">
        <is>
          <t>asinh flujos (USD miles de millones)</t>
        </is>
      </c>
      <c r="X5" s="62" t="inlineStr">
        <is>
          <t>Δ asinh flujos</t>
        </is>
      </c>
      <c r="Y5" s="62" t="inlineStr">
        <is>
          <t>Diferencial BEI 5 años</t>
        </is>
      </c>
      <c r="Z5" s="62" t="inlineStr">
        <is>
          <t>Δ diferencial BEI</t>
        </is>
      </c>
      <c r="AA5" s="62" t="inlineStr">
        <is>
          <t>Factor regional 3 monedas</t>
        </is>
      </c>
      <c r="AB5" s="62" t="inlineStr">
        <is>
          <t>Factor regional 4 monedas</t>
        </is>
      </c>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c r="A6" s="1">
        <f>'Datos_fuente'!A6</f>
        <v/>
      </c>
      <c r="B6" s="160">
        <f>IF('Datos_fuente'!B6="","",LN('Datos_fuente'!B6))</f>
        <v/>
      </c>
      <c r="C6" s="160" t="n"/>
      <c r="D6" s="160">
        <f>IF('Datos_fuente'!C6="","",LN('Datos_fuente'!C6))</f>
        <v/>
      </c>
      <c r="E6" s="160" t="n"/>
      <c r="F6" s="160">
        <f>IF('Datos_fuente'!E6="","",LN('Datos_fuente'!E6))</f>
        <v/>
      </c>
      <c r="G6" s="160" t="n"/>
      <c r="H6" s="161">
        <f>'Datos_fuente'!H6</f>
        <v/>
      </c>
      <c r="I6" s="161" t="n"/>
      <c r="J6" s="161">
        <f>'Datos_fuente'!J6</f>
        <v/>
      </c>
      <c r="K6" s="161" t="n"/>
      <c r="L6" s="160">
        <f>IF('Datos_fuente'!K6="","",LN('Datos_fuente'!K6))</f>
        <v/>
      </c>
      <c r="M6" s="160" t="n"/>
      <c r="N6" s="160">
        <f>IF('Datos_fuente'!L6="","",LN('Datos_fuente'!L6))</f>
        <v/>
      </c>
      <c r="O6" s="160" t="n"/>
      <c r="P6" s="162">
        <f>'Datos_fuente'!M6</f>
        <v/>
      </c>
      <c r="Q6" s="160">
        <f>IF('Datos_fuente'!N6="","",LN('Datos_fuente'!N6))</f>
        <v/>
      </c>
      <c r="R6" s="160" t="n"/>
      <c r="S6" s="161">
        <f>'Datos_fuente'!P6</f>
        <v/>
      </c>
      <c r="T6" s="161" t="n"/>
      <c r="U6" s="160">
        <f>IF('Datos_fuente'!Q6="","",ASINH('Datos_fuente'!Q6/1000))</f>
        <v/>
      </c>
      <c r="V6" s="160" t="n"/>
      <c r="W6" s="160">
        <f>IF('Datos_fuente'!R6="","",ASINH('Datos_fuente'!R6/1000))</f>
        <v/>
      </c>
      <c r="X6" s="160" t="n"/>
      <c r="Y6" s="161">
        <f>'Datos_fuente'!W6</f>
        <v/>
      </c>
      <c r="Z6" s="161" t="n"/>
      <c r="AA6" s="160">
        <f>'Datos_fuente'!AB6</f>
        <v/>
      </c>
      <c r="AB6" s="160">
        <f>'Datos_fuente'!AC6</f>
        <v/>
      </c>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c r="A7" s="1">
        <f>'Datos_fuente'!A7</f>
        <v/>
      </c>
      <c r="B7" s="160">
        <f>IF('Datos_fuente'!B7="","",LN('Datos_fuente'!B7))</f>
        <v/>
      </c>
      <c r="C7" s="160">
        <f>IF(OR(B7="",B6=""),"",B7-B6)</f>
        <v/>
      </c>
      <c r="D7" s="160">
        <f>IF('Datos_fuente'!C7="","",LN('Datos_fuente'!C7))</f>
        <v/>
      </c>
      <c r="E7" s="160">
        <f>IF(OR(D7="",D6=""),"",D7-D6)</f>
        <v/>
      </c>
      <c r="F7" s="160">
        <f>IF('Datos_fuente'!E7="","",LN('Datos_fuente'!E7))</f>
        <v/>
      </c>
      <c r="G7" s="160">
        <f>IF(OR(F7="",F6=""),"",F7-F6)</f>
        <v/>
      </c>
      <c r="H7" s="161">
        <f>'Datos_fuente'!H7</f>
        <v/>
      </c>
      <c r="I7" s="161">
        <f>IF(OR(H7="",H6=""),"",H7-H6)</f>
        <v/>
      </c>
      <c r="J7" s="161">
        <f>'Datos_fuente'!J7</f>
        <v/>
      </c>
      <c r="K7" s="161">
        <f>IF(OR(J7="",J6=""),"",J7-J6)</f>
        <v/>
      </c>
      <c r="L7" s="160">
        <f>IF('Datos_fuente'!K7="","",LN('Datos_fuente'!K7))</f>
        <v/>
      </c>
      <c r="M7" s="160">
        <f>IF(OR(L7="",L6=""),"",L7-L6)</f>
        <v/>
      </c>
      <c r="N7" s="160">
        <f>IF('Datos_fuente'!L7="","",LN('Datos_fuente'!L7))</f>
        <v/>
      </c>
      <c r="O7" s="160">
        <f>IF(OR(N7="",N6=""),"",N7-N6)</f>
        <v/>
      </c>
      <c r="P7" s="162">
        <f>'Datos_fuente'!M7</f>
        <v/>
      </c>
      <c r="Q7" s="160">
        <f>IF('Datos_fuente'!N7="","",LN('Datos_fuente'!N7))</f>
        <v/>
      </c>
      <c r="R7" s="160">
        <f>IF(OR(Q7="",Q6=""),"",Q7-Q6)</f>
        <v/>
      </c>
      <c r="S7" s="161">
        <f>'Datos_fuente'!P7</f>
        <v/>
      </c>
      <c r="T7" s="161">
        <f>IF(OR(S7="",S6=""),"",S7-S6)</f>
        <v/>
      </c>
      <c r="U7" s="160">
        <f>IF('Datos_fuente'!Q7="","",ASINH('Datos_fuente'!Q7/1000))</f>
        <v/>
      </c>
      <c r="V7" s="160">
        <f>IF(OR(U7="",U6=""),"",U7-U6)</f>
        <v/>
      </c>
      <c r="W7" s="160">
        <f>IF('Datos_fuente'!R7="","",ASINH('Datos_fuente'!R7/1000))</f>
        <v/>
      </c>
      <c r="X7" s="160">
        <f>IF(OR(W7="",W6=""),"",W7-W6)</f>
        <v/>
      </c>
      <c r="Y7" s="161">
        <f>'Datos_fuente'!W7</f>
        <v/>
      </c>
      <c r="Z7" s="161">
        <f>IF(OR(Y7="",Y6=""),"",Y7-Y6)</f>
        <v/>
      </c>
      <c r="AA7" s="160">
        <f>'Datos_fuente'!AB7</f>
        <v/>
      </c>
      <c r="AB7" s="160">
        <f>'Datos_fuente'!AC7</f>
        <v/>
      </c>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c r="A8" s="1">
        <f>'Datos_fuente'!A8</f>
        <v/>
      </c>
      <c r="B8" s="160">
        <f>IF('Datos_fuente'!B8="","",LN('Datos_fuente'!B8))</f>
        <v/>
      </c>
      <c r="C8" s="160">
        <f>IF(OR(B8="",B7=""),"",B8-B7)</f>
        <v/>
      </c>
      <c r="D8" s="160">
        <f>IF('Datos_fuente'!C8="","",LN('Datos_fuente'!C8))</f>
        <v/>
      </c>
      <c r="E8" s="160">
        <f>IF(OR(D8="",D7=""),"",D8-D7)</f>
        <v/>
      </c>
      <c r="F8" s="160">
        <f>IF('Datos_fuente'!E8="","",LN('Datos_fuente'!E8))</f>
        <v/>
      </c>
      <c r="G8" s="160">
        <f>IF(OR(F8="",F7=""),"",F8-F7)</f>
        <v/>
      </c>
      <c r="H8" s="161">
        <f>'Datos_fuente'!H8</f>
        <v/>
      </c>
      <c r="I8" s="161">
        <f>IF(OR(H8="",H7=""),"",H8-H7)</f>
        <v/>
      </c>
      <c r="J8" s="161">
        <f>'Datos_fuente'!J8</f>
        <v/>
      </c>
      <c r="K8" s="161">
        <f>IF(OR(J8="",J7=""),"",J8-J7)</f>
        <v/>
      </c>
      <c r="L8" s="160">
        <f>IF('Datos_fuente'!K8="","",LN('Datos_fuente'!K8))</f>
        <v/>
      </c>
      <c r="M8" s="160">
        <f>IF(OR(L8="",L7=""),"",L8-L7)</f>
        <v/>
      </c>
      <c r="N8" s="160">
        <f>IF('Datos_fuente'!L8="","",LN('Datos_fuente'!L8))</f>
        <v/>
      </c>
      <c r="O8" s="160">
        <f>IF(OR(N8="",N7=""),"",N8-N7)</f>
        <v/>
      </c>
      <c r="P8" s="162">
        <f>'Datos_fuente'!M8</f>
        <v/>
      </c>
      <c r="Q8" s="160">
        <f>IF('Datos_fuente'!N8="","",LN('Datos_fuente'!N8))</f>
        <v/>
      </c>
      <c r="R8" s="160">
        <f>IF(OR(Q8="",Q7=""),"",Q8-Q7)</f>
        <v/>
      </c>
      <c r="S8" s="161">
        <f>'Datos_fuente'!P8</f>
        <v/>
      </c>
      <c r="T8" s="161">
        <f>IF(OR(S8="",S7=""),"",S8-S7)</f>
        <v/>
      </c>
      <c r="U8" s="160">
        <f>IF('Datos_fuente'!Q8="","",ASINH('Datos_fuente'!Q8/1000))</f>
        <v/>
      </c>
      <c r="V8" s="160">
        <f>IF(OR(U8="",U7=""),"",U8-U7)</f>
        <v/>
      </c>
      <c r="W8" s="160">
        <f>IF('Datos_fuente'!R8="","",ASINH('Datos_fuente'!R8/1000))</f>
        <v/>
      </c>
      <c r="X8" s="160">
        <f>IF(OR(W8="",W7=""),"",W8-W7)</f>
        <v/>
      </c>
      <c r="Y8" s="161">
        <f>'Datos_fuente'!W8</f>
        <v/>
      </c>
      <c r="Z8" s="161">
        <f>IF(OR(Y8="",Y7=""),"",Y8-Y7)</f>
        <v/>
      </c>
      <c r="AA8" s="160">
        <f>'Datos_fuente'!AB8</f>
        <v/>
      </c>
      <c r="AB8" s="160">
        <f>'Datos_fuente'!AC8</f>
        <v/>
      </c>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c r="A9" s="1">
        <f>'Datos_fuente'!A9</f>
        <v/>
      </c>
      <c r="B9" s="160">
        <f>IF('Datos_fuente'!B9="","",LN('Datos_fuente'!B9))</f>
        <v/>
      </c>
      <c r="C9" s="160">
        <f>IF(OR(B9="",B8=""),"",B9-B8)</f>
        <v/>
      </c>
      <c r="D9" s="160">
        <f>IF('Datos_fuente'!C9="","",LN('Datos_fuente'!C9))</f>
        <v/>
      </c>
      <c r="E9" s="160">
        <f>IF(OR(D9="",D8=""),"",D9-D8)</f>
        <v/>
      </c>
      <c r="F9" s="160">
        <f>IF('Datos_fuente'!E9="","",LN('Datos_fuente'!E9))</f>
        <v/>
      </c>
      <c r="G9" s="160">
        <f>IF(OR(F9="",F8=""),"",F9-F8)</f>
        <v/>
      </c>
      <c r="H9" s="161">
        <f>'Datos_fuente'!H9</f>
        <v/>
      </c>
      <c r="I9" s="161">
        <f>IF(OR(H9="",H8=""),"",H9-H8)</f>
        <v/>
      </c>
      <c r="J9" s="161">
        <f>'Datos_fuente'!J9</f>
        <v/>
      </c>
      <c r="K9" s="161">
        <f>IF(OR(J9="",J8=""),"",J9-J8)</f>
        <v/>
      </c>
      <c r="L9" s="160">
        <f>IF('Datos_fuente'!K9="","",LN('Datos_fuente'!K9))</f>
        <v/>
      </c>
      <c r="M9" s="160">
        <f>IF(OR(L9="",L8=""),"",L9-L8)</f>
        <v/>
      </c>
      <c r="N9" s="160">
        <f>IF('Datos_fuente'!L9="","",LN('Datos_fuente'!L9))</f>
        <v/>
      </c>
      <c r="O9" s="160">
        <f>IF(OR(N9="",N8=""),"",N9-N8)</f>
        <v/>
      </c>
      <c r="P9" s="162">
        <f>'Datos_fuente'!M9</f>
        <v/>
      </c>
      <c r="Q9" s="160">
        <f>IF('Datos_fuente'!N9="","",LN('Datos_fuente'!N9))</f>
        <v/>
      </c>
      <c r="R9" s="160">
        <f>IF(OR(Q9="",Q8=""),"",Q9-Q8)</f>
        <v/>
      </c>
      <c r="S9" s="161">
        <f>'Datos_fuente'!P9</f>
        <v/>
      </c>
      <c r="T9" s="161">
        <f>IF(OR(S9="",S8=""),"",S9-S8)</f>
        <v/>
      </c>
      <c r="U9" s="160">
        <f>IF('Datos_fuente'!Q9="","",ASINH('Datos_fuente'!Q9/1000))</f>
        <v/>
      </c>
      <c r="V9" s="160">
        <f>IF(OR(U9="",U8=""),"",U9-U8)</f>
        <v/>
      </c>
      <c r="W9" s="160">
        <f>IF('Datos_fuente'!R9="","",ASINH('Datos_fuente'!R9/1000))</f>
        <v/>
      </c>
      <c r="X9" s="160">
        <f>IF(OR(W9="",W8=""),"",W9-W8)</f>
        <v/>
      </c>
      <c r="Y9" s="161">
        <f>'Datos_fuente'!W9</f>
        <v/>
      </c>
      <c r="Z9" s="161">
        <f>IF(OR(Y9="",Y8=""),"",Y9-Y8)</f>
        <v/>
      </c>
      <c r="AA9" s="160">
        <f>'Datos_fuente'!AB9</f>
        <v/>
      </c>
      <c r="AB9" s="160">
        <f>'Datos_fuente'!AC9</f>
        <v/>
      </c>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c r="A10" s="1">
        <f>'Datos_fuente'!A10</f>
        <v/>
      </c>
      <c r="B10" s="160">
        <f>IF('Datos_fuente'!B10="","",LN('Datos_fuente'!B10))</f>
        <v/>
      </c>
      <c r="C10" s="160">
        <f>IF(OR(B10="",B9=""),"",B10-B9)</f>
        <v/>
      </c>
      <c r="D10" s="160">
        <f>IF('Datos_fuente'!C10="","",LN('Datos_fuente'!C10))</f>
        <v/>
      </c>
      <c r="E10" s="160">
        <f>IF(OR(D10="",D9=""),"",D10-D9)</f>
        <v/>
      </c>
      <c r="F10" s="160">
        <f>IF('Datos_fuente'!E10="","",LN('Datos_fuente'!E10))</f>
        <v/>
      </c>
      <c r="G10" s="160">
        <f>IF(OR(F10="",F9=""),"",F10-F9)</f>
        <v/>
      </c>
      <c r="H10" s="161">
        <f>'Datos_fuente'!H10</f>
        <v/>
      </c>
      <c r="I10" s="161">
        <f>IF(OR(H10="",H9=""),"",H10-H9)</f>
        <v/>
      </c>
      <c r="J10" s="161">
        <f>'Datos_fuente'!J10</f>
        <v/>
      </c>
      <c r="K10" s="161">
        <f>IF(OR(J10="",J9=""),"",J10-J9)</f>
        <v/>
      </c>
      <c r="L10" s="160">
        <f>IF('Datos_fuente'!K10="","",LN('Datos_fuente'!K10))</f>
        <v/>
      </c>
      <c r="M10" s="160">
        <f>IF(OR(L10="",L9=""),"",L10-L9)</f>
        <v/>
      </c>
      <c r="N10" s="160">
        <f>IF('Datos_fuente'!L10="","",LN('Datos_fuente'!L10))</f>
        <v/>
      </c>
      <c r="O10" s="160">
        <f>IF(OR(N10="",N9=""),"",N10-N9)</f>
        <v/>
      </c>
      <c r="P10" s="162">
        <f>'Datos_fuente'!M10</f>
        <v/>
      </c>
      <c r="Q10" s="160">
        <f>IF('Datos_fuente'!N10="","",LN('Datos_fuente'!N10))</f>
        <v/>
      </c>
      <c r="R10" s="160">
        <f>IF(OR(Q10="",Q9=""),"",Q10-Q9)</f>
        <v/>
      </c>
      <c r="S10" s="161">
        <f>'Datos_fuente'!P10</f>
        <v/>
      </c>
      <c r="T10" s="161">
        <f>IF(OR(S10="",S9=""),"",S10-S9)</f>
        <v/>
      </c>
      <c r="U10" s="160">
        <f>IF('Datos_fuente'!Q10="","",ASINH('Datos_fuente'!Q10/1000))</f>
        <v/>
      </c>
      <c r="V10" s="160">
        <f>IF(OR(U10="",U9=""),"",U10-U9)</f>
        <v/>
      </c>
      <c r="W10" s="160">
        <f>IF('Datos_fuente'!R10="","",ASINH('Datos_fuente'!R10/1000))</f>
        <v/>
      </c>
      <c r="X10" s="160">
        <f>IF(OR(W10="",W9=""),"",W10-W9)</f>
        <v/>
      </c>
      <c r="Y10" s="161">
        <f>'Datos_fuente'!W10</f>
        <v/>
      </c>
      <c r="Z10" s="161">
        <f>IF(OR(Y10="",Y9=""),"",Y10-Y9)</f>
        <v/>
      </c>
      <c r="AA10" s="160">
        <f>'Datos_fuente'!AB10</f>
        <v/>
      </c>
      <c r="AB10" s="160">
        <f>'Datos_fuente'!AC10</f>
        <v/>
      </c>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c r="A11" s="1">
        <f>'Datos_fuente'!A11</f>
        <v/>
      </c>
      <c r="B11" s="160">
        <f>IF('Datos_fuente'!B11="","",LN('Datos_fuente'!B11))</f>
        <v/>
      </c>
      <c r="C11" s="160">
        <f>IF(OR(B11="",B10=""),"",B11-B10)</f>
        <v/>
      </c>
      <c r="D11" s="160">
        <f>IF('Datos_fuente'!C11="","",LN('Datos_fuente'!C11))</f>
        <v/>
      </c>
      <c r="E11" s="160">
        <f>IF(OR(D11="",D10=""),"",D11-D10)</f>
        <v/>
      </c>
      <c r="F11" s="160">
        <f>IF('Datos_fuente'!E11="","",LN('Datos_fuente'!E11))</f>
        <v/>
      </c>
      <c r="G11" s="160">
        <f>IF(OR(F11="",F10=""),"",F11-F10)</f>
        <v/>
      </c>
      <c r="H11" s="161">
        <f>'Datos_fuente'!H11</f>
        <v/>
      </c>
      <c r="I11" s="161">
        <f>IF(OR(H11="",H10=""),"",H11-H10)</f>
        <v/>
      </c>
      <c r="J11" s="161">
        <f>'Datos_fuente'!J11</f>
        <v/>
      </c>
      <c r="K11" s="161">
        <f>IF(OR(J11="",J10=""),"",J11-J10)</f>
        <v/>
      </c>
      <c r="L11" s="160">
        <f>IF('Datos_fuente'!K11="","",LN('Datos_fuente'!K11))</f>
        <v/>
      </c>
      <c r="M11" s="160">
        <f>IF(OR(L11="",L10=""),"",L11-L10)</f>
        <v/>
      </c>
      <c r="N11" s="160">
        <f>IF('Datos_fuente'!L11="","",LN('Datos_fuente'!L11))</f>
        <v/>
      </c>
      <c r="O11" s="160">
        <f>IF(OR(N11="",N10=""),"",N11-N10)</f>
        <v/>
      </c>
      <c r="P11" s="162">
        <f>'Datos_fuente'!M11</f>
        <v/>
      </c>
      <c r="Q11" s="160">
        <f>IF('Datos_fuente'!N11="","",LN('Datos_fuente'!N11))</f>
        <v/>
      </c>
      <c r="R11" s="160">
        <f>IF(OR(Q11="",Q10=""),"",Q11-Q10)</f>
        <v/>
      </c>
      <c r="S11" s="161">
        <f>'Datos_fuente'!P11</f>
        <v/>
      </c>
      <c r="T11" s="161">
        <f>IF(OR(S11="",S10=""),"",S11-S10)</f>
        <v/>
      </c>
      <c r="U11" s="160">
        <f>IF('Datos_fuente'!Q11="","",ASINH('Datos_fuente'!Q11/1000))</f>
        <v/>
      </c>
      <c r="V11" s="160">
        <f>IF(OR(U11="",U10=""),"",U11-U10)</f>
        <v/>
      </c>
      <c r="W11" s="160">
        <f>IF('Datos_fuente'!R11="","",ASINH('Datos_fuente'!R11/1000))</f>
        <v/>
      </c>
      <c r="X11" s="160">
        <f>IF(OR(W11="",W10=""),"",W11-W10)</f>
        <v/>
      </c>
      <c r="Y11" s="161">
        <f>'Datos_fuente'!W11</f>
        <v/>
      </c>
      <c r="Z11" s="161">
        <f>IF(OR(Y11="",Y10=""),"",Y11-Y10)</f>
        <v/>
      </c>
      <c r="AA11" s="160">
        <f>'Datos_fuente'!AB11</f>
        <v/>
      </c>
      <c r="AB11" s="160">
        <f>'Datos_fuente'!AC11</f>
        <v/>
      </c>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c r="A12" s="1">
        <f>'Datos_fuente'!A12</f>
        <v/>
      </c>
      <c r="B12" s="160">
        <f>IF('Datos_fuente'!B12="","",LN('Datos_fuente'!B12))</f>
        <v/>
      </c>
      <c r="C12" s="160">
        <f>IF(OR(B12="",B11=""),"",B12-B11)</f>
        <v/>
      </c>
      <c r="D12" s="160">
        <f>IF('Datos_fuente'!C12="","",LN('Datos_fuente'!C12))</f>
        <v/>
      </c>
      <c r="E12" s="160">
        <f>IF(OR(D12="",D11=""),"",D12-D11)</f>
        <v/>
      </c>
      <c r="F12" s="160">
        <f>IF('Datos_fuente'!E12="","",LN('Datos_fuente'!E12))</f>
        <v/>
      </c>
      <c r="G12" s="160">
        <f>IF(OR(F12="",F11=""),"",F12-F11)</f>
        <v/>
      </c>
      <c r="H12" s="161">
        <f>'Datos_fuente'!H12</f>
        <v/>
      </c>
      <c r="I12" s="161">
        <f>IF(OR(H12="",H11=""),"",H12-H11)</f>
        <v/>
      </c>
      <c r="J12" s="161">
        <f>'Datos_fuente'!J12</f>
        <v/>
      </c>
      <c r="K12" s="161">
        <f>IF(OR(J12="",J11=""),"",J12-J11)</f>
        <v/>
      </c>
      <c r="L12" s="160">
        <f>IF('Datos_fuente'!K12="","",LN('Datos_fuente'!K12))</f>
        <v/>
      </c>
      <c r="M12" s="160">
        <f>IF(OR(L12="",L11=""),"",L12-L11)</f>
        <v/>
      </c>
      <c r="N12" s="160">
        <f>IF('Datos_fuente'!L12="","",LN('Datos_fuente'!L12))</f>
        <v/>
      </c>
      <c r="O12" s="160">
        <f>IF(OR(N12="",N11=""),"",N12-N11)</f>
        <v/>
      </c>
      <c r="P12" s="162">
        <f>'Datos_fuente'!M12</f>
        <v/>
      </c>
      <c r="Q12" s="160">
        <f>IF('Datos_fuente'!N12="","",LN('Datos_fuente'!N12))</f>
        <v/>
      </c>
      <c r="R12" s="160">
        <f>IF(OR(Q12="",Q11=""),"",Q12-Q11)</f>
        <v/>
      </c>
      <c r="S12" s="161">
        <f>'Datos_fuente'!P12</f>
        <v/>
      </c>
      <c r="T12" s="161">
        <f>IF(OR(S12="",S11=""),"",S12-S11)</f>
        <v/>
      </c>
      <c r="U12" s="160">
        <f>IF('Datos_fuente'!Q12="","",ASINH('Datos_fuente'!Q12/1000))</f>
        <v/>
      </c>
      <c r="V12" s="160">
        <f>IF(OR(U12="",U11=""),"",U12-U11)</f>
        <v/>
      </c>
      <c r="W12" s="160">
        <f>IF('Datos_fuente'!R12="","",ASINH('Datos_fuente'!R12/1000))</f>
        <v/>
      </c>
      <c r="X12" s="160">
        <f>IF(OR(W12="",W11=""),"",W12-W11)</f>
        <v/>
      </c>
      <c r="Y12" s="161">
        <f>'Datos_fuente'!W12</f>
        <v/>
      </c>
      <c r="Z12" s="161">
        <f>IF(OR(Y12="",Y11=""),"",Y12-Y11)</f>
        <v/>
      </c>
      <c r="AA12" s="160">
        <f>'Datos_fuente'!AB12</f>
        <v/>
      </c>
      <c r="AB12" s="160">
        <f>'Datos_fuente'!AC12</f>
        <v/>
      </c>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c r="A13" s="1">
        <f>'Datos_fuente'!A13</f>
        <v/>
      </c>
      <c r="B13" s="160">
        <f>IF('Datos_fuente'!B13="","",LN('Datos_fuente'!B13))</f>
        <v/>
      </c>
      <c r="C13" s="160">
        <f>IF(OR(B13="",B12=""),"",B13-B12)</f>
        <v/>
      </c>
      <c r="D13" s="160">
        <f>IF('Datos_fuente'!C13="","",LN('Datos_fuente'!C13))</f>
        <v/>
      </c>
      <c r="E13" s="160">
        <f>IF(OR(D13="",D12=""),"",D13-D12)</f>
        <v/>
      </c>
      <c r="F13" s="160">
        <f>IF('Datos_fuente'!E13="","",LN('Datos_fuente'!E13))</f>
        <v/>
      </c>
      <c r="G13" s="160">
        <f>IF(OR(F13="",F12=""),"",F13-F12)</f>
        <v/>
      </c>
      <c r="H13" s="161">
        <f>'Datos_fuente'!H13</f>
        <v/>
      </c>
      <c r="I13" s="161">
        <f>IF(OR(H13="",H12=""),"",H13-H12)</f>
        <v/>
      </c>
      <c r="J13" s="161">
        <f>'Datos_fuente'!J13</f>
        <v/>
      </c>
      <c r="K13" s="161">
        <f>IF(OR(J13="",J12=""),"",J13-J12)</f>
        <v/>
      </c>
      <c r="L13" s="160">
        <f>IF('Datos_fuente'!K13="","",LN('Datos_fuente'!K13))</f>
        <v/>
      </c>
      <c r="M13" s="160">
        <f>IF(OR(L13="",L12=""),"",L13-L12)</f>
        <v/>
      </c>
      <c r="N13" s="160">
        <f>IF('Datos_fuente'!L13="","",LN('Datos_fuente'!L13))</f>
        <v/>
      </c>
      <c r="O13" s="160">
        <f>IF(OR(N13="",N12=""),"",N13-N12)</f>
        <v/>
      </c>
      <c r="P13" s="162">
        <f>'Datos_fuente'!M13</f>
        <v/>
      </c>
      <c r="Q13" s="160">
        <f>IF('Datos_fuente'!N13="","",LN('Datos_fuente'!N13))</f>
        <v/>
      </c>
      <c r="R13" s="160">
        <f>IF(OR(Q13="",Q12=""),"",Q13-Q12)</f>
        <v/>
      </c>
      <c r="S13" s="161">
        <f>'Datos_fuente'!P13</f>
        <v/>
      </c>
      <c r="T13" s="161">
        <f>IF(OR(S13="",S12=""),"",S13-S12)</f>
        <v/>
      </c>
      <c r="U13" s="160">
        <f>IF('Datos_fuente'!Q13="","",ASINH('Datos_fuente'!Q13/1000))</f>
        <v/>
      </c>
      <c r="V13" s="160">
        <f>IF(OR(U13="",U12=""),"",U13-U12)</f>
        <v/>
      </c>
      <c r="W13" s="160">
        <f>IF('Datos_fuente'!R13="","",ASINH('Datos_fuente'!R13/1000))</f>
        <v/>
      </c>
      <c r="X13" s="160">
        <f>IF(OR(W13="",W12=""),"",W13-W12)</f>
        <v/>
      </c>
      <c r="Y13" s="161">
        <f>'Datos_fuente'!W13</f>
        <v/>
      </c>
      <c r="Z13" s="161">
        <f>IF(OR(Y13="",Y12=""),"",Y13-Y12)</f>
        <v/>
      </c>
      <c r="AA13" s="160">
        <f>'Datos_fuente'!AB13</f>
        <v/>
      </c>
      <c r="AB13" s="160">
        <f>'Datos_fuente'!AC13</f>
        <v/>
      </c>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c r="A14" s="1">
        <f>'Datos_fuente'!A14</f>
        <v/>
      </c>
      <c r="B14" s="160">
        <f>IF('Datos_fuente'!B14="","",LN('Datos_fuente'!B14))</f>
        <v/>
      </c>
      <c r="C14" s="160">
        <f>IF(OR(B14="",B13=""),"",B14-B13)</f>
        <v/>
      </c>
      <c r="D14" s="160">
        <f>IF('Datos_fuente'!C14="","",LN('Datos_fuente'!C14))</f>
        <v/>
      </c>
      <c r="E14" s="160">
        <f>IF(OR(D14="",D13=""),"",D14-D13)</f>
        <v/>
      </c>
      <c r="F14" s="160">
        <f>IF('Datos_fuente'!E14="","",LN('Datos_fuente'!E14))</f>
        <v/>
      </c>
      <c r="G14" s="160">
        <f>IF(OR(F14="",F13=""),"",F14-F13)</f>
        <v/>
      </c>
      <c r="H14" s="161">
        <f>'Datos_fuente'!H14</f>
        <v/>
      </c>
      <c r="I14" s="161">
        <f>IF(OR(H14="",H13=""),"",H14-H13)</f>
        <v/>
      </c>
      <c r="J14" s="161">
        <f>'Datos_fuente'!J14</f>
        <v/>
      </c>
      <c r="K14" s="161">
        <f>IF(OR(J14="",J13=""),"",J14-J13)</f>
        <v/>
      </c>
      <c r="L14" s="160">
        <f>IF('Datos_fuente'!K14="","",LN('Datos_fuente'!K14))</f>
        <v/>
      </c>
      <c r="M14" s="160">
        <f>IF(OR(L14="",L13=""),"",L14-L13)</f>
        <v/>
      </c>
      <c r="N14" s="160">
        <f>IF('Datos_fuente'!L14="","",LN('Datos_fuente'!L14))</f>
        <v/>
      </c>
      <c r="O14" s="160">
        <f>IF(OR(N14="",N13=""),"",N14-N13)</f>
        <v/>
      </c>
      <c r="P14" s="162">
        <f>'Datos_fuente'!M14</f>
        <v/>
      </c>
      <c r="Q14" s="160">
        <f>IF('Datos_fuente'!N14="","",LN('Datos_fuente'!N14))</f>
        <v/>
      </c>
      <c r="R14" s="160">
        <f>IF(OR(Q14="",Q13=""),"",Q14-Q13)</f>
        <v/>
      </c>
      <c r="S14" s="161">
        <f>'Datos_fuente'!P14</f>
        <v/>
      </c>
      <c r="T14" s="161">
        <f>IF(OR(S14="",S13=""),"",S14-S13)</f>
        <v/>
      </c>
      <c r="U14" s="160">
        <f>IF('Datos_fuente'!Q14="","",ASINH('Datos_fuente'!Q14/1000))</f>
        <v/>
      </c>
      <c r="V14" s="160">
        <f>IF(OR(U14="",U13=""),"",U14-U13)</f>
        <v/>
      </c>
      <c r="W14" s="160">
        <f>IF('Datos_fuente'!R14="","",ASINH('Datos_fuente'!R14/1000))</f>
        <v/>
      </c>
      <c r="X14" s="160">
        <f>IF(OR(W14="",W13=""),"",W14-W13)</f>
        <v/>
      </c>
      <c r="Y14" s="161">
        <f>'Datos_fuente'!W14</f>
        <v/>
      </c>
      <c r="Z14" s="161">
        <f>IF(OR(Y14="",Y13=""),"",Y14-Y13)</f>
        <v/>
      </c>
      <c r="AA14" s="160">
        <f>'Datos_fuente'!AB14</f>
        <v/>
      </c>
      <c r="AB14" s="160">
        <f>'Datos_fuente'!AC14</f>
        <v/>
      </c>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c r="A15" s="1">
        <f>'Datos_fuente'!A15</f>
        <v/>
      </c>
      <c r="B15" s="160">
        <f>IF('Datos_fuente'!B15="","",LN('Datos_fuente'!B15))</f>
        <v/>
      </c>
      <c r="C15" s="160">
        <f>IF(OR(B15="",B14=""),"",B15-B14)</f>
        <v/>
      </c>
      <c r="D15" s="160">
        <f>IF('Datos_fuente'!C15="","",LN('Datos_fuente'!C15))</f>
        <v/>
      </c>
      <c r="E15" s="160">
        <f>IF(OR(D15="",D14=""),"",D15-D14)</f>
        <v/>
      </c>
      <c r="F15" s="160">
        <f>IF('Datos_fuente'!E15="","",LN('Datos_fuente'!E15))</f>
        <v/>
      </c>
      <c r="G15" s="160">
        <f>IF(OR(F15="",F14=""),"",F15-F14)</f>
        <v/>
      </c>
      <c r="H15" s="161">
        <f>'Datos_fuente'!H15</f>
        <v/>
      </c>
      <c r="I15" s="161">
        <f>IF(OR(H15="",H14=""),"",H15-H14)</f>
        <v/>
      </c>
      <c r="J15" s="161">
        <f>'Datos_fuente'!J15</f>
        <v/>
      </c>
      <c r="K15" s="161">
        <f>IF(OR(J15="",J14=""),"",J15-J14)</f>
        <v/>
      </c>
      <c r="L15" s="160">
        <f>IF('Datos_fuente'!K15="","",LN('Datos_fuente'!K15))</f>
        <v/>
      </c>
      <c r="M15" s="160">
        <f>IF(OR(L15="",L14=""),"",L15-L14)</f>
        <v/>
      </c>
      <c r="N15" s="160">
        <f>IF('Datos_fuente'!L15="","",LN('Datos_fuente'!L15))</f>
        <v/>
      </c>
      <c r="O15" s="160">
        <f>IF(OR(N15="",N14=""),"",N15-N14)</f>
        <v/>
      </c>
      <c r="P15" s="162">
        <f>'Datos_fuente'!M15</f>
        <v/>
      </c>
      <c r="Q15" s="160">
        <f>IF('Datos_fuente'!N15="","",LN('Datos_fuente'!N15))</f>
        <v/>
      </c>
      <c r="R15" s="160">
        <f>IF(OR(Q15="",Q14=""),"",Q15-Q14)</f>
        <v/>
      </c>
      <c r="S15" s="161">
        <f>'Datos_fuente'!P15</f>
        <v/>
      </c>
      <c r="T15" s="161">
        <f>IF(OR(S15="",S14=""),"",S15-S14)</f>
        <v/>
      </c>
      <c r="U15" s="160">
        <f>IF('Datos_fuente'!Q15="","",ASINH('Datos_fuente'!Q15/1000))</f>
        <v/>
      </c>
      <c r="V15" s="160">
        <f>IF(OR(U15="",U14=""),"",U15-U14)</f>
        <v/>
      </c>
      <c r="W15" s="160">
        <f>IF('Datos_fuente'!R15="","",ASINH('Datos_fuente'!R15/1000))</f>
        <v/>
      </c>
      <c r="X15" s="160">
        <f>IF(OR(W15="",W14=""),"",W15-W14)</f>
        <v/>
      </c>
      <c r="Y15" s="161">
        <f>'Datos_fuente'!W15</f>
        <v/>
      </c>
      <c r="Z15" s="161">
        <f>IF(OR(Y15="",Y14=""),"",Y15-Y14)</f>
        <v/>
      </c>
      <c r="AA15" s="160">
        <f>'Datos_fuente'!AB15</f>
        <v/>
      </c>
      <c r="AB15" s="160">
        <f>'Datos_fuente'!AC15</f>
        <v/>
      </c>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c r="A16" s="1">
        <f>'Datos_fuente'!A16</f>
        <v/>
      </c>
      <c r="B16" s="160">
        <f>IF('Datos_fuente'!B16="","",LN('Datos_fuente'!B16))</f>
        <v/>
      </c>
      <c r="C16" s="160">
        <f>IF(OR(B16="",B15=""),"",B16-B15)</f>
        <v/>
      </c>
      <c r="D16" s="160">
        <f>IF('Datos_fuente'!C16="","",LN('Datos_fuente'!C16))</f>
        <v/>
      </c>
      <c r="E16" s="160">
        <f>IF(OR(D16="",D15=""),"",D16-D15)</f>
        <v/>
      </c>
      <c r="F16" s="160">
        <f>IF('Datos_fuente'!E16="","",LN('Datos_fuente'!E16))</f>
        <v/>
      </c>
      <c r="G16" s="160">
        <f>IF(OR(F16="",F15=""),"",F16-F15)</f>
        <v/>
      </c>
      <c r="H16" s="161">
        <f>'Datos_fuente'!H16</f>
        <v/>
      </c>
      <c r="I16" s="161">
        <f>IF(OR(H16="",H15=""),"",H16-H15)</f>
        <v/>
      </c>
      <c r="J16" s="161">
        <f>'Datos_fuente'!J16</f>
        <v/>
      </c>
      <c r="K16" s="161">
        <f>IF(OR(J16="",J15=""),"",J16-J15)</f>
        <v/>
      </c>
      <c r="L16" s="160">
        <f>IF('Datos_fuente'!K16="","",LN('Datos_fuente'!K16))</f>
        <v/>
      </c>
      <c r="M16" s="160">
        <f>IF(OR(L16="",L15=""),"",L16-L15)</f>
        <v/>
      </c>
      <c r="N16" s="160">
        <f>IF('Datos_fuente'!L16="","",LN('Datos_fuente'!L16))</f>
        <v/>
      </c>
      <c r="O16" s="160">
        <f>IF(OR(N16="",N15=""),"",N16-N15)</f>
        <v/>
      </c>
      <c r="P16" s="162">
        <f>'Datos_fuente'!M16</f>
        <v/>
      </c>
      <c r="Q16" s="160">
        <f>IF('Datos_fuente'!N16="","",LN('Datos_fuente'!N16))</f>
        <v/>
      </c>
      <c r="R16" s="160">
        <f>IF(OR(Q16="",Q15=""),"",Q16-Q15)</f>
        <v/>
      </c>
      <c r="S16" s="161">
        <f>'Datos_fuente'!P16</f>
        <v/>
      </c>
      <c r="T16" s="161">
        <f>IF(OR(S16="",S15=""),"",S16-S15)</f>
        <v/>
      </c>
      <c r="U16" s="160">
        <f>IF('Datos_fuente'!Q16="","",ASINH('Datos_fuente'!Q16/1000))</f>
        <v/>
      </c>
      <c r="V16" s="160">
        <f>IF(OR(U16="",U15=""),"",U16-U15)</f>
        <v/>
      </c>
      <c r="W16" s="160">
        <f>IF('Datos_fuente'!R16="","",ASINH('Datos_fuente'!R16/1000))</f>
        <v/>
      </c>
      <c r="X16" s="160">
        <f>IF(OR(W16="",W15=""),"",W16-W15)</f>
        <v/>
      </c>
      <c r="Y16" s="161">
        <f>'Datos_fuente'!W16</f>
        <v/>
      </c>
      <c r="Z16" s="161">
        <f>IF(OR(Y16="",Y15=""),"",Y16-Y15)</f>
        <v/>
      </c>
      <c r="AA16" s="160">
        <f>'Datos_fuente'!AB16</f>
        <v/>
      </c>
      <c r="AB16" s="160">
        <f>'Datos_fuente'!AC16</f>
        <v/>
      </c>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c r="A17" s="1">
        <f>'Datos_fuente'!A17</f>
        <v/>
      </c>
      <c r="B17" s="160">
        <f>IF('Datos_fuente'!B17="","",LN('Datos_fuente'!B17))</f>
        <v/>
      </c>
      <c r="C17" s="160">
        <f>IF(OR(B17="",B16=""),"",B17-B16)</f>
        <v/>
      </c>
      <c r="D17" s="160">
        <f>IF('Datos_fuente'!C17="","",LN('Datos_fuente'!C17))</f>
        <v/>
      </c>
      <c r="E17" s="160">
        <f>IF(OR(D17="",D16=""),"",D17-D16)</f>
        <v/>
      </c>
      <c r="F17" s="160">
        <f>IF('Datos_fuente'!E17="","",LN('Datos_fuente'!E17))</f>
        <v/>
      </c>
      <c r="G17" s="160">
        <f>IF(OR(F17="",F16=""),"",F17-F16)</f>
        <v/>
      </c>
      <c r="H17" s="161">
        <f>'Datos_fuente'!H17</f>
        <v/>
      </c>
      <c r="I17" s="161">
        <f>IF(OR(H17="",H16=""),"",H17-H16)</f>
        <v/>
      </c>
      <c r="J17" s="161">
        <f>'Datos_fuente'!J17</f>
        <v/>
      </c>
      <c r="K17" s="161">
        <f>IF(OR(J17="",J16=""),"",J17-J16)</f>
        <v/>
      </c>
      <c r="L17" s="160">
        <f>IF('Datos_fuente'!K17="","",LN('Datos_fuente'!K17))</f>
        <v/>
      </c>
      <c r="M17" s="160">
        <f>IF(OR(L17="",L16=""),"",L17-L16)</f>
        <v/>
      </c>
      <c r="N17" s="160">
        <f>IF('Datos_fuente'!L17="","",LN('Datos_fuente'!L17))</f>
        <v/>
      </c>
      <c r="O17" s="160">
        <f>IF(OR(N17="",N16=""),"",N17-N16)</f>
        <v/>
      </c>
      <c r="P17" s="162">
        <f>'Datos_fuente'!M17</f>
        <v/>
      </c>
      <c r="Q17" s="160">
        <f>IF('Datos_fuente'!N17="","",LN('Datos_fuente'!N17))</f>
        <v/>
      </c>
      <c r="R17" s="160">
        <f>IF(OR(Q17="",Q16=""),"",Q17-Q16)</f>
        <v/>
      </c>
      <c r="S17" s="161">
        <f>'Datos_fuente'!P17</f>
        <v/>
      </c>
      <c r="T17" s="161">
        <f>IF(OR(S17="",S16=""),"",S17-S16)</f>
        <v/>
      </c>
      <c r="U17" s="160">
        <f>IF('Datos_fuente'!Q17="","",ASINH('Datos_fuente'!Q17/1000))</f>
        <v/>
      </c>
      <c r="V17" s="160">
        <f>IF(OR(U17="",U16=""),"",U17-U16)</f>
        <v/>
      </c>
      <c r="W17" s="160">
        <f>IF('Datos_fuente'!R17="","",ASINH('Datos_fuente'!R17/1000))</f>
        <v/>
      </c>
      <c r="X17" s="160">
        <f>IF(OR(W17="",W16=""),"",W17-W16)</f>
        <v/>
      </c>
      <c r="Y17" s="161">
        <f>'Datos_fuente'!W17</f>
        <v/>
      </c>
      <c r="Z17" s="161">
        <f>IF(OR(Y17="",Y16=""),"",Y17-Y16)</f>
        <v/>
      </c>
      <c r="AA17" s="160">
        <f>'Datos_fuente'!AB17</f>
        <v/>
      </c>
      <c r="AB17" s="160">
        <f>'Datos_fuente'!AC17</f>
        <v/>
      </c>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c r="A18" s="1">
        <f>'Datos_fuente'!A18</f>
        <v/>
      </c>
      <c r="B18" s="160">
        <f>IF('Datos_fuente'!B18="","",LN('Datos_fuente'!B18))</f>
        <v/>
      </c>
      <c r="C18" s="160">
        <f>IF(OR(B18="",B17=""),"",B18-B17)</f>
        <v/>
      </c>
      <c r="D18" s="160">
        <f>IF('Datos_fuente'!C18="","",LN('Datos_fuente'!C18))</f>
        <v/>
      </c>
      <c r="E18" s="160">
        <f>IF(OR(D18="",D17=""),"",D18-D17)</f>
        <v/>
      </c>
      <c r="F18" s="160">
        <f>IF('Datos_fuente'!E18="","",LN('Datos_fuente'!E18))</f>
        <v/>
      </c>
      <c r="G18" s="160">
        <f>IF(OR(F18="",F17=""),"",F18-F17)</f>
        <v/>
      </c>
      <c r="H18" s="161">
        <f>'Datos_fuente'!H18</f>
        <v/>
      </c>
      <c r="I18" s="161">
        <f>IF(OR(H18="",H17=""),"",H18-H17)</f>
        <v/>
      </c>
      <c r="J18" s="161">
        <f>'Datos_fuente'!J18</f>
        <v/>
      </c>
      <c r="K18" s="161">
        <f>IF(OR(J18="",J17=""),"",J18-J17)</f>
        <v/>
      </c>
      <c r="L18" s="160">
        <f>IF('Datos_fuente'!K18="","",LN('Datos_fuente'!K18))</f>
        <v/>
      </c>
      <c r="M18" s="160">
        <f>IF(OR(L18="",L17=""),"",L18-L17)</f>
        <v/>
      </c>
      <c r="N18" s="160">
        <f>IF('Datos_fuente'!L18="","",LN('Datos_fuente'!L18))</f>
        <v/>
      </c>
      <c r="O18" s="160">
        <f>IF(OR(N18="",N17=""),"",N18-N17)</f>
        <v/>
      </c>
      <c r="P18" s="162">
        <f>'Datos_fuente'!M18</f>
        <v/>
      </c>
      <c r="Q18" s="160">
        <f>IF('Datos_fuente'!N18="","",LN('Datos_fuente'!N18))</f>
        <v/>
      </c>
      <c r="R18" s="160">
        <f>IF(OR(Q18="",Q17=""),"",Q18-Q17)</f>
        <v/>
      </c>
      <c r="S18" s="161">
        <f>'Datos_fuente'!P18</f>
        <v/>
      </c>
      <c r="T18" s="161">
        <f>IF(OR(S18="",S17=""),"",S18-S17)</f>
        <v/>
      </c>
      <c r="U18" s="160">
        <f>IF('Datos_fuente'!Q18="","",ASINH('Datos_fuente'!Q18/1000))</f>
        <v/>
      </c>
      <c r="V18" s="160">
        <f>IF(OR(U18="",U17=""),"",U18-U17)</f>
        <v/>
      </c>
      <c r="W18" s="160">
        <f>IF('Datos_fuente'!R18="","",ASINH('Datos_fuente'!R18/1000))</f>
        <v/>
      </c>
      <c r="X18" s="160">
        <f>IF(OR(W18="",W17=""),"",W18-W17)</f>
        <v/>
      </c>
      <c r="Y18" s="161">
        <f>'Datos_fuente'!W18</f>
        <v/>
      </c>
      <c r="Z18" s="161">
        <f>IF(OR(Y18="",Y17=""),"",Y18-Y17)</f>
        <v/>
      </c>
      <c r="AA18" s="160">
        <f>'Datos_fuente'!AB18</f>
        <v/>
      </c>
      <c r="AB18" s="160">
        <f>'Datos_fuente'!AC18</f>
        <v/>
      </c>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c r="A19" s="1">
        <f>'Datos_fuente'!A19</f>
        <v/>
      </c>
      <c r="B19" s="160">
        <f>IF('Datos_fuente'!B19="","",LN('Datos_fuente'!B19))</f>
        <v/>
      </c>
      <c r="C19" s="160">
        <f>IF(OR(B19="",B18=""),"",B19-B18)</f>
        <v/>
      </c>
      <c r="D19" s="160">
        <f>IF('Datos_fuente'!C19="","",LN('Datos_fuente'!C19))</f>
        <v/>
      </c>
      <c r="E19" s="160">
        <f>IF(OR(D19="",D18=""),"",D19-D18)</f>
        <v/>
      </c>
      <c r="F19" s="160">
        <f>IF('Datos_fuente'!E19="","",LN('Datos_fuente'!E19))</f>
        <v/>
      </c>
      <c r="G19" s="160">
        <f>IF(OR(F19="",F18=""),"",F19-F18)</f>
        <v/>
      </c>
      <c r="H19" s="161">
        <f>'Datos_fuente'!H19</f>
        <v/>
      </c>
      <c r="I19" s="161">
        <f>IF(OR(H19="",H18=""),"",H19-H18)</f>
        <v/>
      </c>
      <c r="J19" s="161">
        <f>'Datos_fuente'!J19</f>
        <v/>
      </c>
      <c r="K19" s="161">
        <f>IF(OR(J19="",J18=""),"",J19-J18)</f>
        <v/>
      </c>
      <c r="L19" s="160">
        <f>IF('Datos_fuente'!K19="","",LN('Datos_fuente'!K19))</f>
        <v/>
      </c>
      <c r="M19" s="160">
        <f>IF(OR(L19="",L18=""),"",L19-L18)</f>
        <v/>
      </c>
      <c r="N19" s="160">
        <f>IF('Datos_fuente'!L19="","",LN('Datos_fuente'!L19))</f>
        <v/>
      </c>
      <c r="O19" s="160">
        <f>IF(OR(N19="",N18=""),"",N19-N18)</f>
        <v/>
      </c>
      <c r="P19" s="162">
        <f>'Datos_fuente'!M19</f>
        <v/>
      </c>
      <c r="Q19" s="160">
        <f>IF('Datos_fuente'!N19="","",LN('Datos_fuente'!N19))</f>
        <v/>
      </c>
      <c r="R19" s="160">
        <f>IF(OR(Q19="",Q18=""),"",Q19-Q18)</f>
        <v/>
      </c>
      <c r="S19" s="161">
        <f>'Datos_fuente'!P19</f>
        <v/>
      </c>
      <c r="T19" s="161">
        <f>IF(OR(S19="",S18=""),"",S19-S18)</f>
        <v/>
      </c>
      <c r="U19" s="160">
        <f>IF('Datos_fuente'!Q19="","",ASINH('Datos_fuente'!Q19/1000))</f>
        <v/>
      </c>
      <c r="V19" s="160">
        <f>IF(OR(U19="",U18=""),"",U19-U18)</f>
        <v/>
      </c>
      <c r="W19" s="160">
        <f>IF('Datos_fuente'!R19="","",ASINH('Datos_fuente'!R19/1000))</f>
        <v/>
      </c>
      <c r="X19" s="160">
        <f>IF(OR(W19="",W18=""),"",W19-W18)</f>
        <v/>
      </c>
      <c r="Y19" s="161">
        <f>'Datos_fuente'!W19</f>
        <v/>
      </c>
      <c r="Z19" s="161">
        <f>IF(OR(Y19="",Y18=""),"",Y19-Y18)</f>
        <v/>
      </c>
      <c r="AA19" s="160">
        <f>'Datos_fuente'!AB19</f>
        <v/>
      </c>
      <c r="AB19" s="160">
        <f>'Datos_fuente'!AC19</f>
        <v/>
      </c>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c r="A20" s="1">
        <f>'Datos_fuente'!A20</f>
        <v/>
      </c>
      <c r="B20" s="160">
        <f>IF('Datos_fuente'!B20="","",LN('Datos_fuente'!B20))</f>
        <v/>
      </c>
      <c r="C20" s="160">
        <f>IF(OR(B20="",B19=""),"",B20-B19)</f>
        <v/>
      </c>
      <c r="D20" s="160">
        <f>IF('Datos_fuente'!C20="","",LN('Datos_fuente'!C20))</f>
        <v/>
      </c>
      <c r="E20" s="160">
        <f>IF(OR(D20="",D19=""),"",D20-D19)</f>
        <v/>
      </c>
      <c r="F20" s="160">
        <f>IF('Datos_fuente'!E20="","",LN('Datos_fuente'!E20))</f>
        <v/>
      </c>
      <c r="G20" s="160">
        <f>IF(OR(F20="",F19=""),"",F20-F19)</f>
        <v/>
      </c>
      <c r="H20" s="161">
        <f>'Datos_fuente'!H20</f>
        <v/>
      </c>
      <c r="I20" s="161">
        <f>IF(OR(H20="",H19=""),"",H20-H19)</f>
        <v/>
      </c>
      <c r="J20" s="161">
        <f>'Datos_fuente'!J20</f>
        <v/>
      </c>
      <c r="K20" s="161">
        <f>IF(OR(J20="",J19=""),"",J20-J19)</f>
        <v/>
      </c>
      <c r="L20" s="160">
        <f>IF('Datos_fuente'!K20="","",LN('Datos_fuente'!K20))</f>
        <v/>
      </c>
      <c r="M20" s="160">
        <f>IF(OR(L20="",L19=""),"",L20-L19)</f>
        <v/>
      </c>
      <c r="N20" s="160">
        <f>IF('Datos_fuente'!L20="","",LN('Datos_fuente'!L20))</f>
        <v/>
      </c>
      <c r="O20" s="160">
        <f>IF(OR(N20="",N19=""),"",N20-N19)</f>
        <v/>
      </c>
      <c r="P20" s="162">
        <f>'Datos_fuente'!M20</f>
        <v/>
      </c>
      <c r="Q20" s="160">
        <f>IF('Datos_fuente'!N20="","",LN('Datos_fuente'!N20))</f>
        <v/>
      </c>
      <c r="R20" s="160">
        <f>IF(OR(Q20="",Q19=""),"",Q20-Q19)</f>
        <v/>
      </c>
      <c r="S20" s="161">
        <f>'Datos_fuente'!P20</f>
        <v/>
      </c>
      <c r="T20" s="161">
        <f>IF(OR(S20="",S19=""),"",S20-S19)</f>
        <v/>
      </c>
      <c r="U20" s="160">
        <f>IF('Datos_fuente'!Q20="","",ASINH('Datos_fuente'!Q20/1000))</f>
        <v/>
      </c>
      <c r="V20" s="160">
        <f>IF(OR(U20="",U19=""),"",U20-U19)</f>
        <v/>
      </c>
      <c r="W20" s="160">
        <f>IF('Datos_fuente'!R20="","",ASINH('Datos_fuente'!R20/1000))</f>
        <v/>
      </c>
      <c r="X20" s="160">
        <f>IF(OR(W20="",W19=""),"",W20-W19)</f>
        <v/>
      </c>
      <c r="Y20" s="161">
        <f>'Datos_fuente'!W20</f>
        <v/>
      </c>
      <c r="Z20" s="161">
        <f>IF(OR(Y20="",Y19=""),"",Y20-Y19)</f>
        <v/>
      </c>
      <c r="AA20" s="160">
        <f>'Datos_fuente'!AB20</f>
        <v/>
      </c>
      <c r="AB20" s="160">
        <f>'Datos_fuente'!AC20</f>
        <v/>
      </c>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c r="A21" s="1">
        <f>'Datos_fuente'!A21</f>
        <v/>
      </c>
      <c r="B21" s="160">
        <f>IF('Datos_fuente'!B21="","",LN('Datos_fuente'!B21))</f>
        <v/>
      </c>
      <c r="C21" s="160">
        <f>IF(OR(B21="",B20=""),"",B21-B20)</f>
        <v/>
      </c>
      <c r="D21" s="160">
        <f>IF('Datos_fuente'!C21="","",LN('Datos_fuente'!C21))</f>
        <v/>
      </c>
      <c r="E21" s="160">
        <f>IF(OR(D21="",D20=""),"",D21-D20)</f>
        <v/>
      </c>
      <c r="F21" s="160">
        <f>IF('Datos_fuente'!E21="","",LN('Datos_fuente'!E21))</f>
        <v/>
      </c>
      <c r="G21" s="160">
        <f>IF(OR(F21="",F20=""),"",F21-F20)</f>
        <v/>
      </c>
      <c r="H21" s="161">
        <f>'Datos_fuente'!H21</f>
        <v/>
      </c>
      <c r="I21" s="161">
        <f>IF(OR(H21="",H20=""),"",H21-H20)</f>
        <v/>
      </c>
      <c r="J21" s="161">
        <f>'Datos_fuente'!J21</f>
        <v/>
      </c>
      <c r="K21" s="161">
        <f>IF(OR(J21="",J20=""),"",J21-J20)</f>
        <v/>
      </c>
      <c r="L21" s="160">
        <f>IF('Datos_fuente'!K21="","",LN('Datos_fuente'!K21))</f>
        <v/>
      </c>
      <c r="M21" s="160">
        <f>IF(OR(L21="",L20=""),"",L21-L20)</f>
        <v/>
      </c>
      <c r="N21" s="160">
        <f>IF('Datos_fuente'!L21="","",LN('Datos_fuente'!L21))</f>
        <v/>
      </c>
      <c r="O21" s="160">
        <f>IF(OR(N21="",N20=""),"",N21-N20)</f>
        <v/>
      </c>
      <c r="P21" s="162">
        <f>'Datos_fuente'!M21</f>
        <v/>
      </c>
      <c r="Q21" s="160">
        <f>IF('Datos_fuente'!N21="","",LN('Datos_fuente'!N21))</f>
        <v/>
      </c>
      <c r="R21" s="160">
        <f>IF(OR(Q21="",Q20=""),"",Q21-Q20)</f>
        <v/>
      </c>
      <c r="S21" s="161">
        <f>'Datos_fuente'!P21</f>
        <v/>
      </c>
      <c r="T21" s="161">
        <f>IF(OR(S21="",S20=""),"",S21-S20)</f>
        <v/>
      </c>
      <c r="U21" s="160">
        <f>IF('Datos_fuente'!Q21="","",ASINH('Datos_fuente'!Q21/1000))</f>
        <v/>
      </c>
      <c r="V21" s="160">
        <f>IF(OR(U21="",U20=""),"",U21-U20)</f>
        <v/>
      </c>
      <c r="W21" s="160">
        <f>IF('Datos_fuente'!R21="","",ASINH('Datos_fuente'!R21/1000))</f>
        <v/>
      </c>
      <c r="X21" s="160">
        <f>IF(OR(W21="",W20=""),"",W21-W20)</f>
        <v/>
      </c>
      <c r="Y21" s="161">
        <f>'Datos_fuente'!W21</f>
        <v/>
      </c>
      <c r="Z21" s="161">
        <f>IF(OR(Y21="",Y20=""),"",Y21-Y20)</f>
        <v/>
      </c>
      <c r="AA21" s="160">
        <f>'Datos_fuente'!AB21</f>
        <v/>
      </c>
      <c r="AB21" s="160">
        <f>'Datos_fuente'!AC21</f>
        <v/>
      </c>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c r="A22" s="1">
        <f>'Datos_fuente'!A22</f>
        <v/>
      </c>
      <c r="B22" s="160">
        <f>IF('Datos_fuente'!B22="","",LN('Datos_fuente'!B22))</f>
        <v/>
      </c>
      <c r="C22" s="160">
        <f>IF(OR(B22="",B21=""),"",B22-B21)</f>
        <v/>
      </c>
      <c r="D22" s="160">
        <f>IF('Datos_fuente'!C22="","",LN('Datos_fuente'!C22))</f>
        <v/>
      </c>
      <c r="E22" s="160">
        <f>IF(OR(D22="",D21=""),"",D22-D21)</f>
        <v/>
      </c>
      <c r="F22" s="160">
        <f>IF('Datos_fuente'!E22="","",LN('Datos_fuente'!E22))</f>
        <v/>
      </c>
      <c r="G22" s="160">
        <f>IF(OR(F22="",F21=""),"",F22-F21)</f>
        <v/>
      </c>
      <c r="H22" s="161">
        <f>'Datos_fuente'!H22</f>
        <v/>
      </c>
      <c r="I22" s="161">
        <f>IF(OR(H22="",H21=""),"",H22-H21)</f>
        <v/>
      </c>
      <c r="J22" s="161">
        <f>'Datos_fuente'!J22</f>
        <v/>
      </c>
      <c r="K22" s="161">
        <f>IF(OR(J22="",J21=""),"",J22-J21)</f>
        <v/>
      </c>
      <c r="L22" s="160">
        <f>IF('Datos_fuente'!K22="","",LN('Datos_fuente'!K22))</f>
        <v/>
      </c>
      <c r="M22" s="160">
        <f>IF(OR(L22="",L21=""),"",L22-L21)</f>
        <v/>
      </c>
      <c r="N22" s="160">
        <f>IF('Datos_fuente'!L22="","",LN('Datos_fuente'!L22))</f>
        <v/>
      </c>
      <c r="O22" s="160">
        <f>IF(OR(N22="",N21=""),"",N22-N21)</f>
        <v/>
      </c>
      <c r="P22" s="162">
        <f>'Datos_fuente'!M22</f>
        <v/>
      </c>
      <c r="Q22" s="160">
        <f>IF('Datos_fuente'!N22="","",LN('Datos_fuente'!N22))</f>
        <v/>
      </c>
      <c r="R22" s="160">
        <f>IF(OR(Q22="",Q21=""),"",Q22-Q21)</f>
        <v/>
      </c>
      <c r="S22" s="161">
        <f>'Datos_fuente'!P22</f>
        <v/>
      </c>
      <c r="T22" s="161">
        <f>IF(OR(S22="",S21=""),"",S22-S21)</f>
        <v/>
      </c>
      <c r="U22" s="160">
        <f>IF('Datos_fuente'!Q22="","",ASINH('Datos_fuente'!Q22/1000))</f>
        <v/>
      </c>
      <c r="V22" s="160">
        <f>IF(OR(U22="",U21=""),"",U22-U21)</f>
        <v/>
      </c>
      <c r="W22" s="160">
        <f>IF('Datos_fuente'!R22="","",ASINH('Datos_fuente'!R22/1000))</f>
        <v/>
      </c>
      <c r="X22" s="160">
        <f>IF(OR(W22="",W21=""),"",W22-W21)</f>
        <v/>
      </c>
      <c r="Y22" s="161">
        <f>'Datos_fuente'!W22</f>
        <v/>
      </c>
      <c r="Z22" s="161">
        <f>IF(OR(Y22="",Y21=""),"",Y22-Y21)</f>
        <v/>
      </c>
      <c r="AA22" s="160">
        <f>'Datos_fuente'!AB22</f>
        <v/>
      </c>
      <c r="AB22" s="160">
        <f>'Datos_fuente'!AC22</f>
        <v/>
      </c>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c r="A23" s="1">
        <f>'Datos_fuente'!A23</f>
        <v/>
      </c>
      <c r="B23" s="160">
        <f>IF('Datos_fuente'!B23="","",LN('Datos_fuente'!B23))</f>
        <v/>
      </c>
      <c r="C23" s="160">
        <f>IF(OR(B23="",B22=""),"",B23-B22)</f>
        <v/>
      </c>
      <c r="D23" s="160">
        <f>IF('Datos_fuente'!C23="","",LN('Datos_fuente'!C23))</f>
        <v/>
      </c>
      <c r="E23" s="160">
        <f>IF(OR(D23="",D22=""),"",D23-D22)</f>
        <v/>
      </c>
      <c r="F23" s="160">
        <f>IF('Datos_fuente'!E23="","",LN('Datos_fuente'!E23))</f>
        <v/>
      </c>
      <c r="G23" s="160">
        <f>IF(OR(F23="",F22=""),"",F23-F22)</f>
        <v/>
      </c>
      <c r="H23" s="161">
        <f>'Datos_fuente'!H23</f>
        <v/>
      </c>
      <c r="I23" s="161">
        <f>IF(OR(H23="",H22=""),"",H23-H22)</f>
        <v/>
      </c>
      <c r="J23" s="161">
        <f>'Datos_fuente'!J23</f>
        <v/>
      </c>
      <c r="K23" s="161">
        <f>IF(OR(J23="",J22=""),"",J23-J22)</f>
        <v/>
      </c>
      <c r="L23" s="160">
        <f>IF('Datos_fuente'!K23="","",LN('Datos_fuente'!K23))</f>
        <v/>
      </c>
      <c r="M23" s="160">
        <f>IF(OR(L23="",L22=""),"",L23-L22)</f>
        <v/>
      </c>
      <c r="N23" s="160">
        <f>IF('Datos_fuente'!L23="","",LN('Datos_fuente'!L23))</f>
        <v/>
      </c>
      <c r="O23" s="160">
        <f>IF(OR(N23="",N22=""),"",N23-N22)</f>
        <v/>
      </c>
      <c r="P23" s="162">
        <f>'Datos_fuente'!M23</f>
        <v/>
      </c>
      <c r="Q23" s="160">
        <f>IF('Datos_fuente'!N23="","",LN('Datos_fuente'!N23))</f>
        <v/>
      </c>
      <c r="R23" s="160">
        <f>IF(OR(Q23="",Q22=""),"",Q23-Q22)</f>
        <v/>
      </c>
      <c r="S23" s="161">
        <f>'Datos_fuente'!P23</f>
        <v/>
      </c>
      <c r="T23" s="161">
        <f>IF(OR(S23="",S22=""),"",S23-S22)</f>
        <v/>
      </c>
      <c r="U23" s="160">
        <f>IF('Datos_fuente'!Q23="","",ASINH('Datos_fuente'!Q23/1000))</f>
        <v/>
      </c>
      <c r="V23" s="160">
        <f>IF(OR(U23="",U22=""),"",U23-U22)</f>
        <v/>
      </c>
      <c r="W23" s="160">
        <f>IF('Datos_fuente'!R23="","",ASINH('Datos_fuente'!R23/1000))</f>
        <v/>
      </c>
      <c r="X23" s="160">
        <f>IF(OR(W23="",W22=""),"",W23-W22)</f>
        <v/>
      </c>
      <c r="Y23" s="161">
        <f>'Datos_fuente'!W23</f>
        <v/>
      </c>
      <c r="Z23" s="161">
        <f>IF(OR(Y23="",Y22=""),"",Y23-Y22)</f>
        <v/>
      </c>
      <c r="AA23" s="160">
        <f>'Datos_fuente'!AB23</f>
        <v/>
      </c>
      <c r="AB23" s="160">
        <f>'Datos_fuente'!AC23</f>
        <v/>
      </c>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c r="A24" s="1">
        <f>'Datos_fuente'!A24</f>
        <v/>
      </c>
      <c r="B24" s="160">
        <f>IF('Datos_fuente'!B24="","",LN('Datos_fuente'!B24))</f>
        <v/>
      </c>
      <c r="C24" s="160">
        <f>IF(OR(B24="",B23=""),"",B24-B23)</f>
        <v/>
      </c>
      <c r="D24" s="160">
        <f>IF('Datos_fuente'!C24="","",LN('Datos_fuente'!C24))</f>
        <v/>
      </c>
      <c r="E24" s="160">
        <f>IF(OR(D24="",D23=""),"",D24-D23)</f>
        <v/>
      </c>
      <c r="F24" s="160">
        <f>IF('Datos_fuente'!E24="","",LN('Datos_fuente'!E24))</f>
        <v/>
      </c>
      <c r="G24" s="160">
        <f>IF(OR(F24="",F23=""),"",F24-F23)</f>
        <v/>
      </c>
      <c r="H24" s="161">
        <f>'Datos_fuente'!H24</f>
        <v/>
      </c>
      <c r="I24" s="161">
        <f>IF(OR(H24="",H23=""),"",H24-H23)</f>
        <v/>
      </c>
      <c r="J24" s="161">
        <f>'Datos_fuente'!J24</f>
        <v/>
      </c>
      <c r="K24" s="161">
        <f>IF(OR(J24="",J23=""),"",J24-J23)</f>
        <v/>
      </c>
      <c r="L24" s="160">
        <f>IF('Datos_fuente'!K24="","",LN('Datos_fuente'!K24))</f>
        <v/>
      </c>
      <c r="M24" s="160">
        <f>IF(OR(L24="",L23=""),"",L24-L23)</f>
        <v/>
      </c>
      <c r="N24" s="160">
        <f>IF('Datos_fuente'!L24="","",LN('Datos_fuente'!L24))</f>
        <v/>
      </c>
      <c r="O24" s="160">
        <f>IF(OR(N24="",N23=""),"",N24-N23)</f>
        <v/>
      </c>
      <c r="P24" s="162">
        <f>'Datos_fuente'!M24</f>
        <v/>
      </c>
      <c r="Q24" s="160">
        <f>IF('Datos_fuente'!N24="","",LN('Datos_fuente'!N24))</f>
        <v/>
      </c>
      <c r="R24" s="160">
        <f>IF(OR(Q24="",Q23=""),"",Q24-Q23)</f>
        <v/>
      </c>
      <c r="S24" s="161">
        <f>'Datos_fuente'!P24</f>
        <v/>
      </c>
      <c r="T24" s="161">
        <f>IF(OR(S24="",S23=""),"",S24-S23)</f>
        <v/>
      </c>
      <c r="U24" s="160">
        <f>IF('Datos_fuente'!Q24="","",ASINH('Datos_fuente'!Q24/1000))</f>
        <v/>
      </c>
      <c r="V24" s="160">
        <f>IF(OR(U24="",U23=""),"",U24-U23)</f>
        <v/>
      </c>
      <c r="W24" s="160">
        <f>IF('Datos_fuente'!R24="","",ASINH('Datos_fuente'!R24/1000))</f>
        <v/>
      </c>
      <c r="X24" s="160">
        <f>IF(OR(W24="",W23=""),"",W24-W23)</f>
        <v/>
      </c>
      <c r="Y24" s="161">
        <f>'Datos_fuente'!W24</f>
        <v/>
      </c>
      <c r="Z24" s="161">
        <f>IF(OR(Y24="",Y23=""),"",Y24-Y23)</f>
        <v/>
      </c>
      <c r="AA24" s="160">
        <f>'Datos_fuente'!AB24</f>
        <v/>
      </c>
      <c r="AB24" s="160">
        <f>'Datos_fuente'!AC24</f>
        <v/>
      </c>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c r="A25" s="1">
        <f>'Datos_fuente'!A25</f>
        <v/>
      </c>
      <c r="B25" s="160">
        <f>IF('Datos_fuente'!B25="","",LN('Datos_fuente'!B25))</f>
        <v/>
      </c>
      <c r="C25" s="160">
        <f>IF(OR(B25="",B24=""),"",B25-B24)</f>
        <v/>
      </c>
      <c r="D25" s="160">
        <f>IF('Datos_fuente'!C25="","",LN('Datos_fuente'!C25))</f>
        <v/>
      </c>
      <c r="E25" s="160">
        <f>IF(OR(D25="",D24=""),"",D25-D24)</f>
        <v/>
      </c>
      <c r="F25" s="160">
        <f>IF('Datos_fuente'!E25="","",LN('Datos_fuente'!E25))</f>
        <v/>
      </c>
      <c r="G25" s="160">
        <f>IF(OR(F25="",F24=""),"",F25-F24)</f>
        <v/>
      </c>
      <c r="H25" s="161">
        <f>'Datos_fuente'!H25</f>
        <v/>
      </c>
      <c r="I25" s="161">
        <f>IF(OR(H25="",H24=""),"",H25-H24)</f>
        <v/>
      </c>
      <c r="J25" s="161">
        <f>'Datos_fuente'!J25</f>
        <v/>
      </c>
      <c r="K25" s="161">
        <f>IF(OR(J25="",J24=""),"",J25-J24)</f>
        <v/>
      </c>
      <c r="L25" s="160">
        <f>IF('Datos_fuente'!K25="","",LN('Datos_fuente'!K25))</f>
        <v/>
      </c>
      <c r="M25" s="160">
        <f>IF(OR(L25="",L24=""),"",L25-L24)</f>
        <v/>
      </c>
      <c r="N25" s="160">
        <f>IF('Datos_fuente'!L25="","",LN('Datos_fuente'!L25))</f>
        <v/>
      </c>
      <c r="O25" s="160">
        <f>IF(OR(N25="",N24=""),"",N25-N24)</f>
        <v/>
      </c>
      <c r="P25" s="162">
        <f>'Datos_fuente'!M25</f>
        <v/>
      </c>
      <c r="Q25" s="160">
        <f>IF('Datos_fuente'!N25="","",LN('Datos_fuente'!N25))</f>
        <v/>
      </c>
      <c r="R25" s="160">
        <f>IF(OR(Q25="",Q24=""),"",Q25-Q24)</f>
        <v/>
      </c>
      <c r="S25" s="161">
        <f>'Datos_fuente'!P25</f>
        <v/>
      </c>
      <c r="T25" s="161">
        <f>IF(OR(S25="",S24=""),"",S25-S24)</f>
        <v/>
      </c>
      <c r="U25" s="160">
        <f>IF('Datos_fuente'!Q25="","",ASINH('Datos_fuente'!Q25/1000))</f>
        <v/>
      </c>
      <c r="V25" s="160">
        <f>IF(OR(U25="",U24=""),"",U25-U24)</f>
        <v/>
      </c>
      <c r="W25" s="160">
        <f>IF('Datos_fuente'!R25="","",ASINH('Datos_fuente'!R25/1000))</f>
        <v/>
      </c>
      <c r="X25" s="160">
        <f>IF(OR(W25="",W24=""),"",W25-W24)</f>
        <v/>
      </c>
      <c r="Y25" s="161">
        <f>'Datos_fuente'!W25</f>
        <v/>
      </c>
      <c r="Z25" s="161">
        <f>IF(OR(Y25="",Y24=""),"",Y25-Y24)</f>
        <v/>
      </c>
      <c r="AA25" s="160">
        <f>'Datos_fuente'!AB25</f>
        <v/>
      </c>
      <c r="AB25" s="160">
        <f>'Datos_fuente'!AC25</f>
        <v/>
      </c>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c r="A26" s="1">
        <f>'Datos_fuente'!A26</f>
        <v/>
      </c>
      <c r="B26" s="160">
        <f>IF('Datos_fuente'!B26="","",LN('Datos_fuente'!B26))</f>
        <v/>
      </c>
      <c r="C26" s="160">
        <f>IF(OR(B26="",B25=""),"",B26-B25)</f>
        <v/>
      </c>
      <c r="D26" s="160">
        <f>IF('Datos_fuente'!C26="","",LN('Datos_fuente'!C26))</f>
        <v/>
      </c>
      <c r="E26" s="160">
        <f>IF(OR(D26="",D25=""),"",D26-D25)</f>
        <v/>
      </c>
      <c r="F26" s="160">
        <f>IF('Datos_fuente'!E26="","",LN('Datos_fuente'!E26))</f>
        <v/>
      </c>
      <c r="G26" s="160">
        <f>IF(OR(F26="",F25=""),"",F26-F25)</f>
        <v/>
      </c>
      <c r="H26" s="161">
        <f>'Datos_fuente'!H26</f>
        <v/>
      </c>
      <c r="I26" s="161">
        <f>IF(OR(H26="",H25=""),"",H26-H25)</f>
        <v/>
      </c>
      <c r="J26" s="161">
        <f>'Datos_fuente'!J26</f>
        <v/>
      </c>
      <c r="K26" s="161">
        <f>IF(OR(J26="",J25=""),"",J26-J25)</f>
        <v/>
      </c>
      <c r="L26" s="160">
        <f>IF('Datos_fuente'!K26="","",LN('Datos_fuente'!K26))</f>
        <v/>
      </c>
      <c r="M26" s="160">
        <f>IF(OR(L26="",L25=""),"",L26-L25)</f>
        <v/>
      </c>
      <c r="N26" s="160">
        <f>IF('Datos_fuente'!L26="","",LN('Datos_fuente'!L26))</f>
        <v/>
      </c>
      <c r="O26" s="160">
        <f>IF(OR(N26="",N25=""),"",N26-N25)</f>
        <v/>
      </c>
      <c r="P26" s="162">
        <f>'Datos_fuente'!M26</f>
        <v/>
      </c>
      <c r="Q26" s="160">
        <f>IF('Datos_fuente'!N26="","",LN('Datos_fuente'!N26))</f>
        <v/>
      </c>
      <c r="R26" s="160">
        <f>IF(OR(Q26="",Q25=""),"",Q26-Q25)</f>
        <v/>
      </c>
      <c r="S26" s="161">
        <f>'Datos_fuente'!P26</f>
        <v/>
      </c>
      <c r="T26" s="161">
        <f>IF(OR(S26="",S25=""),"",S26-S25)</f>
        <v/>
      </c>
      <c r="U26" s="160">
        <f>IF('Datos_fuente'!Q26="","",ASINH('Datos_fuente'!Q26/1000))</f>
        <v/>
      </c>
      <c r="V26" s="160">
        <f>IF(OR(U26="",U25=""),"",U26-U25)</f>
        <v/>
      </c>
      <c r="W26" s="160">
        <f>IF('Datos_fuente'!R26="","",ASINH('Datos_fuente'!R26/1000))</f>
        <v/>
      </c>
      <c r="X26" s="160">
        <f>IF(OR(W26="",W25=""),"",W26-W25)</f>
        <v/>
      </c>
      <c r="Y26" s="161">
        <f>'Datos_fuente'!W26</f>
        <v/>
      </c>
      <c r="Z26" s="161">
        <f>IF(OR(Y26="",Y25=""),"",Y26-Y25)</f>
        <v/>
      </c>
      <c r="AA26" s="160">
        <f>'Datos_fuente'!AB26</f>
        <v/>
      </c>
      <c r="AB26" s="160">
        <f>'Datos_fuente'!AC26</f>
        <v/>
      </c>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c r="A27" s="1">
        <f>'Datos_fuente'!A27</f>
        <v/>
      </c>
      <c r="B27" s="160">
        <f>IF('Datos_fuente'!B27="","",LN('Datos_fuente'!B27))</f>
        <v/>
      </c>
      <c r="C27" s="160">
        <f>IF(OR(B27="",B26=""),"",B27-B26)</f>
        <v/>
      </c>
      <c r="D27" s="160">
        <f>IF('Datos_fuente'!C27="","",LN('Datos_fuente'!C27))</f>
        <v/>
      </c>
      <c r="E27" s="160">
        <f>IF(OR(D27="",D26=""),"",D27-D26)</f>
        <v/>
      </c>
      <c r="F27" s="160">
        <f>IF('Datos_fuente'!E27="","",LN('Datos_fuente'!E27))</f>
        <v/>
      </c>
      <c r="G27" s="160">
        <f>IF(OR(F27="",F26=""),"",F27-F26)</f>
        <v/>
      </c>
      <c r="H27" s="161">
        <f>'Datos_fuente'!H27</f>
        <v/>
      </c>
      <c r="I27" s="161">
        <f>IF(OR(H27="",H26=""),"",H27-H26)</f>
        <v/>
      </c>
      <c r="J27" s="161">
        <f>'Datos_fuente'!J27</f>
        <v/>
      </c>
      <c r="K27" s="161">
        <f>IF(OR(J27="",J26=""),"",J27-J26)</f>
        <v/>
      </c>
      <c r="L27" s="160">
        <f>IF('Datos_fuente'!K27="","",LN('Datos_fuente'!K27))</f>
        <v/>
      </c>
      <c r="M27" s="160">
        <f>IF(OR(L27="",L26=""),"",L27-L26)</f>
        <v/>
      </c>
      <c r="N27" s="160">
        <f>IF('Datos_fuente'!L27="","",LN('Datos_fuente'!L27))</f>
        <v/>
      </c>
      <c r="O27" s="160">
        <f>IF(OR(N27="",N26=""),"",N27-N26)</f>
        <v/>
      </c>
      <c r="P27" s="162">
        <f>'Datos_fuente'!M27</f>
        <v/>
      </c>
      <c r="Q27" s="160">
        <f>IF('Datos_fuente'!N27="","",LN('Datos_fuente'!N27))</f>
        <v/>
      </c>
      <c r="R27" s="160">
        <f>IF(OR(Q27="",Q26=""),"",Q27-Q26)</f>
        <v/>
      </c>
      <c r="S27" s="161">
        <f>'Datos_fuente'!P27</f>
        <v/>
      </c>
      <c r="T27" s="161">
        <f>IF(OR(S27="",S26=""),"",S27-S26)</f>
        <v/>
      </c>
      <c r="U27" s="160">
        <f>IF('Datos_fuente'!Q27="","",ASINH('Datos_fuente'!Q27/1000))</f>
        <v/>
      </c>
      <c r="V27" s="160">
        <f>IF(OR(U27="",U26=""),"",U27-U26)</f>
        <v/>
      </c>
      <c r="W27" s="160">
        <f>IF('Datos_fuente'!R27="","",ASINH('Datos_fuente'!R27/1000))</f>
        <v/>
      </c>
      <c r="X27" s="160">
        <f>IF(OR(W27="",W26=""),"",W27-W26)</f>
        <v/>
      </c>
      <c r="Y27" s="161">
        <f>'Datos_fuente'!W27</f>
        <v/>
      </c>
      <c r="Z27" s="161">
        <f>IF(OR(Y27="",Y26=""),"",Y27-Y26)</f>
        <v/>
      </c>
      <c r="AA27" s="160">
        <f>'Datos_fuente'!AB27</f>
        <v/>
      </c>
      <c r="AB27" s="160">
        <f>'Datos_fuente'!AC27</f>
        <v/>
      </c>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c r="A28" s="1">
        <f>'Datos_fuente'!A28</f>
        <v/>
      </c>
      <c r="B28" s="160">
        <f>IF('Datos_fuente'!B28="","",LN('Datos_fuente'!B28))</f>
        <v/>
      </c>
      <c r="C28" s="160">
        <f>IF(OR(B28="",B27=""),"",B28-B27)</f>
        <v/>
      </c>
      <c r="D28" s="160">
        <f>IF('Datos_fuente'!C28="","",LN('Datos_fuente'!C28))</f>
        <v/>
      </c>
      <c r="E28" s="160">
        <f>IF(OR(D28="",D27=""),"",D28-D27)</f>
        <v/>
      </c>
      <c r="F28" s="160">
        <f>IF('Datos_fuente'!E28="","",LN('Datos_fuente'!E28))</f>
        <v/>
      </c>
      <c r="G28" s="160">
        <f>IF(OR(F28="",F27=""),"",F28-F27)</f>
        <v/>
      </c>
      <c r="H28" s="161">
        <f>'Datos_fuente'!H28</f>
        <v/>
      </c>
      <c r="I28" s="161">
        <f>IF(OR(H28="",H27=""),"",H28-H27)</f>
        <v/>
      </c>
      <c r="J28" s="161">
        <f>'Datos_fuente'!J28</f>
        <v/>
      </c>
      <c r="K28" s="161">
        <f>IF(OR(J28="",J27=""),"",J28-J27)</f>
        <v/>
      </c>
      <c r="L28" s="160">
        <f>IF('Datos_fuente'!K28="","",LN('Datos_fuente'!K28))</f>
        <v/>
      </c>
      <c r="M28" s="160">
        <f>IF(OR(L28="",L27=""),"",L28-L27)</f>
        <v/>
      </c>
      <c r="N28" s="160">
        <f>IF('Datos_fuente'!L28="","",LN('Datos_fuente'!L28))</f>
        <v/>
      </c>
      <c r="O28" s="160">
        <f>IF(OR(N28="",N27=""),"",N28-N27)</f>
        <v/>
      </c>
      <c r="P28" s="162">
        <f>'Datos_fuente'!M28</f>
        <v/>
      </c>
      <c r="Q28" s="160">
        <f>IF('Datos_fuente'!N28="","",LN('Datos_fuente'!N28))</f>
        <v/>
      </c>
      <c r="R28" s="160">
        <f>IF(OR(Q28="",Q27=""),"",Q28-Q27)</f>
        <v/>
      </c>
      <c r="S28" s="161">
        <f>'Datos_fuente'!P28</f>
        <v/>
      </c>
      <c r="T28" s="161">
        <f>IF(OR(S28="",S27=""),"",S28-S27)</f>
        <v/>
      </c>
      <c r="U28" s="160">
        <f>IF('Datos_fuente'!Q28="","",ASINH('Datos_fuente'!Q28/1000))</f>
        <v/>
      </c>
      <c r="V28" s="160">
        <f>IF(OR(U28="",U27=""),"",U28-U27)</f>
        <v/>
      </c>
      <c r="W28" s="160">
        <f>IF('Datos_fuente'!R28="","",ASINH('Datos_fuente'!R28/1000))</f>
        <v/>
      </c>
      <c r="X28" s="160">
        <f>IF(OR(W28="",W27=""),"",W28-W27)</f>
        <v/>
      </c>
      <c r="Y28" s="161">
        <f>'Datos_fuente'!W28</f>
        <v/>
      </c>
      <c r="Z28" s="161">
        <f>IF(OR(Y28="",Y27=""),"",Y28-Y27)</f>
        <v/>
      </c>
      <c r="AA28" s="160">
        <f>'Datos_fuente'!AB28</f>
        <v/>
      </c>
      <c r="AB28" s="160">
        <f>'Datos_fuente'!AC28</f>
        <v/>
      </c>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c r="A29" s="1">
        <f>'Datos_fuente'!A29</f>
        <v/>
      </c>
      <c r="B29" s="160">
        <f>IF('Datos_fuente'!B29="","",LN('Datos_fuente'!B29))</f>
        <v/>
      </c>
      <c r="C29" s="160">
        <f>IF(OR(B29="",B28=""),"",B29-B28)</f>
        <v/>
      </c>
      <c r="D29" s="160">
        <f>IF('Datos_fuente'!C29="","",LN('Datos_fuente'!C29))</f>
        <v/>
      </c>
      <c r="E29" s="160">
        <f>IF(OR(D29="",D28=""),"",D29-D28)</f>
        <v/>
      </c>
      <c r="F29" s="160">
        <f>IF('Datos_fuente'!E29="","",LN('Datos_fuente'!E29))</f>
        <v/>
      </c>
      <c r="G29" s="160">
        <f>IF(OR(F29="",F28=""),"",F29-F28)</f>
        <v/>
      </c>
      <c r="H29" s="161">
        <f>'Datos_fuente'!H29</f>
        <v/>
      </c>
      <c r="I29" s="161">
        <f>IF(OR(H29="",H28=""),"",H29-H28)</f>
        <v/>
      </c>
      <c r="J29" s="161">
        <f>'Datos_fuente'!J29</f>
        <v/>
      </c>
      <c r="K29" s="161">
        <f>IF(OR(J29="",J28=""),"",J29-J28)</f>
        <v/>
      </c>
      <c r="L29" s="160">
        <f>IF('Datos_fuente'!K29="","",LN('Datos_fuente'!K29))</f>
        <v/>
      </c>
      <c r="M29" s="160">
        <f>IF(OR(L29="",L28=""),"",L29-L28)</f>
        <v/>
      </c>
      <c r="N29" s="160">
        <f>IF('Datos_fuente'!L29="","",LN('Datos_fuente'!L29))</f>
        <v/>
      </c>
      <c r="O29" s="160">
        <f>IF(OR(N29="",N28=""),"",N29-N28)</f>
        <v/>
      </c>
      <c r="P29" s="162">
        <f>'Datos_fuente'!M29</f>
        <v/>
      </c>
      <c r="Q29" s="160">
        <f>IF('Datos_fuente'!N29="","",LN('Datos_fuente'!N29))</f>
        <v/>
      </c>
      <c r="R29" s="160">
        <f>IF(OR(Q29="",Q28=""),"",Q29-Q28)</f>
        <v/>
      </c>
      <c r="S29" s="161">
        <f>'Datos_fuente'!P29</f>
        <v/>
      </c>
      <c r="T29" s="161">
        <f>IF(OR(S29="",S28=""),"",S29-S28)</f>
        <v/>
      </c>
      <c r="U29" s="160">
        <f>IF('Datos_fuente'!Q29="","",ASINH('Datos_fuente'!Q29/1000))</f>
        <v/>
      </c>
      <c r="V29" s="160">
        <f>IF(OR(U29="",U28=""),"",U29-U28)</f>
        <v/>
      </c>
      <c r="W29" s="160">
        <f>IF('Datos_fuente'!R29="","",ASINH('Datos_fuente'!R29/1000))</f>
        <v/>
      </c>
      <c r="X29" s="160">
        <f>IF(OR(W29="",W28=""),"",W29-W28)</f>
        <v/>
      </c>
      <c r="Y29" s="161">
        <f>'Datos_fuente'!W29</f>
        <v/>
      </c>
      <c r="Z29" s="161">
        <f>IF(OR(Y29="",Y28=""),"",Y29-Y28)</f>
        <v/>
      </c>
      <c r="AA29" s="160">
        <f>'Datos_fuente'!AB29</f>
        <v/>
      </c>
      <c r="AB29" s="160">
        <f>'Datos_fuente'!AC29</f>
        <v/>
      </c>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c r="A30" s="1">
        <f>'Datos_fuente'!A30</f>
        <v/>
      </c>
      <c r="B30" s="160">
        <f>IF('Datos_fuente'!B30="","",LN('Datos_fuente'!B30))</f>
        <v/>
      </c>
      <c r="C30" s="160">
        <f>IF(OR(B30="",B29=""),"",B30-B29)</f>
        <v/>
      </c>
      <c r="D30" s="160">
        <f>IF('Datos_fuente'!C30="","",LN('Datos_fuente'!C30))</f>
        <v/>
      </c>
      <c r="E30" s="160">
        <f>IF(OR(D30="",D29=""),"",D30-D29)</f>
        <v/>
      </c>
      <c r="F30" s="160">
        <f>IF('Datos_fuente'!E30="","",LN('Datos_fuente'!E30))</f>
        <v/>
      </c>
      <c r="G30" s="160">
        <f>IF(OR(F30="",F29=""),"",F30-F29)</f>
        <v/>
      </c>
      <c r="H30" s="161">
        <f>'Datos_fuente'!H30</f>
        <v/>
      </c>
      <c r="I30" s="161">
        <f>IF(OR(H30="",H29=""),"",H30-H29)</f>
        <v/>
      </c>
      <c r="J30" s="161">
        <f>'Datos_fuente'!J30</f>
        <v/>
      </c>
      <c r="K30" s="161">
        <f>IF(OR(J30="",J29=""),"",J30-J29)</f>
        <v/>
      </c>
      <c r="L30" s="160">
        <f>IF('Datos_fuente'!K30="","",LN('Datos_fuente'!K30))</f>
        <v/>
      </c>
      <c r="M30" s="160">
        <f>IF(OR(L30="",L29=""),"",L30-L29)</f>
        <v/>
      </c>
      <c r="N30" s="160">
        <f>IF('Datos_fuente'!L30="","",LN('Datos_fuente'!L30))</f>
        <v/>
      </c>
      <c r="O30" s="160">
        <f>IF(OR(N30="",N29=""),"",N30-N29)</f>
        <v/>
      </c>
      <c r="P30" s="162">
        <f>'Datos_fuente'!M30</f>
        <v/>
      </c>
      <c r="Q30" s="160">
        <f>IF('Datos_fuente'!N30="","",LN('Datos_fuente'!N30))</f>
        <v/>
      </c>
      <c r="R30" s="160">
        <f>IF(OR(Q30="",Q29=""),"",Q30-Q29)</f>
        <v/>
      </c>
      <c r="S30" s="161">
        <f>'Datos_fuente'!P30</f>
        <v/>
      </c>
      <c r="T30" s="161">
        <f>IF(OR(S30="",S29=""),"",S30-S29)</f>
        <v/>
      </c>
      <c r="U30" s="160">
        <f>IF('Datos_fuente'!Q30="","",ASINH('Datos_fuente'!Q30/1000))</f>
        <v/>
      </c>
      <c r="V30" s="160">
        <f>IF(OR(U30="",U29=""),"",U30-U29)</f>
        <v/>
      </c>
      <c r="W30" s="160">
        <f>IF('Datos_fuente'!R30="","",ASINH('Datos_fuente'!R30/1000))</f>
        <v/>
      </c>
      <c r="X30" s="160">
        <f>IF(OR(W30="",W29=""),"",W30-W29)</f>
        <v/>
      </c>
      <c r="Y30" s="161">
        <f>'Datos_fuente'!W30</f>
        <v/>
      </c>
      <c r="Z30" s="161">
        <f>IF(OR(Y30="",Y29=""),"",Y30-Y29)</f>
        <v/>
      </c>
      <c r="AA30" s="160">
        <f>'Datos_fuente'!AB30</f>
        <v/>
      </c>
      <c r="AB30" s="160">
        <f>'Datos_fuente'!AC30</f>
        <v/>
      </c>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c r="A31" s="1">
        <f>'Datos_fuente'!A31</f>
        <v/>
      </c>
      <c r="B31" s="160">
        <f>IF('Datos_fuente'!B31="","",LN('Datos_fuente'!B31))</f>
        <v/>
      </c>
      <c r="C31" s="160">
        <f>IF(OR(B31="",B30=""),"",B31-B30)</f>
        <v/>
      </c>
      <c r="D31" s="160">
        <f>IF('Datos_fuente'!C31="","",LN('Datos_fuente'!C31))</f>
        <v/>
      </c>
      <c r="E31" s="160">
        <f>IF(OR(D31="",D30=""),"",D31-D30)</f>
        <v/>
      </c>
      <c r="F31" s="160">
        <f>IF('Datos_fuente'!E31="","",LN('Datos_fuente'!E31))</f>
        <v/>
      </c>
      <c r="G31" s="160">
        <f>IF(OR(F31="",F30=""),"",F31-F30)</f>
        <v/>
      </c>
      <c r="H31" s="161">
        <f>'Datos_fuente'!H31</f>
        <v/>
      </c>
      <c r="I31" s="161">
        <f>IF(OR(H31="",H30=""),"",H31-H30)</f>
        <v/>
      </c>
      <c r="J31" s="161">
        <f>'Datos_fuente'!J31</f>
        <v/>
      </c>
      <c r="K31" s="161">
        <f>IF(OR(J31="",J30=""),"",J31-J30)</f>
        <v/>
      </c>
      <c r="L31" s="160">
        <f>IF('Datos_fuente'!K31="","",LN('Datos_fuente'!K31))</f>
        <v/>
      </c>
      <c r="M31" s="160">
        <f>IF(OR(L31="",L30=""),"",L31-L30)</f>
        <v/>
      </c>
      <c r="N31" s="160">
        <f>IF('Datos_fuente'!L31="","",LN('Datos_fuente'!L31))</f>
        <v/>
      </c>
      <c r="O31" s="160">
        <f>IF(OR(N31="",N30=""),"",N31-N30)</f>
        <v/>
      </c>
      <c r="P31" s="162">
        <f>'Datos_fuente'!M31</f>
        <v/>
      </c>
      <c r="Q31" s="160">
        <f>IF('Datos_fuente'!N31="","",LN('Datos_fuente'!N31))</f>
        <v/>
      </c>
      <c r="R31" s="160">
        <f>IF(OR(Q31="",Q30=""),"",Q31-Q30)</f>
        <v/>
      </c>
      <c r="S31" s="161">
        <f>'Datos_fuente'!P31</f>
        <v/>
      </c>
      <c r="T31" s="161">
        <f>IF(OR(S31="",S30=""),"",S31-S30)</f>
        <v/>
      </c>
      <c r="U31" s="160">
        <f>IF('Datos_fuente'!Q31="","",ASINH('Datos_fuente'!Q31/1000))</f>
        <v/>
      </c>
      <c r="V31" s="160">
        <f>IF(OR(U31="",U30=""),"",U31-U30)</f>
        <v/>
      </c>
      <c r="W31" s="160">
        <f>IF('Datos_fuente'!R31="","",ASINH('Datos_fuente'!R31/1000))</f>
        <v/>
      </c>
      <c r="X31" s="160">
        <f>IF(OR(W31="",W30=""),"",W31-W30)</f>
        <v/>
      </c>
      <c r="Y31" s="161">
        <f>'Datos_fuente'!W31</f>
        <v/>
      </c>
      <c r="Z31" s="161">
        <f>IF(OR(Y31="",Y30=""),"",Y31-Y30)</f>
        <v/>
      </c>
      <c r="AA31" s="160">
        <f>'Datos_fuente'!AB31</f>
        <v/>
      </c>
      <c r="AB31" s="160">
        <f>'Datos_fuente'!AC31</f>
        <v/>
      </c>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c r="A32" s="1">
        <f>'Datos_fuente'!A32</f>
        <v/>
      </c>
      <c r="B32" s="160">
        <f>IF('Datos_fuente'!B32="","",LN('Datos_fuente'!B32))</f>
        <v/>
      </c>
      <c r="C32" s="160">
        <f>IF(OR(B32="",B31=""),"",B32-B31)</f>
        <v/>
      </c>
      <c r="D32" s="160">
        <f>IF('Datos_fuente'!C32="","",LN('Datos_fuente'!C32))</f>
        <v/>
      </c>
      <c r="E32" s="160">
        <f>IF(OR(D32="",D31=""),"",D32-D31)</f>
        <v/>
      </c>
      <c r="F32" s="160">
        <f>IF('Datos_fuente'!E32="","",LN('Datos_fuente'!E32))</f>
        <v/>
      </c>
      <c r="G32" s="160">
        <f>IF(OR(F32="",F31=""),"",F32-F31)</f>
        <v/>
      </c>
      <c r="H32" s="161">
        <f>'Datos_fuente'!H32</f>
        <v/>
      </c>
      <c r="I32" s="161">
        <f>IF(OR(H32="",H31=""),"",H32-H31)</f>
        <v/>
      </c>
      <c r="J32" s="161">
        <f>'Datos_fuente'!J32</f>
        <v/>
      </c>
      <c r="K32" s="161">
        <f>IF(OR(J32="",J31=""),"",J32-J31)</f>
        <v/>
      </c>
      <c r="L32" s="160">
        <f>IF('Datos_fuente'!K32="","",LN('Datos_fuente'!K32))</f>
        <v/>
      </c>
      <c r="M32" s="160">
        <f>IF(OR(L32="",L31=""),"",L32-L31)</f>
        <v/>
      </c>
      <c r="N32" s="160">
        <f>IF('Datos_fuente'!L32="","",LN('Datos_fuente'!L32))</f>
        <v/>
      </c>
      <c r="O32" s="160">
        <f>IF(OR(N32="",N31=""),"",N32-N31)</f>
        <v/>
      </c>
      <c r="P32" s="162">
        <f>'Datos_fuente'!M32</f>
        <v/>
      </c>
      <c r="Q32" s="160">
        <f>IF('Datos_fuente'!N32="","",LN('Datos_fuente'!N32))</f>
        <v/>
      </c>
      <c r="R32" s="160">
        <f>IF(OR(Q32="",Q31=""),"",Q32-Q31)</f>
        <v/>
      </c>
      <c r="S32" s="161">
        <f>'Datos_fuente'!P32</f>
        <v/>
      </c>
      <c r="T32" s="161">
        <f>IF(OR(S32="",S31=""),"",S32-S31)</f>
        <v/>
      </c>
      <c r="U32" s="160">
        <f>IF('Datos_fuente'!Q32="","",ASINH('Datos_fuente'!Q32/1000))</f>
        <v/>
      </c>
      <c r="V32" s="160">
        <f>IF(OR(U32="",U31=""),"",U32-U31)</f>
        <v/>
      </c>
      <c r="W32" s="160">
        <f>IF('Datos_fuente'!R32="","",ASINH('Datos_fuente'!R32/1000))</f>
        <v/>
      </c>
      <c r="X32" s="160">
        <f>IF(OR(W32="",W31=""),"",W32-W31)</f>
        <v/>
      </c>
      <c r="Y32" s="161">
        <f>'Datos_fuente'!W32</f>
        <v/>
      </c>
      <c r="Z32" s="161">
        <f>IF(OR(Y32="",Y31=""),"",Y32-Y31)</f>
        <v/>
      </c>
      <c r="AA32" s="160">
        <f>'Datos_fuente'!AB32</f>
        <v/>
      </c>
      <c r="AB32" s="160">
        <f>'Datos_fuente'!AC32</f>
        <v/>
      </c>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1">
        <f>'Datos_fuente'!A33</f>
        <v/>
      </c>
      <c r="B33" s="160">
        <f>IF('Datos_fuente'!B33="","",LN('Datos_fuente'!B33))</f>
        <v/>
      </c>
      <c r="C33" s="160">
        <f>IF(OR(B33="",B32=""),"",B33-B32)</f>
        <v/>
      </c>
      <c r="D33" s="160">
        <f>IF('Datos_fuente'!C33="","",LN('Datos_fuente'!C33))</f>
        <v/>
      </c>
      <c r="E33" s="160">
        <f>IF(OR(D33="",D32=""),"",D33-D32)</f>
        <v/>
      </c>
      <c r="F33" s="160">
        <f>IF('Datos_fuente'!E33="","",LN('Datos_fuente'!E33))</f>
        <v/>
      </c>
      <c r="G33" s="160">
        <f>IF(OR(F33="",F32=""),"",F33-F32)</f>
        <v/>
      </c>
      <c r="H33" s="161">
        <f>'Datos_fuente'!H33</f>
        <v/>
      </c>
      <c r="I33" s="161">
        <f>IF(OR(H33="",H32=""),"",H33-H32)</f>
        <v/>
      </c>
      <c r="J33" s="161">
        <f>'Datos_fuente'!J33</f>
        <v/>
      </c>
      <c r="K33" s="161">
        <f>IF(OR(J33="",J32=""),"",J33-J32)</f>
        <v/>
      </c>
      <c r="L33" s="160">
        <f>IF('Datos_fuente'!K33="","",LN('Datos_fuente'!K33))</f>
        <v/>
      </c>
      <c r="M33" s="160">
        <f>IF(OR(L33="",L32=""),"",L33-L32)</f>
        <v/>
      </c>
      <c r="N33" s="160">
        <f>IF('Datos_fuente'!L33="","",LN('Datos_fuente'!L33))</f>
        <v/>
      </c>
      <c r="O33" s="160">
        <f>IF(OR(N33="",N32=""),"",N33-N32)</f>
        <v/>
      </c>
      <c r="P33" s="162">
        <f>'Datos_fuente'!M33</f>
        <v/>
      </c>
      <c r="Q33" s="160">
        <f>IF('Datos_fuente'!N33="","",LN('Datos_fuente'!N33))</f>
        <v/>
      </c>
      <c r="R33" s="160">
        <f>IF(OR(Q33="",Q32=""),"",Q33-Q32)</f>
        <v/>
      </c>
      <c r="S33" s="161">
        <f>'Datos_fuente'!P33</f>
        <v/>
      </c>
      <c r="T33" s="161">
        <f>IF(OR(S33="",S32=""),"",S33-S32)</f>
        <v/>
      </c>
      <c r="U33" s="160">
        <f>IF('Datos_fuente'!Q33="","",ASINH('Datos_fuente'!Q33/1000))</f>
        <v/>
      </c>
      <c r="V33" s="160">
        <f>IF(OR(U33="",U32=""),"",U33-U32)</f>
        <v/>
      </c>
      <c r="W33" s="160">
        <f>IF('Datos_fuente'!R33="","",ASINH('Datos_fuente'!R33/1000))</f>
        <v/>
      </c>
      <c r="X33" s="160">
        <f>IF(OR(W33="",W32=""),"",W33-W32)</f>
        <v/>
      </c>
      <c r="Y33" s="161">
        <f>'Datos_fuente'!W33</f>
        <v/>
      </c>
      <c r="Z33" s="161">
        <f>IF(OR(Y33="",Y32=""),"",Y33-Y32)</f>
        <v/>
      </c>
      <c r="AA33" s="160">
        <f>'Datos_fuente'!AB33</f>
        <v/>
      </c>
      <c r="AB33" s="160">
        <f>'Datos_fuente'!AC33</f>
        <v/>
      </c>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1">
        <f>'Datos_fuente'!A34</f>
        <v/>
      </c>
      <c r="B34" s="160">
        <f>IF('Datos_fuente'!B34="","",LN('Datos_fuente'!B34))</f>
        <v/>
      </c>
      <c r="C34" s="160">
        <f>IF(OR(B34="",B33=""),"",B34-B33)</f>
        <v/>
      </c>
      <c r="D34" s="160">
        <f>IF('Datos_fuente'!C34="","",LN('Datos_fuente'!C34))</f>
        <v/>
      </c>
      <c r="E34" s="160">
        <f>IF(OR(D34="",D33=""),"",D34-D33)</f>
        <v/>
      </c>
      <c r="F34" s="160">
        <f>IF('Datos_fuente'!E34="","",LN('Datos_fuente'!E34))</f>
        <v/>
      </c>
      <c r="G34" s="160">
        <f>IF(OR(F34="",F33=""),"",F34-F33)</f>
        <v/>
      </c>
      <c r="H34" s="161">
        <f>'Datos_fuente'!H34</f>
        <v/>
      </c>
      <c r="I34" s="161">
        <f>IF(OR(H34="",H33=""),"",H34-H33)</f>
        <v/>
      </c>
      <c r="J34" s="161">
        <f>'Datos_fuente'!J34</f>
        <v/>
      </c>
      <c r="K34" s="161">
        <f>IF(OR(J34="",J33=""),"",J34-J33)</f>
        <v/>
      </c>
      <c r="L34" s="160">
        <f>IF('Datos_fuente'!K34="","",LN('Datos_fuente'!K34))</f>
        <v/>
      </c>
      <c r="M34" s="160">
        <f>IF(OR(L34="",L33=""),"",L34-L33)</f>
        <v/>
      </c>
      <c r="N34" s="160">
        <f>IF('Datos_fuente'!L34="","",LN('Datos_fuente'!L34))</f>
        <v/>
      </c>
      <c r="O34" s="160">
        <f>IF(OR(N34="",N33=""),"",N34-N33)</f>
        <v/>
      </c>
      <c r="P34" s="162">
        <f>'Datos_fuente'!M34</f>
        <v/>
      </c>
      <c r="Q34" s="160">
        <f>IF('Datos_fuente'!N34="","",LN('Datos_fuente'!N34))</f>
        <v/>
      </c>
      <c r="R34" s="160">
        <f>IF(OR(Q34="",Q33=""),"",Q34-Q33)</f>
        <v/>
      </c>
      <c r="S34" s="161">
        <f>'Datos_fuente'!P34</f>
        <v/>
      </c>
      <c r="T34" s="161">
        <f>IF(OR(S34="",S33=""),"",S34-S33)</f>
        <v/>
      </c>
      <c r="U34" s="160">
        <f>IF('Datos_fuente'!Q34="","",ASINH('Datos_fuente'!Q34/1000))</f>
        <v/>
      </c>
      <c r="V34" s="160">
        <f>IF(OR(U34="",U33=""),"",U34-U33)</f>
        <v/>
      </c>
      <c r="W34" s="160">
        <f>IF('Datos_fuente'!R34="","",ASINH('Datos_fuente'!R34/1000))</f>
        <v/>
      </c>
      <c r="X34" s="160">
        <f>IF(OR(W34="",W33=""),"",W34-W33)</f>
        <v/>
      </c>
      <c r="Y34" s="161">
        <f>'Datos_fuente'!W34</f>
        <v/>
      </c>
      <c r="Z34" s="161">
        <f>IF(OR(Y34="",Y33=""),"",Y34-Y33)</f>
        <v/>
      </c>
      <c r="AA34" s="160">
        <f>'Datos_fuente'!AB34</f>
        <v/>
      </c>
      <c r="AB34" s="160">
        <f>'Datos_fuente'!AC34</f>
        <v/>
      </c>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1">
        <f>'Datos_fuente'!A35</f>
        <v/>
      </c>
      <c r="B35" s="160">
        <f>IF('Datos_fuente'!B35="","",LN('Datos_fuente'!B35))</f>
        <v/>
      </c>
      <c r="C35" s="160">
        <f>IF(OR(B35="",B34=""),"",B35-B34)</f>
        <v/>
      </c>
      <c r="D35" s="160">
        <f>IF('Datos_fuente'!C35="","",LN('Datos_fuente'!C35))</f>
        <v/>
      </c>
      <c r="E35" s="160">
        <f>IF(OR(D35="",D34=""),"",D35-D34)</f>
        <v/>
      </c>
      <c r="F35" s="160">
        <f>IF('Datos_fuente'!E35="","",LN('Datos_fuente'!E35))</f>
        <v/>
      </c>
      <c r="G35" s="160">
        <f>IF(OR(F35="",F34=""),"",F35-F34)</f>
        <v/>
      </c>
      <c r="H35" s="161">
        <f>'Datos_fuente'!H35</f>
        <v/>
      </c>
      <c r="I35" s="161">
        <f>IF(OR(H35="",H34=""),"",H35-H34)</f>
        <v/>
      </c>
      <c r="J35" s="161">
        <f>'Datos_fuente'!J35</f>
        <v/>
      </c>
      <c r="K35" s="161">
        <f>IF(OR(J35="",J34=""),"",J35-J34)</f>
        <v/>
      </c>
      <c r="L35" s="160">
        <f>IF('Datos_fuente'!K35="","",LN('Datos_fuente'!K35))</f>
        <v/>
      </c>
      <c r="M35" s="160">
        <f>IF(OR(L35="",L34=""),"",L35-L34)</f>
        <v/>
      </c>
      <c r="N35" s="160">
        <f>IF('Datos_fuente'!L35="","",LN('Datos_fuente'!L35))</f>
        <v/>
      </c>
      <c r="O35" s="160">
        <f>IF(OR(N35="",N34=""),"",N35-N34)</f>
        <v/>
      </c>
      <c r="P35" s="162">
        <f>'Datos_fuente'!M35</f>
        <v/>
      </c>
      <c r="Q35" s="160">
        <f>IF('Datos_fuente'!N35="","",LN('Datos_fuente'!N35))</f>
        <v/>
      </c>
      <c r="R35" s="160">
        <f>IF(OR(Q35="",Q34=""),"",Q35-Q34)</f>
        <v/>
      </c>
      <c r="S35" s="161">
        <f>'Datos_fuente'!P35</f>
        <v/>
      </c>
      <c r="T35" s="161">
        <f>IF(OR(S35="",S34=""),"",S35-S34)</f>
        <v/>
      </c>
      <c r="U35" s="160">
        <f>IF('Datos_fuente'!Q35="","",ASINH('Datos_fuente'!Q35/1000))</f>
        <v/>
      </c>
      <c r="V35" s="160">
        <f>IF(OR(U35="",U34=""),"",U35-U34)</f>
        <v/>
      </c>
      <c r="W35" s="160">
        <f>IF('Datos_fuente'!R35="","",ASINH('Datos_fuente'!R35/1000))</f>
        <v/>
      </c>
      <c r="X35" s="160">
        <f>IF(OR(W35="",W34=""),"",W35-W34)</f>
        <v/>
      </c>
      <c r="Y35" s="161">
        <f>'Datos_fuente'!W35</f>
        <v/>
      </c>
      <c r="Z35" s="161">
        <f>IF(OR(Y35="",Y34=""),"",Y35-Y34)</f>
        <v/>
      </c>
      <c r="AA35" s="160">
        <f>'Datos_fuente'!AB35</f>
        <v/>
      </c>
      <c r="AB35" s="160">
        <f>'Datos_fuente'!AC35</f>
        <v/>
      </c>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1">
        <f>'Datos_fuente'!A36</f>
        <v/>
      </c>
      <c r="B36" s="160">
        <f>IF('Datos_fuente'!B36="","",LN('Datos_fuente'!B36))</f>
        <v/>
      </c>
      <c r="C36" s="160">
        <f>IF(OR(B36="",B35=""),"",B36-B35)</f>
        <v/>
      </c>
      <c r="D36" s="160">
        <f>IF('Datos_fuente'!C36="","",LN('Datos_fuente'!C36))</f>
        <v/>
      </c>
      <c r="E36" s="160">
        <f>IF(OR(D36="",D35=""),"",D36-D35)</f>
        <v/>
      </c>
      <c r="F36" s="160">
        <f>IF('Datos_fuente'!E36="","",LN('Datos_fuente'!E36))</f>
        <v/>
      </c>
      <c r="G36" s="160">
        <f>IF(OR(F36="",F35=""),"",F36-F35)</f>
        <v/>
      </c>
      <c r="H36" s="161">
        <f>'Datos_fuente'!H36</f>
        <v/>
      </c>
      <c r="I36" s="161">
        <f>IF(OR(H36="",H35=""),"",H36-H35)</f>
        <v/>
      </c>
      <c r="J36" s="161">
        <f>'Datos_fuente'!J36</f>
        <v/>
      </c>
      <c r="K36" s="161">
        <f>IF(OR(J36="",J35=""),"",J36-J35)</f>
        <v/>
      </c>
      <c r="L36" s="160">
        <f>IF('Datos_fuente'!K36="","",LN('Datos_fuente'!K36))</f>
        <v/>
      </c>
      <c r="M36" s="160">
        <f>IF(OR(L36="",L35=""),"",L36-L35)</f>
        <v/>
      </c>
      <c r="N36" s="160">
        <f>IF('Datos_fuente'!L36="","",LN('Datos_fuente'!L36))</f>
        <v/>
      </c>
      <c r="O36" s="160">
        <f>IF(OR(N36="",N35=""),"",N36-N35)</f>
        <v/>
      </c>
      <c r="P36" s="162">
        <f>'Datos_fuente'!M36</f>
        <v/>
      </c>
      <c r="Q36" s="160">
        <f>IF('Datos_fuente'!N36="","",LN('Datos_fuente'!N36))</f>
        <v/>
      </c>
      <c r="R36" s="160">
        <f>IF(OR(Q36="",Q35=""),"",Q36-Q35)</f>
        <v/>
      </c>
      <c r="S36" s="161">
        <f>'Datos_fuente'!P36</f>
        <v/>
      </c>
      <c r="T36" s="161">
        <f>IF(OR(S36="",S35=""),"",S36-S35)</f>
        <v/>
      </c>
      <c r="U36" s="160">
        <f>IF('Datos_fuente'!Q36="","",ASINH('Datos_fuente'!Q36/1000))</f>
        <v/>
      </c>
      <c r="V36" s="160">
        <f>IF(OR(U36="",U35=""),"",U36-U35)</f>
        <v/>
      </c>
      <c r="W36" s="160">
        <f>IF('Datos_fuente'!R36="","",ASINH('Datos_fuente'!R36/1000))</f>
        <v/>
      </c>
      <c r="X36" s="160">
        <f>IF(OR(W36="",W35=""),"",W36-W35)</f>
        <v/>
      </c>
      <c r="Y36" s="161">
        <f>'Datos_fuente'!W36</f>
        <v/>
      </c>
      <c r="Z36" s="161">
        <f>IF(OR(Y36="",Y35=""),"",Y36-Y35)</f>
        <v/>
      </c>
      <c r="AA36" s="160">
        <f>'Datos_fuente'!AB36</f>
        <v/>
      </c>
      <c r="AB36" s="160">
        <f>'Datos_fuente'!AC36</f>
        <v/>
      </c>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c r="A37" s="1">
        <f>'Datos_fuente'!A37</f>
        <v/>
      </c>
      <c r="B37" s="160">
        <f>IF('Datos_fuente'!B37="","",LN('Datos_fuente'!B37))</f>
        <v/>
      </c>
      <c r="C37" s="160">
        <f>IF(OR(B37="",B36=""),"",B37-B36)</f>
        <v/>
      </c>
      <c r="D37" s="160">
        <f>IF('Datos_fuente'!C37="","",LN('Datos_fuente'!C37))</f>
        <v/>
      </c>
      <c r="E37" s="160">
        <f>IF(OR(D37="",D36=""),"",D37-D36)</f>
        <v/>
      </c>
      <c r="F37" s="160">
        <f>IF('Datos_fuente'!E37="","",LN('Datos_fuente'!E37))</f>
        <v/>
      </c>
      <c r="G37" s="160">
        <f>IF(OR(F37="",F36=""),"",F37-F36)</f>
        <v/>
      </c>
      <c r="H37" s="161">
        <f>'Datos_fuente'!H37</f>
        <v/>
      </c>
      <c r="I37" s="161">
        <f>IF(OR(H37="",H36=""),"",H37-H36)</f>
        <v/>
      </c>
      <c r="J37" s="161">
        <f>'Datos_fuente'!J37</f>
        <v/>
      </c>
      <c r="K37" s="161">
        <f>IF(OR(J37="",J36=""),"",J37-J36)</f>
        <v/>
      </c>
      <c r="L37" s="160">
        <f>IF('Datos_fuente'!K37="","",LN('Datos_fuente'!K37))</f>
        <v/>
      </c>
      <c r="M37" s="160">
        <f>IF(OR(L37="",L36=""),"",L37-L36)</f>
        <v/>
      </c>
      <c r="N37" s="160">
        <f>IF('Datos_fuente'!L37="","",LN('Datos_fuente'!L37))</f>
        <v/>
      </c>
      <c r="O37" s="160">
        <f>IF(OR(N37="",N36=""),"",N37-N36)</f>
        <v/>
      </c>
      <c r="P37" s="162">
        <f>'Datos_fuente'!M37</f>
        <v/>
      </c>
      <c r="Q37" s="160">
        <f>IF('Datos_fuente'!N37="","",LN('Datos_fuente'!N37))</f>
        <v/>
      </c>
      <c r="R37" s="160">
        <f>IF(OR(Q37="",Q36=""),"",Q37-Q36)</f>
        <v/>
      </c>
      <c r="S37" s="161">
        <f>'Datos_fuente'!P37</f>
        <v/>
      </c>
      <c r="T37" s="161">
        <f>IF(OR(S37="",S36=""),"",S37-S36)</f>
        <v/>
      </c>
      <c r="U37" s="160">
        <f>IF('Datos_fuente'!Q37="","",ASINH('Datos_fuente'!Q37/1000))</f>
        <v/>
      </c>
      <c r="V37" s="160">
        <f>IF(OR(U37="",U36=""),"",U37-U36)</f>
        <v/>
      </c>
      <c r="W37" s="160">
        <f>IF('Datos_fuente'!R37="","",ASINH('Datos_fuente'!R37/1000))</f>
        <v/>
      </c>
      <c r="X37" s="160">
        <f>IF(OR(W37="",W36=""),"",W37-W36)</f>
        <v/>
      </c>
      <c r="Y37" s="161">
        <f>'Datos_fuente'!W37</f>
        <v/>
      </c>
      <c r="Z37" s="161">
        <f>IF(OR(Y37="",Y36=""),"",Y37-Y36)</f>
        <v/>
      </c>
      <c r="AA37" s="160">
        <f>'Datos_fuente'!AB37</f>
        <v/>
      </c>
      <c r="AB37" s="160">
        <f>'Datos_fuente'!AC37</f>
        <v/>
      </c>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c r="A38" s="1">
        <f>'Datos_fuente'!A38</f>
        <v/>
      </c>
      <c r="B38" s="160">
        <f>IF('Datos_fuente'!B38="","",LN('Datos_fuente'!B38))</f>
        <v/>
      </c>
      <c r="C38" s="160">
        <f>IF(OR(B38="",B37=""),"",B38-B37)</f>
        <v/>
      </c>
      <c r="D38" s="160">
        <f>IF('Datos_fuente'!C38="","",LN('Datos_fuente'!C38))</f>
        <v/>
      </c>
      <c r="E38" s="160">
        <f>IF(OR(D38="",D37=""),"",D38-D37)</f>
        <v/>
      </c>
      <c r="F38" s="160">
        <f>IF('Datos_fuente'!E38="","",LN('Datos_fuente'!E38))</f>
        <v/>
      </c>
      <c r="G38" s="160">
        <f>IF(OR(F38="",F37=""),"",F38-F37)</f>
        <v/>
      </c>
      <c r="H38" s="161">
        <f>'Datos_fuente'!H38</f>
        <v/>
      </c>
      <c r="I38" s="161">
        <f>IF(OR(H38="",H37=""),"",H38-H37)</f>
        <v/>
      </c>
      <c r="J38" s="161">
        <f>'Datos_fuente'!J38</f>
        <v/>
      </c>
      <c r="K38" s="161">
        <f>IF(OR(J38="",J37=""),"",J38-J37)</f>
        <v/>
      </c>
      <c r="L38" s="160">
        <f>IF('Datos_fuente'!K38="","",LN('Datos_fuente'!K38))</f>
        <v/>
      </c>
      <c r="M38" s="160">
        <f>IF(OR(L38="",L37=""),"",L38-L37)</f>
        <v/>
      </c>
      <c r="N38" s="160">
        <f>IF('Datos_fuente'!L38="","",LN('Datos_fuente'!L38))</f>
        <v/>
      </c>
      <c r="O38" s="160">
        <f>IF(OR(N38="",N37=""),"",N38-N37)</f>
        <v/>
      </c>
      <c r="P38" s="162">
        <f>'Datos_fuente'!M38</f>
        <v/>
      </c>
      <c r="Q38" s="160">
        <f>IF('Datos_fuente'!N38="","",LN('Datos_fuente'!N38))</f>
        <v/>
      </c>
      <c r="R38" s="160">
        <f>IF(OR(Q38="",Q37=""),"",Q38-Q37)</f>
        <v/>
      </c>
      <c r="S38" s="161">
        <f>'Datos_fuente'!P38</f>
        <v/>
      </c>
      <c r="T38" s="161">
        <f>IF(OR(S38="",S37=""),"",S38-S37)</f>
        <v/>
      </c>
      <c r="U38" s="160">
        <f>IF('Datos_fuente'!Q38="","",ASINH('Datos_fuente'!Q38/1000))</f>
        <v/>
      </c>
      <c r="V38" s="160">
        <f>IF(OR(U38="",U37=""),"",U38-U37)</f>
        <v/>
      </c>
      <c r="W38" s="160">
        <f>IF('Datos_fuente'!R38="","",ASINH('Datos_fuente'!R38/1000))</f>
        <v/>
      </c>
      <c r="X38" s="160">
        <f>IF(OR(W38="",W37=""),"",W38-W37)</f>
        <v/>
      </c>
      <c r="Y38" s="161">
        <f>'Datos_fuente'!W38</f>
        <v/>
      </c>
      <c r="Z38" s="161">
        <f>IF(OR(Y38="",Y37=""),"",Y38-Y37)</f>
        <v/>
      </c>
      <c r="AA38" s="160">
        <f>'Datos_fuente'!AB38</f>
        <v/>
      </c>
      <c r="AB38" s="160">
        <f>'Datos_fuente'!AC38</f>
        <v/>
      </c>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1">
        <f>'Datos_fuente'!A39</f>
        <v/>
      </c>
      <c r="B39" s="160">
        <f>IF('Datos_fuente'!B39="","",LN('Datos_fuente'!B39))</f>
        <v/>
      </c>
      <c r="C39" s="160">
        <f>IF(OR(B39="",B38=""),"",B39-B38)</f>
        <v/>
      </c>
      <c r="D39" s="160">
        <f>IF('Datos_fuente'!C39="","",LN('Datos_fuente'!C39))</f>
        <v/>
      </c>
      <c r="E39" s="160">
        <f>IF(OR(D39="",D38=""),"",D39-D38)</f>
        <v/>
      </c>
      <c r="F39" s="160">
        <f>IF('Datos_fuente'!E39="","",LN('Datos_fuente'!E39))</f>
        <v/>
      </c>
      <c r="G39" s="160">
        <f>IF(OR(F39="",F38=""),"",F39-F38)</f>
        <v/>
      </c>
      <c r="H39" s="161">
        <f>'Datos_fuente'!H39</f>
        <v/>
      </c>
      <c r="I39" s="161">
        <f>IF(OR(H39="",H38=""),"",H39-H38)</f>
        <v/>
      </c>
      <c r="J39" s="161">
        <f>'Datos_fuente'!J39</f>
        <v/>
      </c>
      <c r="K39" s="161">
        <f>IF(OR(J39="",J38=""),"",J39-J38)</f>
        <v/>
      </c>
      <c r="L39" s="160">
        <f>IF('Datos_fuente'!K39="","",LN('Datos_fuente'!K39))</f>
        <v/>
      </c>
      <c r="M39" s="160">
        <f>IF(OR(L39="",L38=""),"",L39-L38)</f>
        <v/>
      </c>
      <c r="N39" s="160">
        <f>IF('Datos_fuente'!L39="","",LN('Datos_fuente'!L39))</f>
        <v/>
      </c>
      <c r="O39" s="160">
        <f>IF(OR(N39="",N38=""),"",N39-N38)</f>
        <v/>
      </c>
      <c r="P39" s="162">
        <f>'Datos_fuente'!M39</f>
        <v/>
      </c>
      <c r="Q39" s="160">
        <f>IF('Datos_fuente'!N39="","",LN('Datos_fuente'!N39))</f>
        <v/>
      </c>
      <c r="R39" s="160">
        <f>IF(OR(Q39="",Q38=""),"",Q39-Q38)</f>
        <v/>
      </c>
      <c r="S39" s="161">
        <f>'Datos_fuente'!P39</f>
        <v/>
      </c>
      <c r="T39" s="161">
        <f>IF(OR(S39="",S38=""),"",S39-S38)</f>
        <v/>
      </c>
      <c r="U39" s="160">
        <f>IF('Datos_fuente'!Q39="","",ASINH('Datos_fuente'!Q39/1000))</f>
        <v/>
      </c>
      <c r="V39" s="160">
        <f>IF(OR(U39="",U38=""),"",U39-U38)</f>
        <v/>
      </c>
      <c r="W39" s="160">
        <f>IF('Datos_fuente'!R39="","",ASINH('Datos_fuente'!R39/1000))</f>
        <v/>
      </c>
      <c r="X39" s="160">
        <f>IF(OR(W39="",W38=""),"",W39-W38)</f>
        <v/>
      </c>
      <c r="Y39" s="161">
        <f>'Datos_fuente'!W39</f>
        <v/>
      </c>
      <c r="Z39" s="161">
        <f>IF(OR(Y39="",Y38=""),"",Y39-Y38)</f>
        <v/>
      </c>
      <c r="AA39" s="160">
        <f>'Datos_fuente'!AB39</f>
        <v/>
      </c>
      <c r="AB39" s="160">
        <f>'Datos_fuente'!AC39</f>
        <v/>
      </c>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1">
        <f>'Datos_fuente'!A40</f>
        <v/>
      </c>
      <c r="B40" s="160">
        <f>IF('Datos_fuente'!B40="","",LN('Datos_fuente'!B40))</f>
        <v/>
      </c>
      <c r="C40" s="160">
        <f>IF(OR(B40="",B39=""),"",B40-B39)</f>
        <v/>
      </c>
      <c r="D40" s="160">
        <f>IF('Datos_fuente'!C40="","",LN('Datos_fuente'!C40))</f>
        <v/>
      </c>
      <c r="E40" s="160">
        <f>IF(OR(D40="",D39=""),"",D40-D39)</f>
        <v/>
      </c>
      <c r="F40" s="160">
        <f>IF('Datos_fuente'!E40="","",LN('Datos_fuente'!E40))</f>
        <v/>
      </c>
      <c r="G40" s="160">
        <f>IF(OR(F40="",F39=""),"",F40-F39)</f>
        <v/>
      </c>
      <c r="H40" s="161">
        <f>'Datos_fuente'!H40</f>
        <v/>
      </c>
      <c r="I40" s="161">
        <f>IF(OR(H40="",H39=""),"",H40-H39)</f>
        <v/>
      </c>
      <c r="J40" s="161">
        <f>'Datos_fuente'!J40</f>
        <v/>
      </c>
      <c r="K40" s="161">
        <f>IF(OR(J40="",J39=""),"",J40-J39)</f>
        <v/>
      </c>
      <c r="L40" s="160">
        <f>IF('Datos_fuente'!K40="","",LN('Datos_fuente'!K40))</f>
        <v/>
      </c>
      <c r="M40" s="160">
        <f>IF(OR(L40="",L39=""),"",L40-L39)</f>
        <v/>
      </c>
      <c r="N40" s="160">
        <f>IF('Datos_fuente'!L40="","",LN('Datos_fuente'!L40))</f>
        <v/>
      </c>
      <c r="O40" s="160">
        <f>IF(OR(N40="",N39=""),"",N40-N39)</f>
        <v/>
      </c>
      <c r="P40" s="162">
        <f>'Datos_fuente'!M40</f>
        <v/>
      </c>
      <c r="Q40" s="160">
        <f>IF('Datos_fuente'!N40="","",LN('Datos_fuente'!N40))</f>
        <v/>
      </c>
      <c r="R40" s="160">
        <f>IF(OR(Q40="",Q39=""),"",Q40-Q39)</f>
        <v/>
      </c>
      <c r="S40" s="161">
        <f>'Datos_fuente'!P40</f>
        <v/>
      </c>
      <c r="T40" s="161">
        <f>IF(OR(S40="",S39=""),"",S40-S39)</f>
        <v/>
      </c>
      <c r="U40" s="160">
        <f>IF('Datos_fuente'!Q40="","",ASINH('Datos_fuente'!Q40/1000))</f>
        <v/>
      </c>
      <c r="V40" s="160">
        <f>IF(OR(U40="",U39=""),"",U40-U39)</f>
        <v/>
      </c>
      <c r="W40" s="160">
        <f>IF('Datos_fuente'!R40="","",ASINH('Datos_fuente'!R40/1000))</f>
        <v/>
      </c>
      <c r="X40" s="160">
        <f>IF(OR(W40="",W39=""),"",W40-W39)</f>
        <v/>
      </c>
      <c r="Y40" s="161">
        <f>'Datos_fuente'!W40</f>
        <v/>
      </c>
      <c r="Z40" s="161">
        <f>IF(OR(Y40="",Y39=""),"",Y40-Y39)</f>
        <v/>
      </c>
      <c r="AA40" s="160">
        <f>'Datos_fuente'!AB40</f>
        <v/>
      </c>
      <c r="AB40" s="160">
        <f>'Datos_fuente'!AC40</f>
        <v/>
      </c>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1">
        <f>'Datos_fuente'!A41</f>
        <v/>
      </c>
      <c r="B41" s="160">
        <f>IF('Datos_fuente'!B41="","",LN('Datos_fuente'!B41))</f>
        <v/>
      </c>
      <c r="C41" s="160">
        <f>IF(OR(B41="",B40=""),"",B41-B40)</f>
        <v/>
      </c>
      <c r="D41" s="160">
        <f>IF('Datos_fuente'!C41="","",LN('Datos_fuente'!C41))</f>
        <v/>
      </c>
      <c r="E41" s="160">
        <f>IF(OR(D41="",D40=""),"",D41-D40)</f>
        <v/>
      </c>
      <c r="F41" s="160">
        <f>IF('Datos_fuente'!E41="","",LN('Datos_fuente'!E41))</f>
        <v/>
      </c>
      <c r="G41" s="160">
        <f>IF(OR(F41="",F40=""),"",F41-F40)</f>
        <v/>
      </c>
      <c r="H41" s="161">
        <f>'Datos_fuente'!H41</f>
        <v/>
      </c>
      <c r="I41" s="161">
        <f>IF(OR(H41="",H40=""),"",H41-H40)</f>
        <v/>
      </c>
      <c r="J41" s="161">
        <f>'Datos_fuente'!J41</f>
        <v/>
      </c>
      <c r="K41" s="161">
        <f>IF(OR(J41="",J40=""),"",J41-J40)</f>
        <v/>
      </c>
      <c r="L41" s="160">
        <f>IF('Datos_fuente'!K41="","",LN('Datos_fuente'!K41))</f>
        <v/>
      </c>
      <c r="M41" s="160">
        <f>IF(OR(L41="",L40=""),"",L41-L40)</f>
        <v/>
      </c>
      <c r="N41" s="160">
        <f>IF('Datos_fuente'!L41="","",LN('Datos_fuente'!L41))</f>
        <v/>
      </c>
      <c r="O41" s="160">
        <f>IF(OR(N41="",N40=""),"",N41-N40)</f>
        <v/>
      </c>
      <c r="P41" s="162">
        <f>'Datos_fuente'!M41</f>
        <v/>
      </c>
      <c r="Q41" s="160">
        <f>IF('Datos_fuente'!N41="","",LN('Datos_fuente'!N41))</f>
        <v/>
      </c>
      <c r="R41" s="160">
        <f>IF(OR(Q41="",Q40=""),"",Q41-Q40)</f>
        <v/>
      </c>
      <c r="S41" s="161">
        <f>'Datos_fuente'!P41</f>
        <v/>
      </c>
      <c r="T41" s="161">
        <f>IF(OR(S41="",S40=""),"",S41-S40)</f>
        <v/>
      </c>
      <c r="U41" s="160">
        <f>IF('Datos_fuente'!Q41="","",ASINH('Datos_fuente'!Q41/1000))</f>
        <v/>
      </c>
      <c r="V41" s="160">
        <f>IF(OR(U41="",U40=""),"",U41-U40)</f>
        <v/>
      </c>
      <c r="W41" s="160">
        <f>IF('Datos_fuente'!R41="","",ASINH('Datos_fuente'!R41/1000))</f>
        <v/>
      </c>
      <c r="X41" s="160">
        <f>IF(OR(W41="",W40=""),"",W41-W40)</f>
        <v/>
      </c>
      <c r="Y41" s="161">
        <f>'Datos_fuente'!W41</f>
        <v/>
      </c>
      <c r="Z41" s="161">
        <f>IF(OR(Y41="",Y40=""),"",Y41-Y40)</f>
        <v/>
      </c>
      <c r="AA41" s="160">
        <f>'Datos_fuente'!AB41</f>
        <v/>
      </c>
      <c r="AB41" s="160">
        <f>'Datos_fuente'!AC41</f>
        <v/>
      </c>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1">
        <f>'Datos_fuente'!A42</f>
        <v/>
      </c>
      <c r="B42" s="160">
        <f>IF('Datos_fuente'!B42="","",LN('Datos_fuente'!B42))</f>
        <v/>
      </c>
      <c r="C42" s="160">
        <f>IF(OR(B42="",B41=""),"",B42-B41)</f>
        <v/>
      </c>
      <c r="D42" s="160">
        <f>IF('Datos_fuente'!C42="","",LN('Datos_fuente'!C42))</f>
        <v/>
      </c>
      <c r="E42" s="160">
        <f>IF(OR(D42="",D41=""),"",D42-D41)</f>
        <v/>
      </c>
      <c r="F42" s="160">
        <f>IF('Datos_fuente'!E42="","",LN('Datos_fuente'!E42))</f>
        <v/>
      </c>
      <c r="G42" s="160">
        <f>IF(OR(F42="",F41=""),"",F42-F41)</f>
        <v/>
      </c>
      <c r="H42" s="161">
        <f>'Datos_fuente'!H42</f>
        <v/>
      </c>
      <c r="I42" s="161">
        <f>IF(OR(H42="",H41=""),"",H42-H41)</f>
        <v/>
      </c>
      <c r="J42" s="161">
        <f>'Datos_fuente'!J42</f>
        <v/>
      </c>
      <c r="K42" s="161">
        <f>IF(OR(J42="",J41=""),"",J42-J41)</f>
        <v/>
      </c>
      <c r="L42" s="160">
        <f>IF('Datos_fuente'!K42="","",LN('Datos_fuente'!K42))</f>
        <v/>
      </c>
      <c r="M42" s="160">
        <f>IF(OR(L42="",L41=""),"",L42-L41)</f>
        <v/>
      </c>
      <c r="N42" s="160">
        <f>IF('Datos_fuente'!L42="","",LN('Datos_fuente'!L42))</f>
        <v/>
      </c>
      <c r="O42" s="160">
        <f>IF(OR(N42="",N41=""),"",N42-N41)</f>
        <v/>
      </c>
      <c r="P42" s="162">
        <f>'Datos_fuente'!M42</f>
        <v/>
      </c>
      <c r="Q42" s="160">
        <f>IF('Datos_fuente'!N42="","",LN('Datos_fuente'!N42))</f>
        <v/>
      </c>
      <c r="R42" s="160">
        <f>IF(OR(Q42="",Q41=""),"",Q42-Q41)</f>
        <v/>
      </c>
      <c r="S42" s="161">
        <f>'Datos_fuente'!P42</f>
        <v/>
      </c>
      <c r="T42" s="161">
        <f>IF(OR(S42="",S41=""),"",S42-S41)</f>
        <v/>
      </c>
      <c r="U42" s="160">
        <f>IF('Datos_fuente'!Q42="","",ASINH('Datos_fuente'!Q42/1000))</f>
        <v/>
      </c>
      <c r="V42" s="160">
        <f>IF(OR(U42="",U41=""),"",U42-U41)</f>
        <v/>
      </c>
      <c r="W42" s="160">
        <f>IF('Datos_fuente'!R42="","",ASINH('Datos_fuente'!R42/1000))</f>
        <v/>
      </c>
      <c r="X42" s="160">
        <f>IF(OR(W42="",W41=""),"",W42-W41)</f>
        <v/>
      </c>
      <c r="Y42" s="161">
        <f>'Datos_fuente'!W42</f>
        <v/>
      </c>
      <c r="Z42" s="161">
        <f>IF(OR(Y42="",Y41=""),"",Y42-Y41)</f>
        <v/>
      </c>
      <c r="AA42" s="160">
        <f>'Datos_fuente'!AB42</f>
        <v/>
      </c>
      <c r="AB42" s="160">
        <f>'Datos_fuente'!AC42</f>
        <v/>
      </c>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1">
        <f>'Datos_fuente'!A43</f>
        <v/>
      </c>
      <c r="B43" s="160">
        <f>IF('Datos_fuente'!B43="","",LN('Datos_fuente'!B43))</f>
        <v/>
      </c>
      <c r="C43" s="160">
        <f>IF(OR(B43="",B42=""),"",B43-B42)</f>
        <v/>
      </c>
      <c r="D43" s="160">
        <f>IF('Datos_fuente'!C43="","",LN('Datos_fuente'!C43))</f>
        <v/>
      </c>
      <c r="E43" s="160">
        <f>IF(OR(D43="",D42=""),"",D43-D42)</f>
        <v/>
      </c>
      <c r="F43" s="160">
        <f>IF('Datos_fuente'!E43="","",LN('Datos_fuente'!E43))</f>
        <v/>
      </c>
      <c r="G43" s="160">
        <f>IF(OR(F43="",F42=""),"",F43-F42)</f>
        <v/>
      </c>
      <c r="H43" s="161">
        <f>'Datos_fuente'!H43</f>
        <v/>
      </c>
      <c r="I43" s="161">
        <f>IF(OR(H43="",H42=""),"",H43-H42)</f>
        <v/>
      </c>
      <c r="J43" s="161">
        <f>'Datos_fuente'!J43</f>
        <v/>
      </c>
      <c r="K43" s="161">
        <f>IF(OR(J43="",J42=""),"",J43-J42)</f>
        <v/>
      </c>
      <c r="L43" s="160">
        <f>IF('Datos_fuente'!K43="","",LN('Datos_fuente'!K43))</f>
        <v/>
      </c>
      <c r="M43" s="160">
        <f>IF(OR(L43="",L42=""),"",L43-L42)</f>
        <v/>
      </c>
      <c r="N43" s="160">
        <f>IF('Datos_fuente'!L43="","",LN('Datos_fuente'!L43))</f>
        <v/>
      </c>
      <c r="O43" s="160">
        <f>IF(OR(N43="",N42=""),"",N43-N42)</f>
        <v/>
      </c>
      <c r="P43" s="162">
        <f>'Datos_fuente'!M43</f>
        <v/>
      </c>
      <c r="Q43" s="160">
        <f>IF('Datos_fuente'!N43="","",LN('Datos_fuente'!N43))</f>
        <v/>
      </c>
      <c r="R43" s="160">
        <f>IF(OR(Q43="",Q42=""),"",Q43-Q42)</f>
        <v/>
      </c>
      <c r="S43" s="161">
        <f>'Datos_fuente'!P43</f>
        <v/>
      </c>
      <c r="T43" s="161">
        <f>IF(OR(S43="",S42=""),"",S43-S42)</f>
        <v/>
      </c>
      <c r="U43" s="160">
        <f>IF('Datos_fuente'!Q43="","",ASINH('Datos_fuente'!Q43/1000))</f>
        <v/>
      </c>
      <c r="V43" s="160">
        <f>IF(OR(U43="",U42=""),"",U43-U42)</f>
        <v/>
      </c>
      <c r="W43" s="160">
        <f>IF('Datos_fuente'!R43="","",ASINH('Datos_fuente'!R43/1000))</f>
        <v/>
      </c>
      <c r="X43" s="160">
        <f>IF(OR(W43="",W42=""),"",W43-W42)</f>
        <v/>
      </c>
      <c r="Y43" s="161">
        <f>'Datos_fuente'!W43</f>
        <v/>
      </c>
      <c r="Z43" s="161">
        <f>IF(OR(Y43="",Y42=""),"",Y43-Y42)</f>
        <v/>
      </c>
      <c r="AA43" s="160">
        <f>'Datos_fuente'!AB43</f>
        <v/>
      </c>
      <c r="AB43" s="160">
        <f>'Datos_fuente'!AC43</f>
        <v/>
      </c>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1">
        <f>'Datos_fuente'!A44</f>
        <v/>
      </c>
      <c r="B44" s="160">
        <f>IF('Datos_fuente'!B44="","",LN('Datos_fuente'!B44))</f>
        <v/>
      </c>
      <c r="C44" s="160">
        <f>IF(OR(B44="",B43=""),"",B44-B43)</f>
        <v/>
      </c>
      <c r="D44" s="160">
        <f>IF('Datos_fuente'!C44="","",LN('Datos_fuente'!C44))</f>
        <v/>
      </c>
      <c r="E44" s="160">
        <f>IF(OR(D44="",D43=""),"",D44-D43)</f>
        <v/>
      </c>
      <c r="F44" s="160">
        <f>IF('Datos_fuente'!E44="","",LN('Datos_fuente'!E44))</f>
        <v/>
      </c>
      <c r="G44" s="160">
        <f>IF(OR(F44="",F43=""),"",F44-F43)</f>
        <v/>
      </c>
      <c r="H44" s="161">
        <f>'Datos_fuente'!H44</f>
        <v/>
      </c>
      <c r="I44" s="161">
        <f>IF(OR(H44="",H43=""),"",H44-H43)</f>
        <v/>
      </c>
      <c r="J44" s="161">
        <f>'Datos_fuente'!J44</f>
        <v/>
      </c>
      <c r="K44" s="161">
        <f>IF(OR(J44="",J43=""),"",J44-J43)</f>
        <v/>
      </c>
      <c r="L44" s="160">
        <f>IF('Datos_fuente'!K44="","",LN('Datos_fuente'!K44))</f>
        <v/>
      </c>
      <c r="M44" s="160">
        <f>IF(OR(L44="",L43=""),"",L44-L43)</f>
        <v/>
      </c>
      <c r="N44" s="160">
        <f>IF('Datos_fuente'!L44="","",LN('Datos_fuente'!L44))</f>
        <v/>
      </c>
      <c r="O44" s="160">
        <f>IF(OR(N44="",N43=""),"",N44-N43)</f>
        <v/>
      </c>
      <c r="P44" s="162">
        <f>'Datos_fuente'!M44</f>
        <v/>
      </c>
      <c r="Q44" s="160">
        <f>IF('Datos_fuente'!N44="","",LN('Datos_fuente'!N44))</f>
        <v/>
      </c>
      <c r="R44" s="160">
        <f>IF(OR(Q44="",Q43=""),"",Q44-Q43)</f>
        <v/>
      </c>
      <c r="S44" s="161">
        <f>'Datos_fuente'!P44</f>
        <v/>
      </c>
      <c r="T44" s="161">
        <f>IF(OR(S44="",S43=""),"",S44-S43)</f>
        <v/>
      </c>
      <c r="U44" s="160">
        <f>IF('Datos_fuente'!Q44="","",ASINH('Datos_fuente'!Q44/1000))</f>
        <v/>
      </c>
      <c r="V44" s="160">
        <f>IF(OR(U44="",U43=""),"",U44-U43)</f>
        <v/>
      </c>
      <c r="W44" s="160">
        <f>IF('Datos_fuente'!R44="","",ASINH('Datos_fuente'!R44/1000))</f>
        <v/>
      </c>
      <c r="X44" s="160">
        <f>IF(OR(W44="",W43=""),"",W44-W43)</f>
        <v/>
      </c>
      <c r="Y44" s="161">
        <f>'Datos_fuente'!W44</f>
        <v/>
      </c>
      <c r="Z44" s="161">
        <f>IF(OR(Y44="",Y43=""),"",Y44-Y43)</f>
        <v/>
      </c>
      <c r="AA44" s="160">
        <f>'Datos_fuente'!AB44</f>
        <v/>
      </c>
      <c r="AB44" s="160">
        <f>'Datos_fuente'!AC44</f>
        <v/>
      </c>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1">
        <f>'Datos_fuente'!A45</f>
        <v/>
      </c>
      <c r="B45" s="160">
        <f>IF('Datos_fuente'!B45="","",LN('Datos_fuente'!B45))</f>
        <v/>
      </c>
      <c r="C45" s="160">
        <f>IF(OR(B45="",B44=""),"",B45-B44)</f>
        <v/>
      </c>
      <c r="D45" s="160">
        <f>IF('Datos_fuente'!C45="","",LN('Datos_fuente'!C45))</f>
        <v/>
      </c>
      <c r="E45" s="160">
        <f>IF(OR(D45="",D44=""),"",D45-D44)</f>
        <v/>
      </c>
      <c r="F45" s="160">
        <f>IF('Datos_fuente'!E45="","",LN('Datos_fuente'!E45))</f>
        <v/>
      </c>
      <c r="G45" s="160">
        <f>IF(OR(F45="",F44=""),"",F45-F44)</f>
        <v/>
      </c>
      <c r="H45" s="161">
        <f>'Datos_fuente'!H45</f>
        <v/>
      </c>
      <c r="I45" s="161">
        <f>IF(OR(H45="",H44=""),"",H45-H44)</f>
        <v/>
      </c>
      <c r="J45" s="161">
        <f>'Datos_fuente'!J45</f>
        <v/>
      </c>
      <c r="K45" s="161">
        <f>IF(OR(J45="",J44=""),"",J45-J44)</f>
        <v/>
      </c>
      <c r="L45" s="160">
        <f>IF('Datos_fuente'!K45="","",LN('Datos_fuente'!K45))</f>
        <v/>
      </c>
      <c r="M45" s="160">
        <f>IF(OR(L45="",L44=""),"",L45-L44)</f>
        <v/>
      </c>
      <c r="N45" s="160">
        <f>IF('Datos_fuente'!L45="","",LN('Datos_fuente'!L45))</f>
        <v/>
      </c>
      <c r="O45" s="160">
        <f>IF(OR(N45="",N44=""),"",N45-N44)</f>
        <v/>
      </c>
      <c r="P45" s="162">
        <f>'Datos_fuente'!M45</f>
        <v/>
      </c>
      <c r="Q45" s="160">
        <f>IF('Datos_fuente'!N45="","",LN('Datos_fuente'!N45))</f>
        <v/>
      </c>
      <c r="R45" s="160">
        <f>IF(OR(Q45="",Q44=""),"",Q45-Q44)</f>
        <v/>
      </c>
      <c r="S45" s="161">
        <f>'Datos_fuente'!P45</f>
        <v/>
      </c>
      <c r="T45" s="161">
        <f>IF(OR(S45="",S44=""),"",S45-S44)</f>
        <v/>
      </c>
      <c r="U45" s="160">
        <f>IF('Datos_fuente'!Q45="","",ASINH('Datos_fuente'!Q45/1000))</f>
        <v/>
      </c>
      <c r="V45" s="160">
        <f>IF(OR(U45="",U44=""),"",U45-U44)</f>
        <v/>
      </c>
      <c r="W45" s="160">
        <f>IF('Datos_fuente'!R45="","",ASINH('Datos_fuente'!R45/1000))</f>
        <v/>
      </c>
      <c r="X45" s="160">
        <f>IF(OR(W45="",W44=""),"",W45-W44)</f>
        <v/>
      </c>
      <c r="Y45" s="161">
        <f>'Datos_fuente'!W45</f>
        <v/>
      </c>
      <c r="Z45" s="161">
        <f>IF(OR(Y45="",Y44=""),"",Y45-Y44)</f>
        <v/>
      </c>
      <c r="AA45" s="160">
        <f>'Datos_fuente'!AB45</f>
        <v/>
      </c>
      <c r="AB45" s="160">
        <f>'Datos_fuente'!AC45</f>
        <v/>
      </c>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1">
        <f>'Datos_fuente'!A46</f>
        <v/>
      </c>
      <c r="B46" s="160">
        <f>IF('Datos_fuente'!B46="","",LN('Datos_fuente'!B46))</f>
        <v/>
      </c>
      <c r="C46" s="160">
        <f>IF(OR(B46="",B45=""),"",B46-B45)</f>
        <v/>
      </c>
      <c r="D46" s="160">
        <f>IF('Datos_fuente'!C46="","",LN('Datos_fuente'!C46))</f>
        <v/>
      </c>
      <c r="E46" s="160">
        <f>IF(OR(D46="",D45=""),"",D46-D45)</f>
        <v/>
      </c>
      <c r="F46" s="160">
        <f>IF('Datos_fuente'!E46="","",LN('Datos_fuente'!E46))</f>
        <v/>
      </c>
      <c r="G46" s="160">
        <f>IF(OR(F46="",F45=""),"",F46-F45)</f>
        <v/>
      </c>
      <c r="H46" s="161">
        <f>'Datos_fuente'!H46</f>
        <v/>
      </c>
      <c r="I46" s="161">
        <f>IF(OR(H46="",H45=""),"",H46-H45)</f>
        <v/>
      </c>
      <c r="J46" s="161">
        <f>'Datos_fuente'!J46</f>
        <v/>
      </c>
      <c r="K46" s="161">
        <f>IF(OR(J46="",J45=""),"",J46-J45)</f>
        <v/>
      </c>
      <c r="L46" s="160">
        <f>IF('Datos_fuente'!K46="","",LN('Datos_fuente'!K46))</f>
        <v/>
      </c>
      <c r="M46" s="160">
        <f>IF(OR(L46="",L45=""),"",L46-L45)</f>
        <v/>
      </c>
      <c r="N46" s="160">
        <f>IF('Datos_fuente'!L46="","",LN('Datos_fuente'!L46))</f>
        <v/>
      </c>
      <c r="O46" s="160">
        <f>IF(OR(N46="",N45=""),"",N46-N45)</f>
        <v/>
      </c>
      <c r="P46" s="162">
        <f>'Datos_fuente'!M46</f>
        <v/>
      </c>
      <c r="Q46" s="160">
        <f>IF('Datos_fuente'!N46="","",LN('Datos_fuente'!N46))</f>
        <v/>
      </c>
      <c r="R46" s="160">
        <f>IF(OR(Q46="",Q45=""),"",Q46-Q45)</f>
        <v/>
      </c>
      <c r="S46" s="161">
        <f>'Datos_fuente'!P46</f>
        <v/>
      </c>
      <c r="T46" s="161">
        <f>IF(OR(S46="",S45=""),"",S46-S45)</f>
        <v/>
      </c>
      <c r="U46" s="160">
        <f>IF('Datos_fuente'!Q46="","",ASINH('Datos_fuente'!Q46/1000))</f>
        <v/>
      </c>
      <c r="V46" s="160">
        <f>IF(OR(U46="",U45=""),"",U46-U45)</f>
        <v/>
      </c>
      <c r="W46" s="160">
        <f>IF('Datos_fuente'!R46="","",ASINH('Datos_fuente'!R46/1000))</f>
        <v/>
      </c>
      <c r="X46" s="160">
        <f>IF(OR(W46="",W45=""),"",W46-W45)</f>
        <v/>
      </c>
      <c r="Y46" s="161">
        <f>'Datos_fuente'!W46</f>
        <v/>
      </c>
      <c r="Z46" s="161">
        <f>IF(OR(Y46="",Y45=""),"",Y46-Y45)</f>
        <v/>
      </c>
      <c r="AA46" s="160">
        <f>'Datos_fuente'!AB46</f>
        <v/>
      </c>
      <c r="AB46" s="160">
        <f>'Datos_fuente'!AC46</f>
        <v/>
      </c>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1">
        <f>'Datos_fuente'!A47</f>
        <v/>
      </c>
      <c r="B47" s="160">
        <f>IF('Datos_fuente'!B47="","",LN('Datos_fuente'!B47))</f>
        <v/>
      </c>
      <c r="C47" s="160">
        <f>IF(OR(B47="",B46=""),"",B47-B46)</f>
        <v/>
      </c>
      <c r="D47" s="160">
        <f>IF('Datos_fuente'!C47="","",LN('Datos_fuente'!C47))</f>
        <v/>
      </c>
      <c r="E47" s="160">
        <f>IF(OR(D47="",D46=""),"",D47-D46)</f>
        <v/>
      </c>
      <c r="F47" s="160">
        <f>IF('Datos_fuente'!E47="","",LN('Datos_fuente'!E47))</f>
        <v/>
      </c>
      <c r="G47" s="160">
        <f>IF(OR(F47="",F46=""),"",F47-F46)</f>
        <v/>
      </c>
      <c r="H47" s="161">
        <f>'Datos_fuente'!H47</f>
        <v/>
      </c>
      <c r="I47" s="161">
        <f>IF(OR(H47="",H46=""),"",H47-H46)</f>
        <v/>
      </c>
      <c r="J47" s="161">
        <f>'Datos_fuente'!J47</f>
        <v/>
      </c>
      <c r="K47" s="161">
        <f>IF(OR(J47="",J46=""),"",J47-J46)</f>
        <v/>
      </c>
      <c r="L47" s="160">
        <f>IF('Datos_fuente'!K47="","",LN('Datos_fuente'!K47))</f>
        <v/>
      </c>
      <c r="M47" s="160">
        <f>IF(OR(L47="",L46=""),"",L47-L46)</f>
        <v/>
      </c>
      <c r="N47" s="160">
        <f>IF('Datos_fuente'!L47="","",LN('Datos_fuente'!L47))</f>
        <v/>
      </c>
      <c r="O47" s="160">
        <f>IF(OR(N47="",N46=""),"",N47-N46)</f>
        <v/>
      </c>
      <c r="P47" s="162">
        <f>'Datos_fuente'!M47</f>
        <v/>
      </c>
      <c r="Q47" s="160">
        <f>IF('Datos_fuente'!N47="","",LN('Datos_fuente'!N47))</f>
        <v/>
      </c>
      <c r="R47" s="160">
        <f>IF(OR(Q47="",Q46=""),"",Q47-Q46)</f>
        <v/>
      </c>
      <c r="S47" s="161">
        <f>'Datos_fuente'!P47</f>
        <v/>
      </c>
      <c r="T47" s="161">
        <f>IF(OR(S47="",S46=""),"",S47-S46)</f>
        <v/>
      </c>
      <c r="U47" s="160">
        <f>IF('Datos_fuente'!Q47="","",ASINH('Datos_fuente'!Q47/1000))</f>
        <v/>
      </c>
      <c r="V47" s="160">
        <f>IF(OR(U47="",U46=""),"",U47-U46)</f>
        <v/>
      </c>
      <c r="W47" s="160">
        <f>IF('Datos_fuente'!R47="","",ASINH('Datos_fuente'!R47/1000))</f>
        <v/>
      </c>
      <c r="X47" s="160">
        <f>IF(OR(W47="",W46=""),"",W47-W46)</f>
        <v/>
      </c>
      <c r="Y47" s="161">
        <f>'Datos_fuente'!W47</f>
        <v/>
      </c>
      <c r="Z47" s="161">
        <f>IF(OR(Y47="",Y46=""),"",Y47-Y46)</f>
        <v/>
      </c>
      <c r="AA47" s="160">
        <f>'Datos_fuente'!AB47</f>
        <v/>
      </c>
      <c r="AB47" s="160">
        <f>'Datos_fuente'!AC47</f>
        <v/>
      </c>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1">
        <f>'Datos_fuente'!A48</f>
        <v/>
      </c>
      <c r="B48" s="160">
        <f>IF('Datos_fuente'!B48="","",LN('Datos_fuente'!B48))</f>
        <v/>
      </c>
      <c r="C48" s="160">
        <f>IF(OR(B48="",B47=""),"",B48-B47)</f>
        <v/>
      </c>
      <c r="D48" s="160">
        <f>IF('Datos_fuente'!C48="","",LN('Datos_fuente'!C48))</f>
        <v/>
      </c>
      <c r="E48" s="160">
        <f>IF(OR(D48="",D47=""),"",D48-D47)</f>
        <v/>
      </c>
      <c r="F48" s="160">
        <f>IF('Datos_fuente'!E48="","",LN('Datos_fuente'!E48))</f>
        <v/>
      </c>
      <c r="G48" s="160">
        <f>IF(OR(F48="",F47=""),"",F48-F47)</f>
        <v/>
      </c>
      <c r="H48" s="161">
        <f>'Datos_fuente'!H48</f>
        <v/>
      </c>
      <c r="I48" s="161">
        <f>IF(OR(H48="",H47=""),"",H48-H47)</f>
        <v/>
      </c>
      <c r="J48" s="161">
        <f>'Datos_fuente'!J48</f>
        <v/>
      </c>
      <c r="K48" s="161">
        <f>IF(OR(J48="",J47=""),"",J48-J47)</f>
        <v/>
      </c>
      <c r="L48" s="160">
        <f>IF('Datos_fuente'!K48="","",LN('Datos_fuente'!K48))</f>
        <v/>
      </c>
      <c r="M48" s="160">
        <f>IF(OR(L48="",L47=""),"",L48-L47)</f>
        <v/>
      </c>
      <c r="N48" s="160">
        <f>IF('Datos_fuente'!L48="","",LN('Datos_fuente'!L48))</f>
        <v/>
      </c>
      <c r="O48" s="160">
        <f>IF(OR(N48="",N47=""),"",N48-N47)</f>
        <v/>
      </c>
      <c r="P48" s="162">
        <f>'Datos_fuente'!M48</f>
        <v/>
      </c>
      <c r="Q48" s="160">
        <f>IF('Datos_fuente'!N48="","",LN('Datos_fuente'!N48))</f>
        <v/>
      </c>
      <c r="R48" s="160">
        <f>IF(OR(Q48="",Q47=""),"",Q48-Q47)</f>
        <v/>
      </c>
      <c r="S48" s="161">
        <f>'Datos_fuente'!P48</f>
        <v/>
      </c>
      <c r="T48" s="161">
        <f>IF(OR(S48="",S47=""),"",S48-S47)</f>
        <v/>
      </c>
      <c r="U48" s="160">
        <f>IF('Datos_fuente'!Q48="","",ASINH('Datos_fuente'!Q48/1000))</f>
        <v/>
      </c>
      <c r="V48" s="160">
        <f>IF(OR(U48="",U47=""),"",U48-U47)</f>
        <v/>
      </c>
      <c r="W48" s="160">
        <f>IF('Datos_fuente'!R48="","",ASINH('Datos_fuente'!R48/1000))</f>
        <v/>
      </c>
      <c r="X48" s="160">
        <f>IF(OR(W48="",W47=""),"",W48-W47)</f>
        <v/>
      </c>
      <c r="Y48" s="161">
        <f>'Datos_fuente'!W48</f>
        <v/>
      </c>
      <c r="Z48" s="161">
        <f>IF(OR(Y48="",Y47=""),"",Y48-Y47)</f>
        <v/>
      </c>
      <c r="AA48" s="160">
        <f>'Datos_fuente'!AB48</f>
        <v/>
      </c>
      <c r="AB48" s="160">
        <f>'Datos_fuente'!AC48</f>
        <v/>
      </c>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1">
        <f>'Datos_fuente'!A49</f>
        <v/>
      </c>
      <c r="B49" s="160">
        <f>IF('Datos_fuente'!B49="","",LN('Datos_fuente'!B49))</f>
        <v/>
      </c>
      <c r="C49" s="160">
        <f>IF(OR(B49="",B48=""),"",B49-B48)</f>
        <v/>
      </c>
      <c r="D49" s="160">
        <f>IF('Datos_fuente'!C49="","",LN('Datos_fuente'!C49))</f>
        <v/>
      </c>
      <c r="E49" s="160">
        <f>IF(OR(D49="",D48=""),"",D49-D48)</f>
        <v/>
      </c>
      <c r="F49" s="160">
        <f>IF('Datos_fuente'!E49="","",LN('Datos_fuente'!E49))</f>
        <v/>
      </c>
      <c r="G49" s="160">
        <f>IF(OR(F49="",F48=""),"",F49-F48)</f>
        <v/>
      </c>
      <c r="H49" s="161">
        <f>'Datos_fuente'!H49</f>
        <v/>
      </c>
      <c r="I49" s="161">
        <f>IF(OR(H49="",H48=""),"",H49-H48)</f>
        <v/>
      </c>
      <c r="J49" s="161">
        <f>'Datos_fuente'!J49</f>
        <v/>
      </c>
      <c r="K49" s="161">
        <f>IF(OR(J49="",J48=""),"",J49-J48)</f>
        <v/>
      </c>
      <c r="L49" s="160">
        <f>IF('Datos_fuente'!K49="","",LN('Datos_fuente'!K49))</f>
        <v/>
      </c>
      <c r="M49" s="160">
        <f>IF(OR(L49="",L48=""),"",L49-L48)</f>
        <v/>
      </c>
      <c r="N49" s="160">
        <f>IF('Datos_fuente'!L49="","",LN('Datos_fuente'!L49))</f>
        <v/>
      </c>
      <c r="O49" s="160">
        <f>IF(OR(N49="",N48=""),"",N49-N48)</f>
        <v/>
      </c>
      <c r="P49" s="162">
        <f>'Datos_fuente'!M49</f>
        <v/>
      </c>
      <c r="Q49" s="160">
        <f>IF('Datos_fuente'!N49="","",LN('Datos_fuente'!N49))</f>
        <v/>
      </c>
      <c r="R49" s="160">
        <f>IF(OR(Q49="",Q48=""),"",Q49-Q48)</f>
        <v/>
      </c>
      <c r="S49" s="161">
        <f>'Datos_fuente'!P49</f>
        <v/>
      </c>
      <c r="T49" s="161">
        <f>IF(OR(S49="",S48=""),"",S49-S48)</f>
        <v/>
      </c>
      <c r="U49" s="160">
        <f>IF('Datos_fuente'!Q49="","",ASINH('Datos_fuente'!Q49/1000))</f>
        <v/>
      </c>
      <c r="V49" s="160">
        <f>IF(OR(U49="",U48=""),"",U49-U48)</f>
        <v/>
      </c>
      <c r="W49" s="160">
        <f>IF('Datos_fuente'!R49="","",ASINH('Datos_fuente'!R49/1000))</f>
        <v/>
      </c>
      <c r="X49" s="160">
        <f>IF(OR(W49="",W48=""),"",W49-W48)</f>
        <v/>
      </c>
      <c r="Y49" s="161">
        <f>'Datos_fuente'!W49</f>
        <v/>
      </c>
      <c r="Z49" s="161">
        <f>IF(OR(Y49="",Y48=""),"",Y49-Y48)</f>
        <v/>
      </c>
      <c r="AA49" s="160">
        <f>'Datos_fuente'!AB49</f>
        <v/>
      </c>
      <c r="AB49" s="160">
        <f>'Datos_fuente'!AC49</f>
        <v/>
      </c>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1">
        <f>'Datos_fuente'!A50</f>
        <v/>
      </c>
      <c r="B50" s="160">
        <f>IF('Datos_fuente'!B50="","",LN('Datos_fuente'!B50))</f>
        <v/>
      </c>
      <c r="C50" s="160">
        <f>IF(OR(B50="",B49=""),"",B50-B49)</f>
        <v/>
      </c>
      <c r="D50" s="160">
        <f>IF('Datos_fuente'!C50="","",LN('Datos_fuente'!C50))</f>
        <v/>
      </c>
      <c r="E50" s="160">
        <f>IF(OR(D50="",D49=""),"",D50-D49)</f>
        <v/>
      </c>
      <c r="F50" s="160">
        <f>IF('Datos_fuente'!E50="","",LN('Datos_fuente'!E50))</f>
        <v/>
      </c>
      <c r="G50" s="160">
        <f>IF(OR(F50="",F49=""),"",F50-F49)</f>
        <v/>
      </c>
      <c r="H50" s="161">
        <f>'Datos_fuente'!H50</f>
        <v/>
      </c>
      <c r="I50" s="161">
        <f>IF(OR(H50="",H49=""),"",H50-H49)</f>
        <v/>
      </c>
      <c r="J50" s="161">
        <f>'Datos_fuente'!J50</f>
        <v/>
      </c>
      <c r="K50" s="161">
        <f>IF(OR(J50="",J49=""),"",J50-J49)</f>
        <v/>
      </c>
      <c r="L50" s="160">
        <f>IF('Datos_fuente'!K50="","",LN('Datos_fuente'!K50))</f>
        <v/>
      </c>
      <c r="M50" s="160">
        <f>IF(OR(L50="",L49=""),"",L50-L49)</f>
        <v/>
      </c>
      <c r="N50" s="160">
        <f>IF('Datos_fuente'!L50="","",LN('Datos_fuente'!L50))</f>
        <v/>
      </c>
      <c r="O50" s="160">
        <f>IF(OR(N50="",N49=""),"",N50-N49)</f>
        <v/>
      </c>
      <c r="P50" s="162">
        <f>'Datos_fuente'!M50</f>
        <v/>
      </c>
      <c r="Q50" s="160">
        <f>IF('Datos_fuente'!N50="","",LN('Datos_fuente'!N50))</f>
        <v/>
      </c>
      <c r="R50" s="160">
        <f>IF(OR(Q50="",Q49=""),"",Q50-Q49)</f>
        <v/>
      </c>
      <c r="S50" s="161">
        <f>'Datos_fuente'!P50</f>
        <v/>
      </c>
      <c r="T50" s="161">
        <f>IF(OR(S50="",S49=""),"",S50-S49)</f>
        <v/>
      </c>
      <c r="U50" s="160">
        <f>IF('Datos_fuente'!Q50="","",ASINH('Datos_fuente'!Q50/1000))</f>
        <v/>
      </c>
      <c r="V50" s="160">
        <f>IF(OR(U50="",U49=""),"",U50-U49)</f>
        <v/>
      </c>
      <c r="W50" s="160">
        <f>IF('Datos_fuente'!R50="","",ASINH('Datos_fuente'!R50/1000))</f>
        <v/>
      </c>
      <c r="X50" s="160">
        <f>IF(OR(W50="",W49=""),"",W50-W49)</f>
        <v/>
      </c>
      <c r="Y50" s="161">
        <f>'Datos_fuente'!W50</f>
        <v/>
      </c>
      <c r="Z50" s="161">
        <f>IF(OR(Y50="",Y49=""),"",Y50-Y49)</f>
        <v/>
      </c>
      <c r="AA50" s="160">
        <f>'Datos_fuente'!AB50</f>
        <v/>
      </c>
      <c r="AB50" s="160">
        <f>'Datos_fuente'!AC50</f>
        <v/>
      </c>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1">
        <f>'Datos_fuente'!A51</f>
        <v/>
      </c>
      <c r="B51" s="160">
        <f>IF('Datos_fuente'!B51="","",LN('Datos_fuente'!B51))</f>
        <v/>
      </c>
      <c r="C51" s="160">
        <f>IF(OR(B51="",B50=""),"",B51-B50)</f>
        <v/>
      </c>
      <c r="D51" s="160">
        <f>IF('Datos_fuente'!C51="","",LN('Datos_fuente'!C51))</f>
        <v/>
      </c>
      <c r="E51" s="160">
        <f>IF(OR(D51="",D50=""),"",D51-D50)</f>
        <v/>
      </c>
      <c r="F51" s="160">
        <f>IF('Datos_fuente'!E51="","",LN('Datos_fuente'!E51))</f>
        <v/>
      </c>
      <c r="G51" s="160">
        <f>IF(OR(F51="",F50=""),"",F51-F50)</f>
        <v/>
      </c>
      <c r="H51" s="161">
        <f>'Datos_fuente'!H51</f>
        <v/>
      </c>
      <c r="I51" s="161">
        <f>IF(OR(H51="",H50=""),"",H51-H50)</f>
        <v/>
      </c>
      <c r="J51" s="161">
        <f>'Datos_fuente'!J51</f>
        <v/>
      </c>
      <c r="K51" s="161">
        <f>IF(OR(J51="",J50=""),"",J51-J50)</f>
        <v/>
      </c>
      <c r="L51" s="160">
        <f>IF('Datos_fuente'!K51="","",LN('Datos_fuente'!K51))</f>
        <v/>
      </c>
      <c r="M51" s="160">
        <f>IF(OR(L51="",L50=""),"",L51-L50)</f>
        <v/>
      </c>
      <c r="N51" s="160">
        <f>IF('Datos_fuente'!L51="","",LN('Datos_fuente'!L51))</f>
        <v/>
      </c>
      <c r="O51" s="160">
        <f>IF(OR(N51="",N50=""),"",N51-N50)</f>
        <v/>
      </c>
      <c r="P51" s="162">
        <f>'Datos_fuente'!M51</f>
        <v/>
      </c>
      <c r="Q51" s="160">
        <f>IF('Datos_fuente'!N51="","",LN('Datos_fuente'!N51))</f>
        <v/>
      </c>
      <c r="R51" s="160">
        <f>IF(OR(Q51="",Q50=""),"",Q51-Q50)</f>
        <v/>
      </c>
      <c r="S51" s="161">
        <f>'Datos_fuente'!P51</f>
        <v/>
      </c>
      <c r="T51" s="161">
        <f>IF(OR(S51="",S50=""),"",S51-S50)</f>
        <v/>
      </c>
      <c r="U51" s="160">
        <f>IF('Datos_fuente'!Q51="","",ASINH('Datos_fuente'!Q51/1000))</f>
        <v/>
      </c>
      <c r="V51" s="160">
        <f>IF(OR(U51="",U50=""),"",U51-U50)</f>
        <v/>
      </c>
      <c r="W51" s="160">
        <f>IF('Datos_fuente'!R51="","",ASINH('Datos_fuente'!R51/1000))</f>
        <v/>
      </c>
      <c r="X51" s="160">
        <f>IF(OR(W51="",W50=""),"",W51-W50)</f>
        <v/>
      </c>
      <c r="Y51" s="161">
        <f>'Datos_fuente'!W51</f>
        <v/>
      </c>
      <c r="Z51" s="161">
        <f>IF(OR(Y51="",Y50=""),"",Y51-Y50)</f>
        <v/>
      </c>
      <c r="AA51" s="160">
        <f>'Datos_fuente'!AB51</f>
        <v/>
      </c>
      <c r="AB51" s="160">
        <f>'Datos_fuente'!AC51</f>
        <v/>
      </c>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1">
        <f>'Datos_fuente'!A52</f>
        <v/>
      </c>
      <c r="B52" s="160">
        <f>IF('Datos_fuente'!B52="","",LN('Datos_fuente'!B52))</f>
        <v/>
      </c>
      <c r="C52" s="160">
        <f>IF(OR(B52="",B51=""),"",B52-B51)</f>
        <v/>
      </c>
      <c r="D52" s="160">
        <f>IF('Datos_fuente'!C52="","",LN('Datos_fuente'!C52))</f>
        <v/>
      </c>
      <c r="E52" s="160">
        <f>IF(OR(D52="",D51=""),"",D52-D51)</f>
        <v/>
      </c>
      <c r="F52" s="160">
        <f>IF('Datos_fuente'!E52="","",LN('Datos_fuente'!E52))</f>
        <v/>
      </c>
      <c r="G52" s="160">
        <f>IF(OR(F52="",F51=""),"",F52-F51)</f>
        <v/>
      </c>
      <c r="H52" s="161">
        <f>'Datos_fuente'!H52</f>
        <v/>
      </c>
      <c r="I52" s="161">
        <f>IF(OR(H52="",H51=""),"",H52-H51)</f>
        <v/>
      </c>
      <c r="J52" s="161">
        <f>'Datos_fuente'!J52</f>
        <v/>
      </c>
      <c r="K52" s="161">
        <f>IF(OR(J52="",J51=""),"",J52-J51)</f>
        <v/>
      </c>
      <c r="L52" s="160">
        <f>IF('Datos_fuente'!K52="","",LN('Datos_fuente'!K52))</f>
        <v/>
      </c>
      <c r="M52" s="160">
        <f>IF(OR(L52="",L51=""),"",L52-L51)</f>
        <v/>
      </c>
      <c r="N52" s="160">
        <f>IF('Datos_fuente'!L52="","",LN('Datos_fuente'!L52))</f>
        <v/>
      </c>
      <c r="O52" s="160">
        <f>IF(OR(N52="",N51=""),"",N52-N51)</f>
        <v/>
      </c>
      <c r="P52" s="162">
        <f>'Datos_fuente'!M52</f>
        <v/>
      </c>
      <c r="Q52" s="160">
        <f>IF('Datos_fuente'!N52="","",LN('Datos_fuente'!N52))</f>
        <v/>
      </c>
      <c r="R52" s="160">
        <f>IF(OR(Q52="",Q51=""),"",Q52-Q51)</f>
        <v/>
      </c>
      <c r="S52" s="161">
        <f>'Datos_fuente'!P52</f>
        <v/>
      </c>
      <c r="T52" s="161">
        <f>IF(OR(S52="",S51=""),"",S52-S51)</f>
        <v/>
      </c>
      <c r="U52" s="160">
        <f>IF('Datos_fuente'!Q52="","",ASINH('Datos_fuente'!Q52/1000))</f>
        <v/>
      </c>
      <c r="V52" s="160">
        <f>IF(OR(U52="",U51=""),"",U52-U51)</f>
        <v/>
      </c>
      <c r="W52" s="160">
        <f>IF('Datos_fuente'!R52="","",ASINH('Datos_fuente'!R52/1000))</f>
        <v/>
      </c>
      <c r="X52" s="160">
        <f>IF(OR(W52="",W51=""),"",W52-W51)</f>
        <v/>
      </c>
      <c r="Y52" s="161">
        <f>'Datos_fuente'!W52</f>
        <v/>
      </c>
      <c r="Z52" s="161">
        <f>IF(OR(Y52="",Y51=""),"",Y52-Y51)</f>
        <v/>
      </c>
      <c r="AA52" s="160">
        <f>'Datos_fuente'!AB52</f>
        <v/>
      </c>
      <c r="AB52" s="160">
        <f>'Datos_fuente'!AC52</f>
        <v/>
      </c>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1">
        <f>'Datos_fuente'!A53</f>
        <v/>
      </c>
      <c r="B53" s="160">
        <f>IF('Datos_fuente'!B53="","",LN('Datos_fuente'!B53))</f>
        <v/>
      </c>
      <c r="C53" s="160">
        <f>IF(OR(B53="",B52=""),"",B53-B52)</f>
        <v/>
      </c>
      <c r="D53" s="160">
        <f>IF('Datos_fuente'!C53="","",LN('Datos_fuente'!C53))</f>
        <v/>
      </c>
      <c r="E53" s="160">
        <f>IF(OR(D53="",D52=""),"",D53-D52)</f>
        <v/>
      </c>
      <c r="F53" s="160">
        <f>IF('Datos_fuente'!E53="","",LN('Datos_fuente'!E53))</f>
        <v/>
      </c>
      <c r="G53" s="160">
        <f>IF(OR(F53="",F52=""),"",F53-F52)</f>
        <v/>
      </c>
      <c r="H53" s="161">
        <f>'Datos_fuente'!H53</f>
        <v/>
      </c>
      <c r="I53" s="161">
        <f>IF(OR(H53="",H52=""),"",H53-H52)</f>
        <v/>
      </c>
      <c r="J53" s="161">
        <f>'Datos_fuente'!J53</f>
        <v/>
      </c>
      <c r="K53" s="161">
        <f>IF(OR(J53="",J52=""),"",J53-J52)</f>
        <v/>
      </c>
      <c r="L53" s="160">
        <f>IF('Datos_fuente'!K53="","",LN('Datos_fuente'!K53))</f>
        <v/>
      </c>
      <c r="M53" s="160">
        <f>IF(OR(L53="",L52=""),"",L53-L52)</f>
        <v/>
      </c>
      <c r="N53" s="160">
        <f>IF('Datos_fuente'!L53="","",LN('Datos_fuente'!L53))</f>
        <v/>
      </c>
      <c r="O53" s="160">
        <f>IF(OR(N53="",N52=""),"",N53-N52)</f>
        <v/>
      </c>
      <c r="P53" s="162">
        <f>'Datos_fuente'!M53</f>
        <v/>
      </c>
      <c r="Q53" s="160">
        <f>IF('Datos_fuente'!N53="","",LN('Datos_fuente'!N53))</f>
        <v/>
      </c>
      <c r="R53" s="160">
        <f>IF(OR(Q53="",Q52=""),"",Q53-Q52)</f>
        <v/>
      </c>
      <c r="S53" s="161">
        <f>'Datos_fuente'!P53</f>
        <v/>
      </c>
      <c r="T53" s="161">
        <f>IF(OR(S53="",S52=""),"",S53-S52)</f>
        <v/>
      </c>
      <c r="U53" s="160">
        <f>IF('Datos_fuente'!Q53="","",ASINH('Datos_fuente'!Q53/1000))</f>
        <v/>
      </c>
      <c r="V53" s="160">
        <f>IF(OR(U53="",U52=""),"",U53-U52)</f>
        <v/>
      </c>
      <c r="W53" s="160">
        <f>IF('Datos_fuente'!R53="","",ASINH('Datos_fuente'!R53/1000))</f>
        <v/>
      </c>
      <c r="X53" s="160">
        <f>IF(OR(W53="",W52=""),"",W53-W52)</f>
        <v/>
      </c>
      <c r="Y53" s="161">
        <f>'Datos_fuente'!W53</f>
        <v/>
      </c>
      <c r="Z53" s="161">
        <f>IF(OR(Y53="",Y52=""),"",Y53-Y52)</f>
        <v/>
      </c>
      <c r="AA53" s="160">
        <f>'Datos_fuente'!AB53</f>
        <v/>
      </c>
      <c r="AB53" s="160">
        <f>'Datos_fuente'!AC53</f>
        <v/>
      </c>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1">
        <f>'Datos_fuente'!A54</f>
        <v/>
      </c>
      <c r="B54" s="160">
        <f>IF('Datos_fuente'!B54="","",LN('Datos_fuente'!B54))</f>
        <v/>
      </c>
      <c r="C54" s="160">
        <f>IF(OR(B54="",B53=""),"",B54-B53)</f>
        <v/>
      </c>
      <c r="D54" s="160">
        <f>IF('Datos_fuente'!C54="","",LN('Datos_fuente'!C54))</f>
        <v/>
      </c>
      <c r="E54" s="160">
        <f>IF(OR(D54="",D53=""),"",D54-D53)</f>
        <v/>
      </c>
      <c r="F54" s="160">
        <f>IF('Datos_fuente'!E54="","",LN('Datos_fuente'!E54))</f>
        <v/>
      </c>
      <c r="G54" s="160">
        <f>IF(OR(F54="",F53=""),"",F54-F53)</f>
        <v/>
      </c>
      <c r="H54" s="161">
        <f>'Datos_fuente'!H54</f>
        <v/>
      </c>
      <c r="I54" s="161">
        <f>IF(OR(H54="",H53=""),"",H54-H53)</f>
        <v/>
      </c>
      <c r="J54" s="161">
        <f>'Datos_fuente'!J54</f>
        <v/>
      </c>
      <c r="K54" s="161">
        <f>IF(OR(J54="",J53=""),"",J54-J53)</f>
        <v/>
      </c>
      <c r="L54" s="160">
        <f>IF('Datos_fuente'!K54="","",LN('Datos_fuente'!K54))</f>
        <v/>
      </c>
      <c r="M54" s="160">
        <f>IF(OR(L54="",L53=""),"",L54-L53)</f>
        <v/>
      </c>
      <c r="N54" s="160">
        <f>IF('Datos_fuente'!L54="","",LN('Datos_fuente'!L54))</f>
        <v/>
      </c>
      <c r="O54" s="160">
        <f>IF(OR(N54="",N53=""),"",N54-N53)</f>
        <v/>
      </c>
      <c r="P54" s="162">
        <f>'Datos_fuente'!M54</f>
        <v/>
      </c>
      <c r="Q54" s="160">
        <f>IF('Datos_fuente'!N54="","",LN('Datos_fuente'!N54))</f>
        <v/>
      </c>
      <c r="R54" s="160">
        <f>IF(OR(Q54="",Q53=""),"",Q54-Q53)</f>
        <v/>
      </c>
      <c r="S54" s="161">
        <f>'Datos_fuente'!P54</f>
        <v/>
      </c>
      <c r="T54" s="161">
        <f>IF(OR(S54="",S53=""),"",S54-S53)</f>
        <v/>
      </c>
      <c r="U54" s="160">
        <f>IF('Datos_fuente'!Q54="","",ASINH('Datos_fuente'!Q54/1000))</f>
        <v/>
      </c>
      <c r="V54" s="160">
        <f>IF(OR(U54="",U53=""),"",U54-U53)</f>
        <v/>
      </c>
      <c r="W54" s="160">
        <f>IF('Datos_fuente'!R54="","",ASINH('Datos_fuente'!R54/1000))</f>
        <v/>
      </c>
      <c r="X54" s="160">
        <f>IF(OR(W54="",W53=""),"",W54-W53)</f>
        <v/>
      </c>
      <c r="Y54" s="161">
        <f>'Datos_fuente'!W54</f>
        <v/>
      </c>
      <c r="Z54" s="161">
        <f>IF(OR(Y54="",Y53=""),"",Y54-Y53)</f>
        <v/>
      </c>
      <c r="AA54" s="160">
        <f>'Datos_fuente'!AB54</f>
        <v/>
      </c>
      <c r="AB54" s="160">
        <f>'Datos_fuente'!AC54</f>
        <v/>
      </c>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1">
        <f>'Datos_fuente'!A55</f>
        <v/>
      </c>
      <c r="B55" s="160">
        <f>IF('Datos_fuente'!B55="","",LN('Datos_fuente'!B55))</f>
        <v/>
      </c>
      <c r="C55" s="160">
        <f>IF(OR(B55="",B54=""),"",B55-B54)</f>
        <v/>
      </c>
      <c r="D55" s="160">
        <f>IF('Datos_fuente'!C55="","",LN('Datos_fuente'!C55))</f>
        <v/>
      </c>
      <c r="E55" s="160">
        <f>IF(OR(D55="",D54=""),"",D55-D54)</f>
        <v/>
      </c>
      <c r="F55" s="160">
        <f>IF('Datos_fuente'!E55="","",LN('Datos_fuente'!E55))</f>
        <v/>
      </c>
      <c r="G55" s="160">
        <f>IF(OR(F55="",F54=""),"",F55-F54)</f>
        <v/>
      </c>
      <c r="H55" s="161">
        <f>'Datos_fuente'!H55</f>
        <v/>
      </c>
      <c r="I55" s="161">
        <f>IF(OR(H55="",H54=""),"",H55-H54)</f>
        <v/>
      </c>
      <c r="J55" s="161">
        <f>'Datos_fuente'!J55</f>
        <v/>
      </c>
      <c r="K55" s="161">
        <f>IF(OR(J55="",J54=""),"",J55-J54)</f>
        <v/>
      </c>
      <c r="L55" s="160">
        <f>IF('Datos_fuente'!K55="","",LN('Datos_fuente'!K55))</f>
        <v/>
      </c>
      <c r="M55" s="160">
        <f>IF(OR(L55="",L54=""),"",L55-L54)</f>
        <v/>
      </c>
      <c r="N55" s="160">
        <f>IF('Datos_fuente'!L55="","",LN('Datos_fuente'!L55))</f>
        <v/>
      </c>
      <c r="O55" s="160">
        <f>IF(OR(N55="",N54=""),"",N55-N54)</f>
        <v/>
      </c>
      <c r="P55" s="162">
        <f>'Datos_fuente'!M55</f>
        <v/>
      </c>
      <c r="Q55" s="160">
        <f>IF('Datos_fuente'!N55="","",LN('Datos_fuente'!N55))</f>
        <v/>
      </c>
      <c r="R55" s="160">
        <f>IF(OR(Q55="",Q54=""),"",Q55-Q54)</f>
        <v/>
      </c>
      <c r="S55" s="161">
        <f>'Datos_fuente'!P55</f>
        <v/>
      </c>
      <c r="T55" s="161">
        <f>IF(OR(S55="",S54=""),"",S55-S54)</f>
        <v/>
      </c>
      <c r="U55" s="160">
        <f>IF('Datos_fuente'!Q55="","",ASINH('Datos_fuente'!Q55/1000))</f>
        <v/>
      </c>
      <c r="V55" s="160">
        <f>IF(OR(U55="",U54=""),"",U55-U54)</f>
        <v/>
      </c>
      <c r="W55" s="160">
        <f>IF('Datos_fuente'!R55="","",ASINH('Datos_fuente'!R55/1000))</f>
        <v/>
      </c>
      <c r="X55" s="160">
        <f>IF(OR(W55="",W54=""),"",W55-W54)</f>
        <v/>
      </c>
      <c r="Y55" s="161">
        <f>'Datos_fuente'!W55</f>
        <v/>
      </c>
      <c r="Z55" s="161">
        <f>IF(OR(Y55="",Y54=""),"",Y55-Y54)</f>
        <v/>
      </c>
      <c r="AA55" s="160">
        <f>'Datos_fuente'!AB55</f>
        <v/>
      </c>
      <c r="AB55" s="160">
        <f>'Datos_fuente'!AC55</f>
        <v/>
      </c>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1">
        <f>'Datos_fuente'!A56</f>
        <v/>
      </c>
      <c r="B56" s="160">
        <f>IF('Datos_fuente'!B56="","",LN('Datos_fuente'!B56))</f>
        <v/>
      </c>
      <c r="C56" s="160">
        <f>IF(OR(B56="",B55=""),"",B56-B55)</f>
        <v/>
      </c>
      <c r="D56" s="160">
        <f>IF('Datos_fuente'!C56="","",LN('Datos_fuente'!C56))</f>
        <v/>
      </c>
      <c r="E56" s="160">
        <f>IF(OR(D56="",D55=""),"",D56-D55)</f>
        <v/>
      </c>
      <c r="F56" s="160">
        <f>IF('Datos_fuente'!E56="","",LN('Datos_fuente'!E56))</f>
        <v/>
      </c>
      <c r="G56" s="160">
        <f>IF(OR(F56="",F55=""),"",F56-F55)</f>
        <v/>
      </c>
      <c r="H56" s="161">
        <f>'Datos_fuente'!H56</f>
        <v/>
      </c>
      <c r="I56" s="161">
        <f>IF(OR(H56="",H55=""),"",H56-H55)</f>
        <v/>
      </c>
      <c r="J56" s="161">
        <f>'Datos_fuente'!J56</f>
        <v/>
      </c>
      <c r="K56" s="161">
        <f>IF(OR(J56="",J55=""),"",J56-J55)</f>
        <v/>
      </c>
      <c r="L56" s="160">
        <f>IF('Datos_fuente'!K56="","",LN('Datos_fuente'!K56))</f>
        <v/>
      </c>
      <c r="M56" s="160">
        <f>IF(OR(L56="",L55=""),"",L56-L55)</f>
        <v/>
      </c>
      <c r="N56" s="160">
        <f>IF('Datos_fuente'!L56="","",LN('Datos_fuente'!L56))</f>
        <v/>
      </c>
      <c r="O56" s="160">
        <f>IF(OR(N56="",N55=""),"",N56-N55)</f>
        <v/>
      </c>
      <c r="P56" s="162">
        <f>'Datos_fuente'!M56</f>
        <v/>
      </c>
      <c r="Q56" s="160">
        <f>IF('Datos_fuente'!N56="","",LN('Datos_fuente'!N56))</f>
        <v/>
      </c>
      <c r="R56" s="160">
        <f>IF(OR(Q56="",Q55=""),"",Q56-Q55)</f>
        <v/>
      </c>
      <c r="S56" s="161">
        <f>'Datos_fuente'!P56</f>
        <v/>
      </c>
      <c r="T56" s="161">
        <f>IF(OR(S56="",S55=""),"",S56-S55)</f>
        <v/>
      </c>
      <c r="U56" s="160">
        <f>IF('Datos_fuente'!Q56="","",ASINH('Datos_fuente'!Q56/1000))</f>
        <v/>
      </c>
      <c r="V56" s="160">
        <f>IF(OR(U56="",U55=""),"",U56-U55)</f>
        <v/>
      </c>
      <c r="W56" s="160">
        <f>IF('Datos_fuente'!R56="","",ASINH('Datos_fuente'!R56/1000))</f>
        <v/>
      </c>
      <c r="X56" s="160">
        <f>IF(OR(W56="",W55=""),"",W56-W55)</f>
        <v/>
      </c>
      <c r="Y56" s="161">
        <f>'Datos_fuente'!W56</f>
        <v/>
      </c>
      <c r="Z56" s="161">
        <f>IF(OR(Y56="",Y55=""),"",Y56-Y55)</f>
        <v/>
      </c>
      <c r="AA56" s="160">
        <f>'Datos_fuente'!AB56</f>
        <v/>
      </c>
      <c r="AB56" s="160">
        <f>'Datos_fuente'!AC56</f>
        <v/>
      </c>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1">
        <f>'Datos_fuente'!A57</f>
        <v/>
      </c>
      <c r="B57" s="160">
        <f>IF('Datos_fuente'!B57="","",LN('Datos_fuente'!B57))</f>
        <v/>
      </c>
      <c r="C57" s="160">
        <f>IF(OR(B57="",B56=""),"",B57-B56)</f>
        <v/>
      </c>
      <c r="D57" s="160">
        <f>IF('Datos_fuente'!C57="","",LN('Datos_fuente'!C57))</f>
        <v/>
      </c>
      <c r="E57" s="160">
        <f>IF(OR(D57="",D56=""),"",D57-D56)</f>
        <v/>
      </c>
      <c r="F57" s="160">
        <f>IF('Datos_fuente'!E57="","",LN('Datos_fuente'!E57))</f>
        <v/>
      </c>
      <c r="G57" s="160">
        <f>IF(OR(F57="",F56=""),"",F57-F56)</f>
        <v/>
      </c>
      <c r="H57" s="161">
        <f>'Datos_fuente'!H57</f>
        <v/>
      </c>
      <c r="I57" s="161">
        <f>IF(OR(H57="",H56=""),"",H57-H56)</f>
        <v/>
      </c>
      <c r="J57" s="161">
        <f>'Datos_fuente'!J57</f>
        <v/>
      </c>
      <c r="K57" s="161">
        <f>IF(OR(J57="",J56=""),"",J57-J56)</f>
        <v/>
      </c>
      <c r="L57" s="160">
        <f>IF('Datos_fuente'!K57="","",LN('Datos_fuente'!K57))</f>
        <v/>
      </c>
      <c r="M57" s="160">
        <f>IF(OR(L57="",L56=""),"",L57-L56)</f>
        <v/>
      </c>
      <c r="N57" s="160">
        <f>IF('Datos_fuente'!L57="","",LN('Datos_fuente'!L57))</f>
        <v/>
      </c>
      <c r="O57" s="160">
        <f>IF(OR(N57="",N56=""),"",N57-N56)</f>
        <v/>
      </c>
      <c r="P57" s="162">
        <f>'Datos_fuente'!M57</f>
        <v/>
      </c>
      <c r="Q57" s="160">
        <f>IF('Datos_fuente'!N57="","",LN('Datos_fuente'!N57))</f>
        <v/>
      </c>
      <c r="R57" s="160">
        <f>IF(OR(Q57="",Q56=""),"",Q57-Q56)</f>
        <v/>
      </c>
      <c r="S57" s="161">
        <f>'Datos_fuente'!P57</f>
        <v/>
      </c>
      <c r="T57" s="161">
        <f>IF(OR(S57="",S56=""),"",S57-S56)</f>
        <v/>
      </c>
      <c r="U57" s="160">
        <f>IF('Datos_fuente'!Q57="","",ASINH('Datos_fuente'!Q57/1000))</f>
        <v/>
      </c>
      <c r="V57" s="160">
        <f>IF(OR(U57="",U56=""),"",U57-U56)</f>
        <v/>
      </c>
      <c r="W57" s="160">
        <f>IF('Datos_fuente'!R57="","",ASINH('Datos_fuente'!R57/1000))</f>
        <v/>
      </c>
      <c r="X57" s="160">
        <f>IF(OR(W57="",W56=""),"",W57-W56)</f>
        <v/>
      </c>
      <c r="Y57" s="161">
        <f>'Datos_fuente'!W57</f>
        <v/>
      </c>
      <c r="Z57" s="161">
        <f>IF(OR(Y57="",Y56=""),"",Y57-Y56)</f>
        <v/>
      </c>
      <c r="AA57" s="160">
        <f>'Datos_fuente'!AB57</f>
        <v/>
      </c>
      <c r="AB57" s="160">
        <f>'Datos_fuente'!AC57</f>
        <v/>
      </c>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1">
        <f>'Datos_fuente'!A58</f>
        <v/>
      </c>
      <c r="B58" s="160">
        <f>IF('Datos_fuente'!B58="","",LN('Datos_fuente'!B58))</f>
        <v/>
      </c>
      <c r="C58" s="160">
        <f>IF(OR(B58="",B57=""),"",B58-B57)</f>
        <v/>
      </c>
      <c r="D58" s="160">
        <f>IF('Datos_fuente'!C58="","",LN('Datos_fuente'!C58))</f>
        <v/>
      </c>
      <c r="E58" s="160">
        <f>IF(OR(D58="",D57=""),"",D58-D57)</f>
        <v/>
      </c>
      <c r="F58" s="160">
        <f>IF('Datos_fuente'!E58="","",LN('Datos_fuente'!E58))</f>
        <v/>
      </c>
      <c r="G58" s="160">
        <f>IF(OR(F58="",F57=""),"",F58-F57)</f>
        <v/>
      </c>
      <c r="H58" s="161">
        <f>'Datos_fuente'!H58</f>
        <v/>
      </c>
      <c r="I58" s="161">
        <f>IF(OR(H58="",H57=""),"",H58-H57)</f>
        <v/>
      </c>
      <c r="J58" s="161">
        <f>'Datos_fuente'!J58</f>
        <v/>
      </c>
      <c r="K58" s="161">
        <f>IF(OR(J58="",J57=""),"",J58-J57)</f>
        <v/>
      </c>
      <c r="L58" s="160">
        <f>IF('Datos_fuente'!K58="","",LN('Datos_fuente'!K58))</f>
        <v/>
      </c>
      <c r="M58" s="160">
        <f>IF(OR(L58="",L57=""),"",L58-L57)</f>
        <v/>
      </c>
      <c r="N58" s="160">
        <f>IF('Datos_fuente'!L58="","",LN('Datos_fuente'!L58))</f>
        <v/>
      </c>
      <c r="O58" s="160">
        <f>IF(OR(N58="",N57=""),"",N58-N57)</f>
        <v/>
      </c>
      <c r="P58" s="162">
        <f>'Datos_fuente'!M58</f>
        <v/>
      </c>
      <c r="Q58" s="160">
        <f>IF('Datos_fuente'!N58="","",LN('Datos_fuente'!N58))</f>
        <v/>
      </c>
      <c r="R58" s="160">
        <f>IF(OR(Q58="",Q57=""),"",Q58-Q57)</f>
        <v/>
      </c>
      <c r="S58" s="161">
        <f>'Datos_fuente'!P58</f>
        <v/>
      </c>
      <c r="T58" s="161">
        <f>IF(OR(S58="",S57=""),"",S58-S57)</f>
        <v/>
      </c>
      <c r="U58" s="160">
        <f>IF('Datos_fuente'!Q58="","",ASINH('Datos_fuente'!Q58/1000))</f>
        <v/>
      </c>
      <c r="V58" s="160">
        <f>IF(OR(U58="",U57=""),"",U58-U57)</f>
        <v/>
      </c>
      <c r="W58" s="160">
        <f>IF('Datos_fuente'!R58="","",ASINH('Datos_fuente'!R58/1000))</f>
        <v/>
      </c>
      <c r="X58" s="160">
        <f>IF(OR(W58="",W57=""),"",W58-W57)</f>
        <v/>
      </c>
      <c r="Y58" s="161">
        <f>'Datos_fuente'!W58</f>
        <v/>
      </c>
      <c r="Z58" s="161">
        <f>IF(OR(Y58="",Y57=""),"",Y58-Y57)</f>
        <v/>
      </c>
      <c r="AA58" s="160">
        <f>'Datos_fuente'!AB58</f>
        <v/>
      </c>
      <c r="AB58" s="160">
        <f>'Datos_fuente'!AC58</f>
        <v/>
      </c>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f>'Datos_fuente'!A59</f>
        <v/>
      </c>
      <c r="B59" s="160">
        <f>IF('Datos_fuente'!B59="","",LN('Datos_fuente'!B59))</f>
        <v/>
      </c>
      <c r="C59" s="160">
        <f>IF(OR(B59="",B58=""),"",B59-B58)</f>
        <v/>
      </c>
      <c r="D59" s="160">
        <f>IF('Datos_fuente'!C59="","",LN('Datos_fuente'!C59))</f>
        <v/>
      </c>
      <c r="E59" s="160">
        <f>IF(OR(D59="",D58=""),"",D59-D58)</f>
        <v/>
      </c>
      <c r="F59" s="160">
        <f>IF('Datos_fuente'!E59="","",LN('Datos_fuente'!E59))</f>
        <v/>
      </c>
      <c r="G59" s="160">
        <f>IF(OR(F59="",F58=""),"",F59-F58)</f>
        <v/>
      </c>
      <c r="H59" s="161">
        <f>'Datos_fuente'!H59</f>
        <v/>
      </c>
      <c r="I59" s="161">
        <f>IF(OR(H59="",H58=""),"",H59-H58)</f>
        <v/>
      </c>
      <c r="J59" s="161">
        <f>'Datos_fuente'!J59</f>
        <v/>
      </c>
      <c r="K59" s="161">
        <f>IF(OR(J59="",J58=""),"",J59-J58)</f>
        <v/>
      </c>
      <c r="L59" s="160">
        <f>IF('Datos_fuente'!K59="","",LN('Datos_fuente'!K59))</f>
        <v/>
      </c>
      <c r="M59" s="160">
        <f>IF(OR(L59="",L58=""),"",L59-L58)</f>
        <v/>
      </c>
      <c r="N59" s="160">
        <f>IF('Datos_fuente'!L59="","",LN('Datos_fuente'!L59))</f>
        <v/>
      </c>
      <c r="O59" s="160">
        <f>IF(OR(N59="",N58=""),"",N59-N58)</f>
        <v/>
      </c>
      <c r="P59" s="162">
        <f>'Datos_fuente'!M59</f>
        <v/>
      </c>
      <c r="Q59" s="160">
        <f>IF('Datos_fuente'!N59="","",LN('Datos_fuente'!N59))</f>
        <v/>
      </c>
      <c r="R59" s="160">
        <f>IF(OR(Q59="",Q58=""),"",Q59-Q58)</f>
        <v/>
      </c>
      <c r="S59" s="161">
        <f>'Datos_fuente'!P59</f>
        <v/>
      </c>
      <c r="T59" s="161">
        <f>IF(OR(S59="",S58=""),"",S59-S58)</f>
        <v/>
      </c>
      <c r="U59" s="160">
        <f>IF('Datos_fuente'!Q59="","",ASINH('Datos_fuente'!Q59/1000))</f>
        <v/>
      </c>
      <c r="V59" s="160">
        <f>IF(OR(U59="",U58=""),"",U59-U58)</f>
        <v/>
      </c>
      <c r="W59" s="160">
        <f>IF('Datos_fuente'!R59="","",ASINH('Datos_fuente'!R59/1000))</f>
        <v/>
      </c>
      <c r="X59" s="160">
        <f>IF(OR(W59="",W58=""),"",W59-W58)</f>
        <v/>
      </c>
      <c r="Y59" s="161">
        <f>'Datos_fuente'!W59</f>
        <v/>
      </c>
      <c r="Z59" s="161">
        <f>IF(OR(Y59="",Y58=""),"",Y59-Y58)</f>
        <v/>
      </c>
      <c r="AA59" s="160">
        <f>'Datos_fuente'!AB59</f>
        <v/>
      </c>
      <c r="AB59" s="160">
        <f>'Datos_fuente'!AC59</f>
        <v/>
      </c>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f>'Datos_fuente'!A60</f>
        <v/>
      </c>
      <c r="B60" s="160">
        <f>IF('Datos_fuente'!B60="","",LN('Datos_fuente'!B60))</f>
        <v/>
      </c>
      <c r="C60" s="160">
        <f>IF(OR(B60="",B59=""),"",B60-B59)</f>
        <v/>
      </c>
      <c r="D60" s="160">
        <f>IF('Datos_fuente'!C60="","",LN('Datos_fuente'!C60))</f>
        <v/>
      </c>
      <c r="E60" s="160">
        <f>IF(OR(D60="",D59=""),"",D60-D59)</f>
        <v/>
      </c>
      <c r="F60" s="160">
        <f>IF('Datos_fuente'!E60="","",LN('Datos_fuente'!E60))</f>
        <v/>
      </c>
      <c r="G60" s="160">
        <f>IF(OR(F60="",F59=""),"",F60-F59)</f>
        <v/>
      </c>
      <c r="H60" s="161">
        <f>'Datos_fuente'!H60</f>
        <v/>
      </c>
      <c r="I60" s="161">
        <f>IF(OR(H60="",H59=""),"",H60-H59)</f>
        <v/>
      </c>
      <c r="J60" s="161">
        <f>'Datos_fuente'!J60</f>
        <v/>
      </c>
      <c r="K60" s="161">
        <f>IF(OR(J60="",J59=""),"",J60-J59)</f>
        <v/>
      </c>
      <c r="L60" s="160">
        <f>IF('Datos_fuente'!K60="","",LN('Datos_fuente'!K60))</f>
        <v/>
      </c>
      <c r="M60" s="160">
        <f>IF(OR(L60="",L59=""),"",L60-L59)</f>
        <v/>
      </c>
      <c r="N60" s="160">
        <f>IF('Datos_fuente'!L60="","",LN('Datos_fuente'!L60))</f>
        <v/>
      </c>
      <c r="O60" s="160">
        <f>IF(OR(N60="",N59=""),"",N60-N59)</f>
        <v/>
      </c>
      <c r="P60" s="162">
        <f>'Datos_fuente'!M60</f>
        <v/>
      </c>
      <c r="Q60" s="160">
        <f>IF('Datos_fuente'!N60="","",LN('Datos_fuente'!N60))</f>
        <v/>
      </c>
      <c r="R60" s="160">
        <f>IF(OR(Q60="",Q59=""),"",Q60-Q59)</f>
        <v/>
      </c>
      <c r="S60" s="161">
        <f>'Datos_fuente'!P60</f>
        <v/>
      </c>
      <c r="T60" s="161">
        <f>IF(OR(S60="",S59=""),"",S60-S59)</f>
        <v/>
      </c>
      <c r="U60" s="160">
        <f>IF('Datos_fuente'!Q60="","",ASINH('Datos_fuente'!Q60/1000))</f>
        <v/>
      </c>
      <c r="V60" s="160">
        <f>IF(OR(U60="",U59=""),"",U60-U59)</f>
        <v/>
      </c>
      <c r="W60" s="160">
        <f>IF('Datos_fuente'!R60="","",ASINH('Datos_fuente'!R60/1000))</f>
        <v/>
      </c>
      <c r="X60" s="160">
        <f>IF(OR(W60="",W59=""),"",W60-W59)</f>
        <v/>
      </c>
      <c r="Y60" s="161">
        <f>'Datos_fuente'!W60</f>
        <v/>
      </c>
      <c r="Z60" s="161">
        <f>IF(OR(Y60="",Y59=""),"",Y60-Y59)</f>
        <v/>
      </c>
      <c r="AA60" s="160">
        <f>'Datos_fuente'!AB60</f>
        <v/>
      </c>
      <c r="AB60" s="160">
        <f>'Datos_fuente'!AC60</f>
        <v/>
      </c>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1">
        <f>'Datos_fuente'!A61</f>
        <v/>
      </c>
      <c r="B61" s="160">
        <f>IF('Datos_fuente'!B61="","",LN('Datos_fuente'!B61))</f>
        <v/>
      </c>
      <c r="C61" s="160">
        <f>IF(OR(B61="",B60=""),"",B61-B60)</f>
        <v/>
      </c>
      <c r="D61" s="160">
        <f>IF('Datos_fuente'!C61="","",LN('Datos_fuente'!C61))</f>
        <v/>
      </c>
      <c r="E61" s="160">
        <f>IF(OR(D61="",D60=""),"",D61-D60)</f>
        <v/>
      </c>
      <c r="F61" s="160">
        <f>IF('Datos_fuente'!E61="","",LN('Datos_fuente'!E61))</f>
        <v/>
      </c>
      <c r="G61" s="160">
        <f>IF(OR(F61="",F60=""),"",F61-F60)</f>
        <v/>
      </c>
      <c r="H61" s="161">
        <f>'Datos_fuente'!H61</f>
        <v/>
      </c>
      <c r="I61" s="161">
        <f>IF(OR(H61="",H60=""),"",H61-H60)</f>
        <v/>
      </c>
      <c r="J61" s="161">
        <f>'Datos_fuente'!J61</f>
        <v/>
      </c>
      <c r="K61" s="161">
        <f>IF(OR(J61="",J60=""),"",J61-J60)</f>
        <v/>
      </c>
      <c r="L61" s="160">
        <f>IF('Datos_fuente'!K61="","",LN('Datos_fuente'!K61))</f>
        <v/>
      </c>
      <c r="M61" s="160">
        <f>IF(OR(L61="",L60=""),"",L61-L60)</f>
        <v/>
      </c>
      <c r="N61" s="160">
        <f>IF('Datos_fuente'!L61="","",LN('Datos_fuente'!L61))</f>
        <v/>
      </c>
      <c r="O61" s="160">
        <f>IF(OR(N61="",N60=""),"",N61-N60)</f>
        <v/>
      </c>
      <c r="P61" s="162">
        <f>'Datos_fuente'!M61</f>
        <v/>
      </c>
      <c r="Q61" s="160">
        <f>IF('Datos_fuente'!N61="","",LN('Datos_fuente'!N61))</f>
        <v/>
      </c>
      <c r="R61" s="160">
        <f>IF(OR(Q61="",Q60=""),"",Q61-Q60)</f>
        <v/>
      </c>
      <c r="S61" s="161">
        <f>'Datos_fuente'!P61</f>
        <v/>
      </c>
      <c r="T61" s="161">
        <f>IF(OR(S61="",S60=""),"",S61-S60)</f>
        <v/>
      </c>
      <c r="U61" s="160">
        <f>IF('Datos_fuente'!Q61="","",ASINH('Datos_fuente'!Q61/1000))</f>
        <v/>
      </c>
      <c r="V61" s="160">
        <f>IF(OR(U61="",U60=""),"",U61-U60)</f>
        <v/>
      </c>
      <c r="W61" s="160">
        <f>IF('Datos_fuente'!R61="","",ASINH('Datos_fuente'!R61/1000))</f>
        <v/>
      </c>
      <c r="X61" s="160">
        <f>IF(OR(W61="",W60=""),"",W61-W60)</f>
        <v/>
      </c>
      <c r="Y61" s="161">
        <f>'Datos_fuente'!W61</f>
        <v/>
      </c>
      <c r="Z61" s="161">
        <f>IF(OR(Y61="",Y60=""),"",Y61-Y60)</f>
        <v/>
      </c>
      <c r="AA61" s="160">
        <f>'Datos_fuente'!AB61</f>
        <v/>
      </c>
      <c r="AB61" s="160">
        <f>'Datos_fuente'!AC61</f>
        <v/>
      </c>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1">
        <f>'Datos_fuente'!A62</f>
        <v/>
      </c>
      <c r="B62" s="160">
        <f>IF('Datos_fuente'!B62="","",LN('Datos_fuente'!B62))</f>
        <v/>
      </c>
      <c r="C62" s="160">
        <f>IF(OR(B62="",B61=""),"",B62-B61)</f>
        <v/>
      </c>
      <c r="D62" s="160">
        <f>IF('Datos_fuente'!C62="","",LN('Datos_fuente'!C62))</f>
        <v/>
      </c>
      <c r="E62" s="160">
        <f>IF(OR(D62="",D61=""),"",D62-D61)</f>
        <v/>
      </c>
      <c r="F62" s="160">
        <f>IF('Datos_fuente'!E62="","",LN('Datos_fuente'!E62))</f>
        <v/>
      </c>
      <c r="G62" s="160">
        <f>IF(OR(F62="",F61=""),"",F62-F61)</f>
        <v/>
      </c>
      <c r="H62" s="161">
        <f>'Datos_fuente'!H62</f>
        <v/>
      </c>
      <c r="I62" s="161">
        <f>IF(OR(H62="",H61=""),"",H62-H61)</f>
        <v/>
      </c>
      <c r="J62" s="161">
        <f>'Datos_fuente'!J62</f>
        <v/>
      </c>
      <c r="K62" s="161">
        <f>IF(OR(J62="",J61=""),"",J62-J61)</f>
        <v/>
      </c>
      <c r="L62" s="160">
        <f>IF('Datos_fuente'!K62="","",LN('Datos_fuente'!K62))</f>
        <v/>
      </c>
      <c r="M62" s="160">
        <f>IF(OR(L62="",L61=""),"",L62-L61)</f>
        <v/>
      </c>
      <c r="N62" s="160">
        <f>IF('Datos_fuente'!L62="","",LN('Datos_fuente'!L62))</f>
        <v/>
      </c>
      <c r="O62" s="160">
        <f>IF(OR(N62="",N61=""),"",N62-N61)</f>
        <v/>
      </c>
      <c r="P62" s="162">
        <f>'Datos_fuente'!M62</f>
        <v/>
      </c>
      <c r="Q62" s="160">
        <f>IF('Datos_fuente'!N62="","",LN('Datos_fuente'!N62))</f>
        <v/>
      </c>
      <c r="R62" s="160">
        <f>IF(OR(Q62="",Q61=""),"",Q62-Q61)</f>
        <v/>
      </c>
      <c r="S62" s="161">
        <f>'Datos_fuente'!P62</f>
        <v/>
      </c>
      <c r="T62" s="161">
        <f>IF(OR(S62="",S61=""),"",S62-S61)</f>
        <v/>
      </c>
      <c r="U62" s="160">
        <f>IF('Datos_fuente'!Q62="","",ASINH('Datos_fuente'!Q62/1000))</f>
        <v/>
      </c>
      <c r="V62" s="160">
        <f>IF(OR(U62="",U61=""),"",U62-U61)</f>
        <v/>
      </c>
      <c r="W62" s="160">
        <f>IF('Datos_fuente'!R62="","",ASINH('Datos_fuente'!R62/1000))</f>
        <v/>
      </c>
      <c r="X62" s="160">
        <f>IF(OR(W62="",W61=""),"",W62-W61)</f>
        <v/>
      </c>
      <c r="Y62" s="161">
        <f>'Datos_fuente'!W62</f>
        <v/>
      </c>
      <c r="Z62" s="161">
        <f>IF(OR(Y62="",Y61=""),"",Y62-Y61)</f>
        <v/>
      </c>
      <c r="AA62" s="160">
        <f>'Datos_fuente'!AB62</f>
        <v/>
      </c>
      <c r="AB62" s="160">
        <f>'Datos_fuente'!AC62</f>
        <v/>
      </c>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f>'Datos_fuente'!A63</f>
        <v/>
      </c>
      <c r="B63" s="160">
        <f>IF('Datos_fuente'!B63="","",LN('Datos_fuente'!B63))</f>
        <v/>
      </c>
      <c r="C63" s="160">
        <f>IF(OR(B63="",B62=""),"",B63-B62)</f>
        <v/>
      </c>
      <c r="D63" s="160">
        <f>IF('Datos_fuente'!C63="","",LN('Datos_fuente'!C63))</f>
        <v/>
      </c>
      <c r="E63" s="160">
        <f>IF(OR(D63="",D62=""),"",D63-D62)</f>
        <v/>
      </c>
      <c r="F63" s="160">
        <f>IF('Datos_fuente'!E63="","",LN('Datos_fuente'!E63))</f>
        <v/>
      </c>
      <c r="G63" s="160">
        <f>IF(OR(F63="",F62=""),"",F63-F62)</f>
        <v/>
      </c>
      <c r="H63" s="161">
        <f>'Datos_fuente'!H63</f>
        <v/>
      </c>
      <c r="I63" s="161">
        <f>IF(OR(H63="",H62=""),"",H63-H62)</f>
        <v/>
      </c>
      <c r="J63" s="161">
        <f>'Datos_fuente'!J63</f>
        <v/>
      </c>
      <c r="K63" s="161">
        <f>IF(OR(J63="",J62=""),"",J63-J62)</f>
        <v/>
      </c>
      <c r="L63" s="160">
        <f>IF('Datos_fuente'!K63="","",LN('Datos_fuente'!K63))</f>
        <v/>
      </c>
      <c r="M63" s="160">
        <f>IF(OR(L63="",L62=""),"",L63-L62)</f>
        <v/>
      </c>
      <c r="N63" s="160">
        <f>IF('Datos_fuente'!L63="","",LN('Datos_fuente'!L63))</f>
        <v/>
      </c>
      <c r="O63" s="160">
        <f>IF(OR(N63="",N62=""),"",N63-N62)</f>
        <v/>
      </c>
      <c r="P63" s="162">
        <f>'Datos_fuente'!M63</f>
        <v/>
      </c>
      <c r="Q63" s="160">
        <f>IF('Datos_fuente'!N63="","",LN('Datos_fuente'!N63))</f>
        <v/>
      </c>
      <c r="R63" s="160">
        <f>IF(OR(Q63="",Q62=""),"",Q63-Q62)</f>
        <v/>
      </c>
      <c r="S63" s="161">
        <f>'Datos_fuente'!P63</f>
        <v/>
      </c>
      <c r="T63" s="161">
        <f>IF(OR(S63="",S62=""),"",S63-S62)</f>
        <v/>
      </c>
      <c r="U63" s="160">
        <f>IF('Datos_fuente'!Q63="","",ASINH('Datos_fuente'!Q63/1000))</f>
        <v/>
      </c>
      <c r="V63" s="160">
        <f>IF(OR(U63="",U62=""),"",U63-U62)</f>
        <v/>
      </c>
      <c r="W63" s="160">
        <f>IF('Datos_fuente'!R63="","",ASINH('Datos_fuente'!R63/1000))</f>
        <v/>
      </c>
      <c r="X63" s="160">
        <f>IF(OR(W63="",W62=""),"",W63-W62)</f>
        <v/>
      </c>
      <c r="Y63" s="161">
        <f>'Datos_fuente'!W63</f>
        <v/>
      </c>
      <c r="Z63" s="161">
        <f>IF(OR(Y63="",Y62=""),"",Y63-Y62)</f>
        <v/>
      </c>
      <c r="AA63" s="160">
        <f>'Datos_fuente'!AB63</f>
        <v/>
      </c>
      <c r="AB63" s="160">
        <f>'Datos_fuente'!AC63</f>
        <v/>
      </c>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f>'Datos_fuente'!A64</f>
        <v/>
      </c>
      <c r="B64" s="160">
        <f>IF('Datos_fuente'!B64="","",LN('Datos_fuente'!B64))</f>
        <v/>
      </c>
      <c r="C64" s="160">
        <f>IF(OR(B64="",B63=""),"",B64-B63)</f>
        <v/>
      </c>
      <c r="D64" s="160">
        <f>IF('Datos_fuente'!C64="","",LN('Datos_fuente'!C64))</f>
        <v/>
      </c>
      <c r="E64" s="160">
        <f>IF(OR(D64="",D63=""),"",D64-D63)</f>
        <v/>
      </c>
      <c r="F64" s="160">
        <f>IF('Datos_fuente'!E64="","",LN('Datos_fuente'!E64))</f>
        <v/>
      </c>
      <c r="G64" s="160">
        <f>IF(OR(F64="",F63=""),"",F64-F63)</f>
        <v/>
      </c>
      <c r="H64" s="161">
        <f>'Datos_fuente'!H64</f>
        <v/>
      </c>
      <c r="I64" s="161">
        <f>IF(OR(H64="",H63=""),"",H64-H63)</f>
        <v/>
      </c>
      <c r="J64" s="161">
        <f>'Datos_fuente'!J64</f>
        <v/>
      </c>
      <c r="K64" s="161">
        <f>IF(OR(J64="",J63=""),"",J64-J63)</f>
        <v/>
      </c>
      <c r="L64" s="160">
        <f>IF('Datos_fuente'!K64="","",LN('Datos_fuente'!K64))</f>
        <v/>
      </c>
      <c r="M64" s="160">
        <f>IF(OR(L64="",L63=""),"",L64-L63)</f>
        <v/>
      </c>
      <c r="N64" s="160">
        <f>IF('Datos_fuente'!L64="","",LN('Datos_fuente'!L64))</f>
        <v/>
      </c>
      <c r="O64" s="160">
        <f>IF(OR(N64="",N63=""),"",N64-N63)</f>
        <v/>
      </c>
      <c r="P64" s="162">
        <f>'Datos_fuente'!M64</f>
        <v/>
      </c>
      <c r="Q64" s="160">
        <f>IF('Datos_fuente'!N64="","",LN('Datos_fuente'!N64))</f>
        <v/>
      </c>
      <c r="R64" s="160">
        <f>IF(OR(Q64="",Q63=""),"",Q64-Q63)</f>
        <v/>
      </c>
      <c r="S64" s="161">
        <f>'Datos_fuente'!P64</f>
        <v/>
      </c>
      <c r="T64" s="161">
        <f>IF(OR(S64="",S63=""),"",S64-S63)</f>
        <v/>
      </c>
      <c r="U64" s="160">
        <f>IF('Datos_fuente'!Q64="","",ASINH('Datos_fuente'!Q64/1000))</f>
        <v/>
      </c>
      <c r="V64" s="160">
        <f>IF(OR(U64="",U63=""),"",U64-U63)</f>
        <v/>
      </c>
      <c r="W64" s="160">
        <f>IF('Datos_fuente'!R64="","",ASINH('Datos_fuente'!R64/1000))</f>
        <v/>
      </c>
      <c r="X64" s="160">
        <f>IF(OR(W64="",W63=""),"",W64-W63)</f>
        <v/>
      </c>
      <c r="Y64" s="161">
        <f>'Datos_fuente'!W64</f>
        <v/>
      </c>
      <c r="Z64" s="161">
        <f>IF(OR(Y64="",Y63=""),"",Y64-Y63)</f>
        <v/>
      </c>
      <c r="AA64" s="160">
        <f>'Datos_fuente'!AB64</f>
        <v/>
      </c>
      <c r="AB64" s="160">
        <f>'Datos_fuente'!AC64</f>
        <v/>
      </c>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f>'Datos_fuente'!A65</f>
        <v/>
      </c>
      <c r="B65" s="160">
        <f>IF('Datos_fuente'!B65="","",LN('Datos_fuente'!B65))</f>
        <v/>
      </c>
      <c r="C65" s="160">
        <f>IF(OR(B65="",B64=""),"",B65-B64)</f>
        <v/>
      </c>
      <c r="D65" s="160">
        <f>IF('Datos_fuente'!C65="","",LN('Datos_fuente'!C65))</f>
        <v/>
      </c>
      <c r="E65" s="160">
        <f>IF(OR(D65="",D64=""),"",D65-D64)</f>
        <v/>
      </c>
      <c r="F65" s="160">
        <f>IF('Datos_fuente'!E65="","",LN('Datos_fuente'!E65))</f>
        <v/>
      </c>
      <c r="G65" s="160">
        <f>IF(OR(F65="",F64=""),"",F65-F64)</f>
        <v/>
      </c>
      <c r="H65" s="161">
        <f>'Datos_fuente'!H65</f>
        <v/>
      </c>
      <c r="I65" s="161">
        <f>IF(OR(H65="",H64=""),"",H65-H64)</f>
        <v/>
      </c>
      <c r="J65" s="161">
        <f>'Datos_fuente'!J65</f>
        <v/>
      </c>
      <c r="K65" s="161">
        <f>IF(OR(J65="",J64=""),"",J65-J64)</f>
        <v/>
      </c>
      <c r="L65" s="160">
        <f>IF('Datos_fuente'!K65="","",LN('Datos_fuente'!K65))</f>
        <v/>
      </c>
      <c r="M65" s="160">
        <f>IF(OR(L65="",L64=""),"",L65-L64)</f>
        <v/>
      </c>
      <c r="N65" s="160">
        <f>IF('Datos_fuente'!L65="","",LN('Datos_fuente'!L65))</f>
        <v/>
      </c>
      <c r="O65" s="160">
        <f>IF(OR(N65="",N64=""),"",N65-N64)</f>
        <v/>
      </c>
      <c r="P65" s="162">
        <f>'Datos_fuente'!M65</f>
        <v/>
      </c>
      <c r="Q65" s="160">
        <f>IF('Datos_fuente'!N65="","",LN('Datos_fuente'!N65))</f>
        <v/>
      </c>
      <c r="R65" s="160">
        <f>IF(OR(Q65="",Q64=""),"",Q65-Q64)</f>
        <v/>
      </c>
      <c r="S65" s="161">
        <f>'Datos_fuente'!P65</f>
        <v/>
      </c>
      <c r="T65" s="161">
        <f>IF(OR(S65="",S64=""),"",S65-S64)</f>
        <v/>
      </c>
      <c r="U65" s="160">
        <f>IF('Datos_fuente'!Q65="","",ASINH('Datos_fuente'!Q65/1000))</f>
        <v/>
      </c>
      <c r="V65" s="160">
        <f>IF(OR(U65="",U64=""),"",U65-U64)</f>
        <v/>
      </c>
      <c r="W65" s="160">
        <f>IF('Datos_fuente'!R65="","",ASINH('Datos_fuente'!R65/1000))</f>
        <v/>
      </c>
      <c r="X65" s="160">
        <f>IF(OR(W65="",W64=""),"",W65-W64)</f>
        <v/>
      </c>
      <c r="Y65" s="161">
        <f>'Datos_fuente'!W65</f>
        <v/>
      </c>
      <c r="Z65" s="161">
        <f>IF(OR(Y65="",Y64=""),"",Y65-Y64)</f>
        <v/>
      </c>
      <c r="AA65" s="160">
        <f>'Datos_fuente'!AB65</f>
        <v/>
      </c>
      <c r="AB65" s="160">
        <f>'Datos_fuente'!AC65</f>
        <v/>
      </c>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f>'Datos_fuente'!A66</f>
        <v/>
      </c>
      <c r="B66" s="160">
        <f>IF('Datos_fuente'!B66="","",LN('Datos_fuente'!B66))</f>
        <v/>
      </c>
      <c r="C66" s="160">
        <f>IF(OR(B66="",B65=""),"",B66-B65)</f>
        <v/>
      </c>
      <c r="D66" s="160">
        <f>IF('Datos_fuente'!C66="","",LN('Datos_fuente'!C66))</f>
        <v/>
      </c>
      <c r="E66" s="160">
        <f>IF(OR(D66="",D65=""),"",D66-D65)</f>
        <v/>
      </c>
      <c r="F66" s="160">
        <f>IF('Datos_fuente'!E66="","",LN('Datos_fuente'!E66))</f>
        <v/>
      </c>
      <c r="G66" s="160">
        <f>IF(OR(F66="",F65=""),"",F66-F65)</f>
        <v/>
      </c>
      <c r="H66" s="161">
        <f>'Datos_fuente'!H66</f>
        <v/>
      </c>
      <c r="I66" s="161">
        <f>IF(OR(H66="",H65=""),"",H66-H65)</f>
        <v/>
      </c>
      <c r="J66" s="161">
        <f>'Datos_fuente'!J66</f>
        <v/>
      </c>
      <c r="K66" s="161">
        <f>IF(OR(J66="",J65=""),"",J66-J65)</f>
        <v/>
      </c>
      <c r="L66" s="160">
        <f>IF('Datos_fuente'!K66="","",LN('Datos_fuente'!K66))</f>
        <v/>
      </c>
      <c r="M66" s="160">
        <f>IF(OR(L66="",L65=""),"",L66-L65)</f>
        <v/>
      </c>
      <c r="N66" s="160">
        <f>IF('Datos_fuente'!L66="","",LN('Datos_fuente'!L66))</f>
        <v/>
      </c>
      <c r="O66" s="160">
        <f>IF(OR(N66="",N65=""),"",N66-N65)</f>
        <v/>
      </c>
      <c r="P66" s="162">
        <f>'Datos_fuente'!M66</f>
        <v/>
      </c>
      <c r="Q66" s="160">
        <f>IF('Datos_fuente'!N66="","",LN('Datos_fuente'!N66))</f>
        <v/>
      </c>
      <c r="R66" s="160">
        <f>IF(OR(Q66="",Q65=""),"",Q66-Q65)</f>
        <v/>
      </c>
      <c r="S66" s="161">
        <f>'Datos_fuente'!P66</f>
        <v/>
      </c>
      <c r="T66" s="161">
        <f>IF(OR(S66="",S65=""),"",S66-S65)</f>
        <v/>
      </c>
      <c r="U66" s="160">
        <f>IF('Datos_fuente'!Q66="","",ASINH('Datos_fuente'!Q66/1000))</f>
        <v/>
      </c>
      <c r="V66" s="160">
        <f>IF(OR(U66="",U65=""),"",U66-U65)</f>
        <v/>
      </c>
      <c r="W66" s="160">
        <f>IF('Datos_fuente'!R66="","",ASINH('Datos_fuente'!R66/1000))</f>
        <v/>
      </c>
      <c r="X66" s="160">
        <f>IF(OR(W66="",W65=""),"",W66-W65)</f>
        <v/>
      </c>
      <c r="Y66" s="161">
        <f>'Datos_fuente'!W66</f>
        <v/>
      </c>
      <c r="Z66" s="161">
        <f>IF(OR(Y66="",Y65=""),"",Y66-Y65)</f>
        <v/>
      </c>
      <c r="AA66" s="160">
        <f>'Datos_fuente'!AB66</f>
        <v/>
      </c>
      <c r="AB66" s="160">
        <f>'Datos_fuente'!AC66</f>
        <v/>
      </c>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f>'Datos_fuente'!A67</f>
        <v/>
      </c>
      <c r="B67" s="160">
        <f>IF('Datos_fuente'!B67="","",LN('Datos_fuente'!B67))</f>
        <v/>
      </c>
      <c r="C67" s="160">
        <f>IF(OR(B67="",B66=""),"",B67-B66)</f>
        <v/>
      </c>
      <c r="D67" s="160">
        <f>IF('Datos_fuente'!C67="","",LN('Datos_fuente'!C67))</f>
        <v/>
      </c>
      <c r="E67" s="160">
        <f>IF(OR(D67="",D66=""),"",D67-D66)</f>
        <v/>
      </c>
      <c r="F67" s="160">
        <f>IF('Datos_fuente'!E67="","",LN('Datos_fuente'!E67))</f>
        <v/>
      </c>
      <c r="G67" s="160">
        <f>IF(OR(F67="",F66=""),"",F67-F66)</f>
        <v/>
      </c>
      <c r="H67" s="161">
        <f>'Datos_fuente'!H67</f>
        <v/>
      </c>
      <c r="I67" s="161">
        <f>IF(OR(H67="",H66=""),"",H67-H66)</f>
        <v/>
      </c>
      <c r="J67" s="161">
        <f>'Datos_fuente'!J67</f>
        <v/>
      </c>
      <c r="K67" s="161">
        <f>IF(OR(J67="",J66=""),"",J67-J66)</f>
        <v/>
      </c>
      <c r="L67" s="160">
        <f>IF('Datos_fuente'!K67="","",LN('Datos_fuente'!K67))</f>
        <v/>
      </c>
      <c r="M67" s="160">
        <f>IF(OR(L67="",L66=""),"",L67-L66)</f>
        <v/>
      </c>
      <c r="N67" s="160">
        <f>IF('Datos_fuente'!L67="","",LN('Datos_fuente'!L67))</f>
        <v/>
      </c>
      <c r="O67" s="160">
        <f>IF(OR(N67="",N66=""),"",N67-N66)</f>
        <v/>
      </c>
      <c r="P67" s="162">
        <f>'Datos_fuente'!M67</f>
        <v/>
      </c>
      <c r="Q67" s="160">
        <f>IF('Datos_fuente'!N67="","",LN('Datos_fuente'!N67))</f>
        <v/>
      </c>
      <c r="R67" s="160">
        <f>IF(OR(Q67="",Q66=""),"",Q67-Q66)</f>
        <v/>
      </c>
      <c r="S67" s="161">
        <f>'Datos_fuente'!P67</f>
        <v/>
      </c>
      <c r="T67" s="161">
        <f>IF(OR(S67="",S66=""),"",S67-S66)</f>
        <v/>
      </c>
      <c r="U67" s="160">
        <f>IF('Datos_fuente'!Q67="","",ASINH('Datos_fuente'!Q67/1000))</f>
        <v/>
      </c>
      <c r="V67" s="160">
        <f>IF(OR(U67="",U66=""),"",U67-U66)</f>
        <v/>
      </c>
      <c r="W67" s="160">
        <f>IF('Datos_fuente'!R67="","",ASINH('Datos_fuente'!R67/1000))</f>
        <v/>
      </c>
      <c r="X67" s="160">
        <f>IF(OR(W67="",W66=""),"",W67-W66)</f>
        <v/>
      </c>
      <c r="Y67" s="161">
        <f>'Datos_fuente'!W67</f>
        <v/>
      </c>
      <c r="Z67" s="161">
        <f>IF(OR(Y67="",Y66=""),"",Y67-Y66)</f>
        <v/>
      </c>
      <c r="AA67" s="160">
        <f>'Datos_fuente'!AB67</f>
        <v/>
      </c>
      <c r="AB67" s="160">
        <f>'Datos_fuente'!AC67</f>
        <v/>
      </c>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f>'Datos_fuente'!A68</f>
        <v/>
      </c>
      <c r="B68" s="160">
        <f>IF('Datos_fuente'!B68="","",LN('Datos_fuente'!B68))</f>
        <v/>
      </c>
      <c r="C68" s="160">
        <f>IF(OR(B68="",B67=""),"",B68-B67)</f>
        <v/>
      </c>
      <c r="D68" s="160">
        <f>IF('Datos_fuente'!C68="","",LN('Datos_fuente'!C68))</f>
        <v/>
      </c>
      <c r="E68" s="160">
        <f>IF(OR(D68="",D67=""),"",D68-D67)</f>
        <v/>
      </c>
      <c r="F68" s="160">
        <f>IF('Datos_fuente'!E68="","",LN('Datos_fuente'!E68))</f>
        <v/>
      </c>
      <c r="G68" s="160">
        <f>IF(OR(F68="",F67=""),"",F68-F67)</f>
        <v/>
      </c>
      <c r="H68" s="161">
        <f>'Datos_fuente'!H68</f>
        <v/>
      </c>
      <c r="I68" s="161">
        <f>IF(OR(H68="",H67=""),"",H68-H67)</f>
        <v/>
      </c>
      <c r="J68" s="161">
        <f>'Datos_fuente'!J68</f>
        <v/>
      </c>
      <c r="K68" s="161">
        <f>IF(OR(J68="",J67=""),"",J68-J67)</f>
        <v/>
      </c>
      <c r="L68" s="160">
        <f>IF('Datos_fuente'!K68="","",LN('Datos_fuente'!K68))</f>
        <v/>
      </c>
      <c r="M68" s="160">
        <f>IF(OR(L68="",L67=""),"",L68-L67)</f>
        <v/>
      </c>
      <c r="N68" s="160">
        <f>IF('Datos_fuente'!L68="","",LN('Datos_fuente'!L68))</f>
        <v/>
      </c>
      <c r="O68" s="160">
        <f>IF(OR(N68="",N67=""),"",N68-N67)</f>
        <v/>
      </c>
      <c r="P68" s="162">
        <f>'Datos_fuente'!M68</f>
        <v/>
      </c>
      <c r="Q68" s="160">
        <f>IF('Datos_fuente'!N68="","",LN('Datos_fuente'!N68))</f>
        <v/>
      </c>
      <c r="R68" s="160">
        <f>IF(OR(Q68="",Q67=""),"",Q68-Q67)</f>
        <v/>
      </c>
      <c r="S68" s="161">
        <f>'Datos_fuente'!P68</f>
        <v/>
      </c>
      <c r="T68" s="161">
        <f>IF(OR(S68="",S67=""),"",S68-S67)</f>
        <v/>
      </c>
      <c r="U68" s="160">
        <f>IF('Datos_fuente'!Q68="","",ASINH('Datos_fuente'!Q68/1000))</f>
        <v/>
      </c>
      <c r="V68" s="160">
        <f>IF(OR(U68="",U67=""),"",U68-U67)</f>
        <v/>
      </c>
      <c r="W68" s="160">
        <f>IF('Datos_fuente'!R68="","",ASINH('Datos_fuente'!R68/1000))</f>
        <v/>
      </c>
      <c r="X68" s="160">
        <f>IF(OR(W68="",W67=""),"",W68-W67)</f>
        <v/>
      </c>
      <c r="Y68" s="161">
        <f>'Datos_fuente'!W68</f>
        <v/>
      </c>
      <c r="Z68" s="161">
        <f>IF(OR(Y68="",Y67=""),"",Y68-Y67)</f>
        <v/>
      </c>
      <c r="AA68" s="160">
        <f>'Datos_fuente'!AB68</f>
        <v/>
      </c>
      <c r="AB68" s="160">
        <f>'Datos_fuente'!AC68</f>
        <v/>
      </c>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f>'Datos_fuente'!A69</f>
        <v/>
      </c>
      <c r="B69" s="160">
        <f>IF('Datos_fuente'!B69="","",LN('Datos_fuente'!B69))</f>
        <v/>
      </c>
      <c r="C69" s="160">
        <f>IF(OR(B69="",B68=""),"",B69-B68)</f>
        <v/>
      </c>
      <c r="D69" s="160">
        <f>IF('Datos_fuente'!C69="","",LN('Datos_fuente'!C69))</f>
        <v/>
      </c>
      <c r="E69" s="160">
        <f>IF(OR(D69="",D68=""),"",D69-D68)</f>
        <v/>
      </c>
      <c r="F69" s="160">
        <f>IF('Datos_fuente'!E69="","",LN('Datos_fuente'!E69))</f>
        <v/>
      </c>
      <c r="G69" s="160">
        <f>IF(OR(F69="",F68=""),"",F69-F68)</f>
        <v/>
      </c>
      <c r="H69" s="161">
        <f>'Datos_fuente'!H69</f>
        <v/>
      </c>
      <c r="I69" s="161">
        <f>IF(OR(H69="",H68=""),"",H69-H68)</f>
        <v/>
      </c>
      <c r="J69" s="161">
        <f>'Datos_fuente'!J69</f>
        <v/>
      </c>
      <c r="K69" s="161">
        <f>IF(OR(J69="",J68=""),"",J69-J68)</f>
        <v/>
      </c>
      <c r="L69" s="160">
        <f>IF('Datos_fuente'!K69="","",LN('Datos_fuente'!K69))</f>
        <v/>
      </c>
      <c r="M69" s="160">
        <f>IF(OR(L69="",L68=""),"",L69-L68)</f>
        <v/>
      </c>
      <c r="N69" s="160">
        <f>IF('Datos_fuente'!L69="","",LN('Datos_fuente'!L69))</f>
        <v/>
      </c>
      <c r="O69" s="160">
        <f>IF(OR(N69="",N68=""),"",N69-N68)</f>
        <v/>
      </c>
      <c r="P69" s="162">
        <f>'Datos_fuente'!M69</f>
        <v/>
      </c>
      <c r="Q69" s="160">
        <f>IF('Datos_fuente'!N69="","",LN('Datos_fuente'!N69))</f>
        <v/>
      </c>
      <c r="R69" s="160">
        <f>IF(OR(Q69="",Q68=""),"",Q69-Q68)</f>
        <v/>
      </c>
      <c r="S69" s="161">
        <f>'Datos_fuente'!P69</f>
        <v/>
      </c>
      <c r="T69" s="161">
        <f>IF(OR(S69="",S68=""),"",S69-S68)</f>
        <v/>
      </c>
      <c r="U69" s="160">
        <f>IF('Datos_fuente'!Q69="","",ASINH('Datos_fuente'!Q69/1000))</f>
        <v/>
      </c>
      <c r="V69" s="160">
        <f>IF(OR(U69="",U68=""),"",U69-U68)</f>
        <v/>
      </c>
      <c r="W69" s="160">
        <f>IF('Datos_fuente'!R69="","",ASINH('Datos_fuente'!R69/1000))</f>
        <v/>
      </c>
      <c r="X69" s="160">
        <f>IF(OR(W69="",W68=""),"",W69-W68)</f>
        <v/>
      </c>
      <c r="Y69" s="161">
        <f>'Datos_fuente'!W69</f>
        <v/>
      </c>
      <c r="Z69" s="161">
        <f>IF(OR(Y69="",Y68=""),"",Y69-Y68)</f>
        <v/>
      </c>
      <c r="AA69" s="160">
        <f>'Datos_fuente'!AB69</f>
        <v/>
      </c>
      <c r="AB69" s="160">
        <f>'Datos_fuente'!AC69</f>
        <v/>
      </c>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f>'Datos_fuente'!A70</f>
        <v/>
      </c>
      <c r="B70" s="160">
        <f>IF('Datos_fuente'!B70="","",LN('Datos_fuente'!B70))</f>
        <v/>
      </c>
      <c r="C70" s="160">
        <f>IF(OR(B70="",B69=""),"",B70-B69)</f>
        <v/>
      </c>
      <c r="D70" s="160">
        <f>IF('Datos_fuente'!C70="","",LN('Datos_fuente'!C70))</f>
        <v/>
      </c>
      <c r="E70" s="160">
        <f>IF(OR(D70="",D69=""),"",D70-D69)</f>
        <v/>
      </c>
      <c r="F70" s="160">
        <f>IF('Datos_fuente'!E70="","",LN('Datos_fuente'!E70))</f>
        <v/>
      </c>
      <c r="G70" s="160">
        <f>IF(OR(F70="",F69=""),"",F70-F69)</f>
        <v/>
      </c>
      <c r="H70" s="161">
        <f>'Datos_fuente'!H70</f>
        <v/>
      </c>
      <c r="I70" s="161">
        <f>IF(OR(H70="",H69=""),"",H70-H69)</f>
        <v/>
      </c>
      <c r="J70" s="161">
        <f>'Datos_fuente'!J70</f>
        <v/>
      </c>
      <c r="K70" s="161">
        <f>IF(OR(J70="",J69=""),"",J70-J69)</f>
        <v/>
      </c>
      <c r="L70" s="160">
        <f>IF('Datos_fuente'!K70="","",LN('Datos_fuente'!K70))</f>
        <v/>
      </c>
      <c r="M70" s="160">
        <f>IF(OR(L70="",L69=""),"",L70-L69)</f>
        <v/>
      </c>
      <c r="N70" s="160">
        <f>IF('Datos_fuente'!L70="","",LN('Datos_fuente'!L70))</f>
        <v/>
      </c>
      <c r="O70" s="160">
        <f>IF(OR(N70="",N69=""),"",N70-N69)</f>
        <v/>
      </c>
      <c r="P70" s="162">
        <f>'Datos_fuente'!M70</f>
        <v/>
      </c>
      <c r="Q70" s="160">
        <f>IF('Datos_fuente'!N70="","",LN('Datos_fuente'!N70))</f>
        <v/>
      </c>
      <c r="R70" s="160">
        <f>IF(OR(Q70="",Q69=""),"",Q70-Q69)</f>
        <v/>
      </c>
      <c r="S70" s="161">
        <f>'Datos_fuente'!P70</f>
        <v/>
      </c>
      <c r="T70" s="161">
        <f>IF(OR(S70="",S69=""),"",S70-S69)</f>
        <v/>
      </c>
      <c r="U70" s="160">
        <f>IF('Datos_fuente'!Q70="","",ASINH('Datos_fuente'!Q70/1000))</f>
        <v/>
      </c>
      <c r="V70" s="160">
        <f>IF(OR(U70="",U69=""),"",U70-U69)</f>
        <v/>
      </c>
      <c r="W70" s="160">
        <f>IF('Datos_fuente'!R70="","",ASINH('Datos_fuente'!R70/1000))</f>
        <v/>
      </c>
      <c r="X70" s="160">
        <f>IF(OR(W70="",W69=""),"",W70-W69)</f>
        <v/>
      </c>
      <c r="Y70" s="161">
        <f>'Datos_fuente'!W70</f>
        <v/>
      </c>
      <c r="Z70" s="161">
        <f>IF(OR(Y70="",Y69=""),"",Y70-Y69)</f>
        <v/>
      </c>
      <c r="AA70" s="160">
        <f>'Datos_fuente'!AB70</f>
        <v/>
      </c>
      <c r="AB70" s="160">
        <f>'Datos_fuente'!AC70</f>
        <v/>
      </c>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f>'Datos_fuente'!A71</f>
        <v/>
      </c>
      <c r="B71" s="160">
        <f>IF('Datos_fuente'!B71="","",LN('Datos_fuente'!B71))</f>
        <v/>
      </c>
      <c r="C71" s="160">
        <f>IF(OR(B71="",B70=""),"",B71-B70)</f>
        <v/>
      </c>
      <c r="D71" s="160">
        <f>IF('Datos_fuente'!C71="","",LN('Datos_fuente'!C71))</f>
        <v/>
      </c>
      <c r="E71" s="160">
        <f>IF(OR(D71="",D70=""),"",D71-D70)</f>
        <v/>
      </c>
      <c r="F71" s="160">
        <f>IF('Datos_fuente'!E71="","",LN('Datos_fuente'!E71))</f>
        <v/>
      </c>
      <c r="G71" s="160">
        <f>IF(OR(F71="",F70=""),"",F71-F70)</f>
        <v/>
      </c>
      <c r="H71" s="161">
        <f>'Datos_fuente'!H71</f>
        <v/>
      </c>
      <c r="I71" s="161">
        <f>IF(OR(H71="",H70=""),"",H71-H70)</f>
        <v/>
      </c>
      <c r="J71" s="161">
        <f>'Datos_fuente'!J71</f>
        <v/>
      </c>
      <c r="K71" s="161">
        <f>IF(OR(J71="",J70=""),"",J71-J70)</f>
        <v/>
      </c>
      <c r="L71" s="160">
        <f>IF('Datos_fuente'!K71="","",LN('Datos_fuente'!K71))</f>
        <v/>
      </c>
      <c r="M71" s="160">
        <f>IF(OR(L71="",L70=""),"",L71-L70)</f>
        <v/>
      </c>
      <c r="N71" s="160">
        <f>IF('Datos_fuente'!L71="","",LN('Datos_fuente'!L71))</f>
        <v/>
      </c>
      <c r="O71" s="160">
        <f>IF(OR(N71="",N70=""),"",N71-N70)</f>
        <v/>
      </c>
      <c r="P71" s="162">
        <f>'Datos_fuente'!M71</f>
        <v/>
      </c>
      <c r="Q71" s="160">
        <f>IF('Datos_fuente'!N71="","",LN('Datos_fuente'!N71))</f>
        <v/>
      </c>
      <c r="R71" s="160">
        <f>IF(OR(Q71="",Q70=""),"",Q71-Q70)</f>
        <v/>
      </c>
      <c r="S71" s="161">
        <f>'Datos_fuente'!P71</f>
        <v/>
      </c>
      <c r="T71" s="161">
        <f>IF(OR(S71="",S70=""),"",S71-S70)</f>
        <v/>
      </c>
      <c r="U71" s="160">
        <f>IF('Datos_fuente'!Q71="","",ASINH('Datos_fuente'!Q71/1000))</f>
        <v/>
      </c>
      <c r="V71" s="160">
        <f>IF(OR(U71="",U70=""),"",U71-U70)</f>
        <v/>
      </c>
      <c r="W71" s="160">
        <f>IF('Datos_fuente'!R71="","",ASINH('Datos_fuente'!R71/1000))</f>
        <v/>
      </c>
      <c r="X71" s="160">
        <f>IF(OR(W71="",W70=""),"",W71-W70)</f>
        <v/>
      </c>
      <c r="Y71" s="161">
        <f>'Datos_fuente'!W71</f>
        <v/>
      </c>
      <c r="Z71" s="161">
        <f>IF(OR(Y71="",Y70=""),"",Y71-Y70)</f>
        <v/>
      </c>
      <c r="AA71" s="160">
        <f>'Datos_fuente'!AB71</f>
        <v/>
      </c>
      <c r="AB71" s="160">
        <f>'Datos_fuente'!AC71</f>
        <v/>
      </c>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f>'Datos_fuente'!A72</f>
        <v/>
      </c>
      <c r="B72" s="160">
        <f>IF('Datos_fuente'!B72="","",LN('Datos_fuente'!B72))</f>
        <v/>
      </c>
      <c r="C72" s="160">
        <f>IF(OR(B72="",B71=""),"",B72-B71)</f>
        <v/>
      </c>
      <c r="D72" s="160">
        <f>IF('Datos_fuente'!C72="","",LN('Datos_fuente'!C72))</f>
        <v/>
      </c>
      <c r="E72" s="160">
        <f>IF(OR(D72="",D71=""),"",D72-D71)</f>
        <v/>
      </c>
      <c r="F72" s="160">
        <f>IF('Datos_fuente'!E72="","",LN('Datos_fuente'!E72))</f>
        <v/>
      </c>
      <c r="G72" s="160">
        <f>IF(OR(F72="",F71=""),"",F72-F71)</f>
        <v/>
      </c>
      <c r="H72" s="161">
        <f>'Datos_fuente'!H72</f>
        <v/>
      </c>
      <c r="I72" s="161">
        <f>IF(OR(H72="",H71=""),"",H72-H71)</f>
        <v/>
      </c>
      <c r="J72" s="161">
        <f>'Datos_fuente'!J72</f>
        <v/>
      </c>
      <c r="K72" s="161">
        <f>IF(OR(J72="",J71=""),"",J72-J71)</f>
        <v/>
      </c>
      <c r="L72" s="160">
        <f>IF('Datos_fuente'!K72="","",LN('Datos_fuente'!K72))</f>
        <v/>
      </c>
      <c r="M72" s="160">
        <f>IF(OR(L72="",L71=""),"",L72-L71)</f>
        <v/>
      </c>
      <c r="N72" s="160">
        <f>IF('Datos_fuente'!L72="","",LN('Datos_fuente'!L72))</f>
        <v/>
      </c>
      <c r="O72" s="160">
        <f>IF(OR(N72="",N71=""),"",N72-N71)</f>
        <v/>
      </c>
      <c r="P72" s="162">
        <f>'Datos_fuente'!M72</f>
        <v/>
      </c>
      <c r="Q72" s="160">
        <f>IF('Datos_fuente'!N72="","",LN('Datos_fuente'!N72))</f>
        <v/>
      </c>
      <c r="R72" s="160">
        <f>IF(OR(Q72="",Q71=""),"",Q72-Q71)</f>
        <v/>
      </c>
      <c r="S72" s="161">
        <f>'Datos_fuente'!P72</f>
        <v/>
      </c>
      <c r="T72" s="161">
        <f>IF(OR(S72="",S71=""),"",S72-S71)</f>
        <v/>
      </c>
      <c r="U72" s="160">
        <f>IF('Datos_fuente'!Q72="","",ASINH('Datos_fuente'!Q72/1000))</f>
        <v/>
      </c>
      <c r="V72" s="160">
        <f>IF(OR(U72="",U71=""),"",U72-U71)</f>
        <v/>
      </c>
      <c r="W72" s="160">
        <f>IF('Datos_fuente'!R72="","",ASINH('Datos_fuente'!R72/1000))</f>
        <v/>
      </c>
      <c r="X72" s="160">
        <f>IF(OR(W72="",W71=""),"",W72-W71)</f>
        <v/>
      </c>
      <c r="Y72" s="161">
        <f>'Datos_fuente'!W72</f>
        <v/>
      </c>
      <c r="Z72" s="161">
        <f>IF(OR(Y72="",Y71=""),"",Y72-Y71)</f>
        <v/>
      </c>
      <c r="AA72" s="160">
        <f>'Datos_fuente'!AB72</f>
        <v/>
      </c>
      <c r="AB72" s="160">
        <f>'Datos_fuente'!AC72</f>
        <v/>
      </c>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f>'Datos_fuente'!A73</f>
        <v/>
      </c>
      <c r="B73" s="160">
        <f>IF('Datos_fuente'!B73="","",LN('Datos_fuente'!B73))</f>
        <v/>
      </c>
      <c r="C73" s="160">
        <f>IF(OR(B73="",B72=""),"",B73-B72)</f>
        <v/>
      </c>
      <c r="D73" s="160">
        <f>IF('Datos_fuente'!C73="","",LN('Datos_fuente'!C73))</f>
        <v/>
      </c>
      <c r="E73" s="160">
        <f>IF(OR(D73="",D72=""),"",D73-D72)</f>
        <v/>
      </c>
      <c r="F73" s="160">
        <f>IF('Datos_fuente'!E73="","",LN('Datos_fuente'!E73))</f>
        <v/>
      </c>
      <c r="G73" s="160">
        <f>IF(OR(F73="",F72=""),"",F73-F72)</f>
        <v/>
      </c>
      <c r="H73" s="161">
        <f>'Datos_fuente'!H73</f>
        <v/>
      </c>
      <c r="I73" s="161">
        <f>IF(OR(H73="",H72=""),"",H73-H72)</f>
        <v/>
      </c>
      <c r="J73" s="161">
        <f>'Datos_fuente'!J73</f>
        <v/>
      </c>
      <c r="K73" s="161">
        <f>IF(OR(J73="",J72=""),"",J73-J72)</f>
        <v/>
      </c>
      <c r="L73" s="160">
        <f>IF('Datos_fuente'!K73="","",LN('Datos_fuente'!K73))</f>
        <v/>
      </c>
      <c r="M73" s="160">
        <f>IF(OR(L73="",L72=""),"",L73-L72)</f>
        <v/>
      </c>
      <c r="N73" s="160">
        <f>IF('Datos_fuente'!L73="","",LN('Datos_fuente'!L73))</f>
        <v/>
      </c>
      <c r="O73" s="160">
        <f>IF(OR(N73="",N72=""),"",N73-N72)</f>
        <v/>
      </c>
      <c r="P73" s="162">
        <f>'Datos_fuente'!M73</f>
        <v/>
      </c>
      <c r="Q73" s="160">
        <f>IF('Datos_fuente'!N73="","",LN('Datos_fuente'!N73))</f>
        <v/>
      </c>
      <c r="R73" s="160">
        <f>IF(OR(Q73="",Q72=""),"",Q73-Q72)</f>
        <v/>
      </c>
      <c r="S73" s="161">
        <f>'Datos_fuente'!P73</f>
        <v/>
      </c>
      <c r="T73" s="161">
        <f>IF(OR(S73="",S72=""),"",S73-S72)</f>
        <v/>
      </c>
      <c r="U73" s="160">
        <f>IF('Datos_fuente'!Q73="","",ASINH('Datos_fuente'!Q73/1000))</f>
        <v/>
      </c>
      <c r="V73" s="160">
        <f>IF(OR(U73="",U72=""),"",U73-U72)</f>
        <v/>
      </c>
      <c r="W73" s="160">
        <f>IF('Datos_fuente'!R73="","",ASINH('Datos_fuente'!R73/1000))</f>
        <v/>
      </c>
      <c r="X73" s="160">
        <f>IF(OR(W73="",W72=""),"",W73-W72)</f>
        <v/>
      </c>
      <c r="Y73" s="161">
        <f>'Datos_fuente'!W73</f>
        <v/>
      </c>
      <c r="Z73" s="161">
        <f>IF(OR(Y73="",Y72=""),"",Y73-Y72)</f>
        <v/>
      </c>
      <c r="AA73" s="160">
        <f>'Datos_fuente'!AB73</f>
        <v/>
      </c>
      <c r="AB73" s="160">
        <f>'Datos_fuente'!AC73</f>
        <v/>
      </c>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f>'Datos_fuente'!A74</f>
        <v/>
      </c>
      <c r="B74" s="160">
        <f>IF('Datos_fuente'!B74="","",LN('Datos_fuente'!B74))</f>
        <v/>
      </c>
      <c r="C74" s="160">
        <f>IF(OR(B74="",B73=""),"",B74-B73)</f>
        <v/>
      </c>
      <c r="D74" s="160">
        <f>IF('Datos_fuente'!C74="","",LN('Datos_fuente'!C74))</f>
        <v/>
      </c>
      <c r="E74" s="160">
        <f>IF(OR(D74="",D73=""),"",D74-D73)</f>
        <v/>
      </c>
      <c r="F74" s="160">
        <f>IF('Datos_fuente'!E74="","",LN('Datos_fuente'!E74))</f>
        <v/>
      </c>
      <c r="G74" s="160">
        <f>IF(OR(F74="",F73=""),"",F74-F73)</f>
        <v/>
      </c>
      <c r="H74" s="161">
        <f>'Datos_fuente'!H74</f>
        <v/>
      </c>
      <c r="I74" s="161">
        <f>IF(OR(H74="",H73=""),"",H74-H73)</f>
        <v/>
      </c>
      <c r="J74" s="161">
        <f>'Datos_fuente'!J74</f>
        <v/>
      </c>
      <c r="K74" s="161">
        <f>IF(OR(J74="",J73=""),"",J74-J73)</f>
        <v/>
      </c>
      <c r="L74" s="160">
        <f>IF('Datos_fuente'!K74="","",LN('Datos_fuente'!K74))</f>
        <v/>
      </c>
      <c r="M74" s="160">
        <f>IF(OR(L74="",L73=""),"",L74-L73)</f>
        <v/>
      </c>
      <c r="N74" s="160">
        <f>IF('Datos_fuente'!L74="","",LN('Datos_fuente'!L74))</f>
        <v/>
      </c>
      <c r="O74" s="160">
        <f>IF(OR(N74="",N73=""),"",N74-N73)</f>
        <v/>
      </c>
      <c r="P74" s="162">
        <f>'Datos_fuente'!M74</f>
        <v/>
      </c>
      <c r="Q74" s="160">
        <f>IF('Datos_fuente'!N74="","",LN('Datos_fuente'!N74))</f>
        <v/>
      </c>
      <c r="R74" s="160">
        <f>IF(OR(Q74="",Q73=""),"",Q74-Q73)</f>
        <v/>
      </c>
      <c r="S74" s="161">
        <f>'Datos_fuente'!P74</f>
        <v/>
      </c>
      <c r="T74" s="161">
        <f>IF(OR(S74="",S73=""),"",S74-S73)</f>
        <v/>
      </c>
      <c r="U74" s="160">
        <f>IF('Datos_fuente'!Q74="","",ASINH('Datos_fuente'!Q74/1000))</f>
        <v/>
      </c>
      <c r="V74" s="160">
        <f>IF(OR(U74="",U73=""),"",U74-U73)</f>
        <v/>
      </c>
      <c r="W74" s="160">
        <f>IF('Datos_fuente'!R74="","",ASINH('Datos_fuente'!R74/1000))</f>
        <v/>
      </c>
      <c r="X74" s="160">
        <f>IF(OR(W74="",W73=""),"",W74-W73)</f>
        <v/>
      </c>
      <c r="Y74" s="161">
        <f>'Datos_fuente'!W74</f>
        <v/>
      </c>
      <c r="Z74" s="161">
        <f>IF(OR(Y74="",Y73=""),"",Y74-Y73)</f>
        <v/>
      </c>
      <c r="AA74" s="160">
        <f>'Datos_fuente'!AB74</f>
        <v/>
      </c>
      <c r="AB74" s="160">
        <f>'Datos_fuente'!AC74</f>
        <v/>
      </c>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f>'Datos_fuente'!A75</f>
        <v/>
      </c>
      <c r="B75" s="160">
        <f>IF('Datos_fuente'!B75="","",LN('Datos_fuente'!B75))</f>
        <v/>
      </c>
      <c r="C75" s="160">
        <f>IF(OR(B75="",B74=""),"",B75-B74)</f>
        <v/>
      </c>
      <c r="D75" s="160">
        <f>IF('Datos_fuente'!C75="","",LN('Datos_fuente'!C75))</f>
        <v/>
      </c>
      <c r="E75" s="160">
        <f>IF(OR(D75="",D74=""),"",D75-D74)</f>
        <v/>
      </c>
      <c r="F75" s="160">
        <f>IF('Datos_fuente'!E75="","",LN('Datos_fuente'!E75))</f>
        <v/>
      </c>
      <c r="G75" s="160">
        <f>IF(OR(F75="",F74=""),"",F75-F74)</f>
        <v/>
      </c>
      <c r="H75" s="161">
        <f>'Datos_fuente'!H75</f>
        <v/>
      </c>
      <c r="I75" s="161">
        <f>IF(OR(H75="",H74=""),"",H75-H74)</f>
        <v/>
      </c>
      <c r="J75" s="161">
        <f>'Datos_fuente'!J75</f>
        <v/>
      </c>
      <c r="K75" s="161">
        <f>IF(OR(J75="",J74=""),"",J75-J74)</f>
        <v/>
      </c>
      <c r="L75" s="160">
        <f>IF('Datos_fuente'!K75="","",LN('Datos_fuente'!K75))</f>
        <v/>
      </c>
      <c r="M75" s="160">
        <f>IF(OR(L75="",L74=""),"",L75-L74)</f>
        <v/>
      </c>
      <c r="N75" s="160">
        <f>IF('Datos_fuente'!L75="","",LN('Datos_fuente'!L75))</f>
        <v/>
      </c>
      <c r="O75" s="160">
        <f>IF(OR(N75="",N74=""),"",N75-N74)</f>
        <v/>
      </c>
      <c r="P75" s="162">
        <f>'Datos_fuente'!M75</f>
        <v/>
      </c>
      <c r="Q75" s="160">
        <f>IF('Datos_fuente'!N75="","",LN('Datos_fuente'!N75))</f>
        <v/>
      </c>
      <c r="R75" s="160">
        <f>IF(OR(Q75="",Q74=""),"",Q75-Q74)</f>
        <v/>
      </c>
      <c r="S75" s="161">
        <f>'Datos_fuente'!P75</f>
        <v/>
      </c>
      <c r="T75" s="161">
        <f>IF(OR(S75="",S74=""),"",S75-S74)</f>
        <v/>
      </c>
      <c r="U75" s="160">
        <f>IF('Datos_fuente'!Q75="","",ASINH('Datos_fuente'!Q75/1000))</f>
        <v/>
      </c>
      <c r="V75" s="160">
        <f>IF(OR(U75="",U74=""),"",U75-U74)</f>
        <v/>
      </c>
      <c r="W75" s="160">
        <f>IF('Datos_fuente'!R75="","",ASINH('Datos_fuente'!R75/1000))</f>
        <v/>
      </c>
      <c r="X75" s="160">
        <f>IF(OR(W75="",W74=""),"",W75-W74)</f>
        <v/>
      </c>
      <c r="Y75" s="161">
        <f>'Datos_fuente'!W75</f>
        <v/>
      </c>
      <c r="Z75" s="161">
        <f>IF(OR(Y75="",Y74=""),"",Y75-Y74)</f>
        <v/>
      </c>
      <c r="AA75" s="160">
        <f>'Datos_fuente'!AB75</f>
        <v/>
      </c>
      <c r="AB75" s="160">
        <f>'Datos_fuente'!AC75</f>
        <v/>
      </c>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f>'Datos_fuente'!A76</f>
        <v/>
      </c>
      <c r="B76" s="160">
        <f>IF('Datos_fuente'!B76="","",LN('Datos_fuente'!B76))</f>
        <v/>
      </c>
      <c r="C76" s="160">
        <f>IF(OR(B76="",B75=""),"",B76-B75)</f>
        <v/>
      </c>
      <c r="D76" s="160">
        <f>IF('Datos_fuente'!C76="","",LN('Datos_fuente'!C76))</f>
        <v/>
      </c>
      <c r="E76" s="160">
        <f>IF(OR(D76="",D75=""),"",D76-D75)</f>
        <v/>
      </c>
      <c r="F76" s="160">
        <f>IF('Datos_fuente'!E76="","",LN('Datos_fuente'!E76))</f>
        <v/>
      </c>
      <c r="G76" s="160">
        <f>IF(OR(F76="",F75=""),"",F76-F75)</f>
        <v/>
      </c>
      <c r="H76" s="161">
        <f>'Datos_fuente'!H76</f>
        <v/>
      </c>
      <c r="I76" s="161">
        <f>IF(OR(H76="",H75=""),"",H76-H75)</f>
        <v/>
      </c>
      <c r="J76" s="161">
        <f>'Datos_fuente'!J76</f>
        <v/>
      </c>
      <c r="K76" s="161">
        <f>IF(OR(J76="",J75=""),"",J76-J75)</f>
        <v/>
      </c>
      <c r="L76" s="160">
        <f>IF('Datos_fuente'!K76="","",LN('Datos_fuente'!K76))</f>
        <v/>
      </c>
      <c r="M76" s="160">
        <f>IF(OR(L76="",L75=""),"",L76-L75)</f>
        <v/>
      </c>
      <c r="N76" s="160">
        <f>IF('Datos_fuente'!L76="","",LN('Datos_fuente'!L76))</f>
        <v/>
      </c>
      <c r="O76" s="160">
        <f>IF(OR(N76="",N75=""),"",N76-N75)</f>
        <v/>
      </c>
      <c r="P76" s="162">
        <f>'Datos_fuente'!M76</f>
        <v/>
      </c>
      <c r="Q76" s="160">
        <f>IF('Datos_fuente'!N76="","",LN('Datos_fuente'!N76))</f>
        <v/>
      </c>
      <c r="R76" s="160">
        <f>IF(OR(Q76="",Q75=""),"",Q76-Q75)</f>
        <v/>
      </c>
      <c r="S76" s="161">
        <f>'Datos_fuente'!P76</f>
        <v/>
      </c>
      <c r="T76" s="161">
        <f>IF(OR(S76="",S75=""),"",S76-S75)</f>
        <v/>
      </c>
      <c r="U76" s="160">
        <f>IF('Datos_fuente'!Q76="","",ASINH('Datos_fuente'!Q76/1000))</f>
        <v/>
      </c>
      <c r="V76" s="160">
        <f>IF(OR(U76="",U75=""),"",U76-U75)</f>
        <v/>
      </c>
      <c r="W76" s="160">
        <f>IF('Datos_fuente'!R76="","",ASINH('Datos_fuente'!R76/1000))</f>
        <v/>
      </c>
      <c r="X76" s="160">
        <f>IF(OR(W76="",W75=""),"",W76-W75)</f>
        <v/>
      </c>
      <c r="Y76" s="161">
        <f>'Datos_fuente'!W76</f>
        <v/>
      </c>
      <c r="Z76" s="161">
        <f>IF(OR(Y76="",Y75=""),"",Y76-Y75)</f>
        <v/>
      </c>
      <c r="AA76" s="160">
        <f>'Datos_fuente'!AB76</f>
        <v/>
      </c>
      <c r="AB76" s="160">
        <f>'Datos_fuente'!AC76</f>
        <v/>
      </c>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f>'Datos_fuente'!A77</f>
        <v/>
      </c>
      <c r="B77" s="160">
        <f>IF('Datos_fuente'!B77="","",LN('Datos_fuente'!B77))</f>
        <v/>
      </c>
      <c r="C77" s="160">
        <f>IF(OR(B77="",B76=""),"",B77-B76)</f>
        <v/>
      </c>
      <c r="D77" s="160">
        <f>IF('Datos_fuente'!C77="","",LN('Datos_fuente'!C77))</f>
        <v/>
      </c>
      <c r="E77" s="160">
        <f>IF(OR(D77="",D76=""),"",D77-D76)</f>
        <v/>
      </c>
      <c r="F77" s="160">
        <f>IF('Datos_fuente'!E77="","",LN('Datos_fuente'!E77))</f>
        <v/>
      </c>
      <c r="G77" s="160">
        <f>IF(OR(F77="",F76=""),"",F77-F76)</f>
        <v/>
      </c>
      <c r="H77" s="161">
        <f>'Datos_fuente'!H77</f>
        <v/>
      </c>
      <c r="I77" s="161">
        <f>IF(OR(H77="",H76=""),"",H77-H76)</f>
        <v/>
      </c>
      <c r="J77" s="161">
        <f>'Datos_fuente'!J77</f>
        <v/>
      </c>
      <c r="K77" s="161">
        <f>IF(OR(J77="",J76=""),"",J77-J76)</f>
        <v/>
      </c>
      <c r="L77" s="160">
        <f>IF('Datos_fuente'!K77="","",LN('Datos_fuente'!K77))</f>
        <v/>
      </c>
      <c r="M77" s="160">
        <f>IF(OR(L77="",L76=""),"",L77-L76)</f>
        <v/>
      </c>
      <c r="N77" s="160">
        <f>IF('Datos_fuente'!L77="","",LN('Datos_fuente'!L77))</f>
        <v/>
      </c>
      <c r="O77" s="160">
        <f>IF(OR(N77="",N76=""),"",N77-N76)</f>
        <v/>
      </c>
      <c r="P77" s="162">
        <f>'Datos_fuente'!M77</f>
        <v/>
      </c>
      <c r="Q77" s="160">
        <f>IF('Datos_fuente'!N77="","",LN('Datos_fuente'!N77))</f>
        <v/>
      </c>
      <c r="R77" s="160">
        <f>IF(OR(Q77="",Q76=""),"",Q77-Q76)</f>
        <v/>
      </c>
      <c r="S77" s="161">
        <f>'Datos_fuente'!P77</f>
        <v/>
      </c>
      <c r="T77" s="161">
        <f>IF(OR(S77="",S76=""),"",S77-S76)</f>
        <v/>
      </c>
      <c r="U77" s="160">
        <f>IF('Datos_fuente'!Q77="","",ASINH('Datos_fuente'!Q77/1000))</f>
        <v/>
      </c>
      <c r="V77" s="160">
        <f>IF(OR(U77="",U76=""),"",U77-U76)</f>
        <v/>
      </c>
      <c r="W77" s="160">
        <f>IF('Datos_fuente'!R77="","",ASINH('Datos_fuente'!R77/1000))</f>
        <v/>
      </c>
      <c r="X77" s="160">
        <f>IF(OR(W77="",W76=""),"",W77-W76)</f>
        <v/>
      </c>
      <c r="Y77" s="161">
        <f>'Datos_fuente'!W77</f>
        <v/>
      </c>
      <c r="Z77" s="161">
        <f>IF(OR(Y77="",Y76=""),"",Y77-Y76)</f>
        <v/>
      </c>
      <c r="AA77" s="160">
        <f>'Datos_fuente'!AB77</f>
        <v/>
      </c>
      <c r="AB77" s="160">
        <f>'Datos_fuente'!AC77</f>
        <v/>
      </c>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f>'Datos_fuente'!A78</f>
        <v/>
      </c>
      <c r="B78" s="160">
        <f>IF('Datos_fuente'!B78="","",LN('Datos_fuente'!B78))</f>
        <v/>
      </c>
      <c r="C78" s="160">
        <f>IF(OR(B78="",B77=""),"",B78-B77)</f>
        <v/>
      </c>
      <c r="D78" s="160">
        <f>IF('Datos_fuente'!C78="","",LN('Datos_fuente'!C78))</f>
        <v/>
      </c>
      <c r="E78" s="160">
        <f>IF(OR(D78="",D77=""),"",D78-D77)</f>
        <v/>
      </c>
      <c r="F78" s="160">
        <f>IF('Datos_fuente'!E78="","",LN('Datos_fuente'!E78))</f>
        <v/>
      </c>
      <c r="G78" s="160">
        <f>IF(OR(F78="",F77=""),"",F78-F77)</f>
        <v/>
      </c>
      <c r="H78" s="161">
        <f>'Datos_fuente'!H78</f>
        <v/>
      </c>
      <c r="I78" s="161">
        <f>IF(OR(H78="",H77=""),"",H78-H77)</f>
        <v/>
      </c>
      <c r="J78" s="161">
        <f>'Datos_fuente'!J78</f>
        <v/>
      </c>
      <c r="K78" s="161">
        <f>IF(OR(J78="",J77=""),"",J78-J77)</f>
        <v/>
      </c>
      <c r="L78" s="160">
        <f>IF('Datos_fuente'!K78="","",LN('Datos_fuente'!K78))</f>
        <v/>
      </c>
      <c r="M78" s="160">
        <f>IF(OR(L78="",L77=""),"",L78-L77)</f>
        <v/>
      </c>
      <c r="N78" s="160">
        <f>IF('Datos_fuente'!L78="","",LN('Datos_fuente'!L78))</f>
        <v/>
      </c>
      <c r="O78" s="160">
        <f>IF(OR(N78="",N77=""),"",N78-N77)</f>
        <v/>
      </c>
      <c r="P78" s="162">
        <f>'Datos_fuente'!M78</f>
        <v/>
      </c>
      <c r="Q78" s="160">
        <f>IF('Datos_fuente'!N78="","",LN('Datos_fuente'!N78))</f>
        <v/>
      </c>
      <c r="R78" s="160">
        <f>IF(OR(Q78="",Q77=""),"",Q78-Q77)</f>
        <v/>
      </c>
      <c r="S78" s="161">
        <f>'Datos_fuente'!P78</f>
        <v/>
      </c>
      <c r="T78" s="161">
        <f>IF(OR(S78="",S77=""),"",S78-S77)</f>
        <v/>
      </c>
      <c r="U78" s="160">
        <f>IF('Datos_fuente'!Q78="","",ASINH('Datos_fuente'!Q78/1000))</f>
        <v/>
      </c>
      <c r="V78" s="160">
        <f>IF(OR(U78="",U77=""),"",U78-U77)</f>
        <v/>
      </c>
      <c r="W78" s="160">
        <f>IF('Datos_fuente'!R78="","",ASINH('Datos_fuente'!R78/1000))</f>
        <v/>
      </c>
      <c r="X78" s="160">
        <f>IF(OR(W78="",W77=""),"",W78-W77)</f>
        <v/>
      </c>
      <c r="Y78" s="161">
        <f>'Datos_fuente'!W78</f>
        <v/>
      </c>
      <c r="Z78" s="161">
        <f>IF(OR(Y78="",Y77=""),"",Y78-Y77)</f>
        <v/>
      </c>
      <c r="AA78" s="160">
        <f>'Datos_fuente'!AB78</f>
        <v/>
      </c>
      <c r="AB78" s="160">
        <f>'Datos_fuente'!AC78</f>
        <v/>
      </c>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f>'Datos_fuente'!A79</f>
        <v/>
      </c>
      <c r="B79" s="160">
        <f>IF('Datos_fuente'!B79="","",LN('Datos_fuente'!B79))</f>
        <v/>
      </c>
      <c r="C79" s="160">
        <f>IF(OR(B79="",B78=""),"",B79-B78)</f>
        <v/>
      </c>
      <c r="D79" s="160">
        <f>IF('Datos_fuente'!C79="","",LN('Datos_fuente'!C79))</f>
        <v/>
      </c>
      <c r="E79" s="160">
        <f>IF(OR(D79="",D78=""),"",D79-D78)</f>
        <v/>
      </c>
      <c r="F79" s="160">
        <f>IF('Datos_fuente'!E79="","",LN('Datos_fuente'!E79))</f>
        <v/>
      </c>
      <c r="G79" s="160">
        <f>IF(OR(F79="",F78=""),"",F79-F78)</f>
        <v/>
      </c>
      <c r="H79" s="161">
        <f>'Datos_fuente'!H79</f>
        <v/>
      </c>
      <c r="I79" s="161">
        <f>IF(OR(H79="",H78=""),"",H79-H78)</f>
        <v/>
      </c>
      <c r="J79" s="161">
        <f>'Datos_fuente'!J79</f>
        <v/>
      </c>
      <c r="K79" s="161">
        <f>IF(OR(J79="",J78=""),"",J79-J78)</f>
        <v/>
      </c>
      <c r="L79" s="160">
        <f>IF('Datos_fuente'!K79="","",LN('Datos_fuente'!K79))</f>
        <v/>
      </c>
      <c r="M79" s="160">
        <f>IF(OR(L79="",L78=""),"",L79-L78)</f>
        <v/>
      </c>
      <c r="N79" s="160">
        <f>IF('Datos_fuente'!L79="","",LN('Datos_fuente'!L79))</f>
        <v/>
      </c>
      <c r="O79" s="160">
        <f>IF(OR(N79="",N78=""),"",N79-N78)</f>
        <v/>
      </c>
      <c r="P79" s="162">
        <f>'Datos_fuente'!M79</f>
        <v/>
      </c>
      <c r="Q79" s="160">
        <f>IF('Datos_fuente'!N79="","",LN('Datos_fuente'!N79))</f>
        <v/>
      </c>
      <c r="R79" s="160">
        <f>IF(OR(Q79="",Q78=""),"",Q79-Q78)</f>
        <v/>
      </c>
      <c r="S79" s="161">
        <f>'Datos_fuente'!P79</f>
        <v/>
      </c>
      <c r="T79" s="161">
        <f>IF(OR(S79="",S78=""),"",S79-S78)</f>
        <v/>
      </c>
      <c r="U79" s="160">
        <f>IF('Datos_fuente'!Q79="","",ASINH('Datos_fuente'!Q79/1000))</f>
        <v/>
      </c>
      <c r="V79" s="160">
        <f>IF(OR(U79="",U78=""),"",U79-U78)</f>
        <v/>
      </c>
      <c r="W79" s="160">
        <f>IF('Datos_fuente'!R79="","",ASINH('Datos_fuente'!R79/1000))</f>
        <v/>
      </c>
      <c r="X79" s="160">
        <f>IF(OR(W79="",W78=""),"",W79-W78)</f>
        <v/>
      </c>
      <c r="Y79" s="161">
        <f>'Datos_fuente'!W79</f>
        <v/>
      </c>
      <c r="Z79" s="161">
        <f>IF(OR(Y79="",Y78=""),"",Y79-Y78)</f>
        <v/>
      </c>
      <c r="AA79" s="160">
        <f>'Datos_fuente'!AB79</f>
        <v/>
      </c>
      <c r="AB79" s="160">
        <f>'Datos_fuente'!AC79</f>
        <v/>
      </c>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f>'Datos_fuente'!A80</f>
        <v/>
      </c>
      <c r="B80" s="160">
        <f>IF('Datos_fuente'!B80="","",LN('Datos_fuente'!B80))</f>
        <v/>
      </c>
      <c r="C80" s="160">
        <f>IF(OR(B80="",B79=""),"",B80-B79)</f>
        <v/>
      </c>
      <c r="D80" s="160">
        <f>IF('Datos_fuente'!C80="","",LN('Datos_fuente'!C80))</f>
        <v/>
      </c>
      <c r="E80" s="160">
        <f>IF(OR(D80="",D79=""),"",D80-D79)</f>
        <v/>
      </c>
      <c r="F80" s="160">
        <f>IF('Datos_fuente'!E80="","",LN('Datos_fuente'!E80))</f>
        <v/>
      </c>
      <c r="G80" s="160">
        <f>IF(OR(F80="",F79=""),"",F80-F79)</f>
        <v/>
      </c>
      <c r="H80" s="161">
        <f>'Datos_fuente'!H80</f>
        <v/>
      </c>
      <c r="I80" s="161">
        <f>IF(OR(H80="",H79=""),"",H80-H79)</f>
        <v/>
      </c>
      <c r="J80" s="161">
        <f>'Datos_fuente'!J80</f>
        <v/>
      </c>
      <c r="K80" s="161">
        <f>IF(OR(J80="",J79=""),"",J80-J79)</f>
        <v/>
      </c>
      <c r="L80" s="160">
        <f>IF('Datos_fuente'!K80="","",LN('Datos_fuente'!K80))</f>
        <v/>
      </c>
      <c r="M80" s="160">
        <f>IF(OR(L80="",L79=""),"",L80-L79)</f>
        <v/>
      </c>
      <c r="N80" s="160">
        <f>IF('Datos_fuente'!L80="","",LN('Datos_fuente'!L80))</f>
        <v/>
      </c>
      <c r="O80" s="160">
        <f>IF(OR(N80="",N79=""),"",N80-N79)</f>
        <v/>
      </c>
      <c r="P80" s="162">
        <f>'Datos_fuente'!M80</f>
        <v/>
      </c>
      <c r="Q80" s="160">
        <f>IF('Datos_fuente'!N80="","",LN('Datos_fuente'!N80))</f>
        <v/>
      </c>
      <c r="R80" s="160">
        <f>IF(OR(Q80="",Q79=""),"",Q80-Q79)</f>
        <v/>
      </c>
      <c r="S80" s="161">
        <f>'Datos_fuente'!P80</f>
        <v/>
      </c>
      <c r="T80" s="161">
        <f>IF(OR(S80="",S79=""),"",S80-S79)</f>
        <v/>
      </c>
      <c r="U80" s="160">
        <f>IF('Datos_fuente'!Q80="","",ASINH('Datos_fuente'!Q80/1000))</f>
        <v/>
      </c>
      <c r="V80" s="160">
        <f>IF(OR(U80="",U79=""),"",U80-U79)</f>
        <v/>
      </c>
      <c r="W80" s="160">
        <f>IF('Datos_fuente'!R80="","",ASINH('Datos_fuente'!R80/1000))</f>
        <v/>
      </c>
      <c r="X80" s="160">
        <f>IF(OR(W80="",W79=""),"",W80-W79)</f>
        <v/>
      </c>
      <c r="Y80" s="161">
        <f>'Datos_fuente'!W80</f>
        <v/>
      </c>
      <c r="Z80" s="161">
        <f>IF(OR(Y80="",Y79=""),"",Y80-Y79)</f>
        <v/>
      </c>
      <c r="AA80" s="160">
        <f>'Datos_fuente'!AB80</f>
        <v/>
      </c>
      <c r="AB80" s="160">
        <f>'Datos_fuente'!AC80</f>
        <v/>
      </c>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f>'Datos_fuente'!A81</f>
        <v/>
      </c>
      <c r="B81" s="160">
        <f>IF('Datos_fuente'!B81="","",LN('Datos_fuente'!B81))</f>
        <v/>
      </c>
      <c r="C81" s="160">
        <f>IF(OR(B81="",B80=""),"",B81-B80)</f>
        <v/>
      </c>
      <c r="D81" s="160">
        <f>IF('Datos_fuente'!C81="","",LN('Datos_fuente'!C81))</f>
        <v/>
      </c>
      <c r="E81" s="160">
        <f>IF(OR(D81="",D80=""),"",D81-D80)</f>
        <v/>
      </c>
      <c r="F81" s="160">
        <f>IF('Datos_fuente'!E81="","",LN('Datos_fuente'!E81))</f>
        <v/>
      </c>
      <c r="G81" s="160">
        <f>IF(OR(F81="",F80=""),"",F81-F80)</f>
        <v/>
      </c>
      <c r="H81" s="161">
        <f>'Datos_fuente'!H81</f>
        <v/>
      </c>
      <c r="I81" s="161">
        <f>IF(OR(H81="",H80=""),"",H81-H80)</f>
        <v/>
      </c>
      <c r="J81" s="161">
        <f>'Datos_fuente'!J81</f>
        <v/>
      </c>
      <c r="K81" s="161">
        <f>IF(OR(J81="",J80=""),"",J81-J80)</f>
        <v/>
      </c>
      <c r="L81" s="160">
        <f>IF('Datos_fuente'!K81="","",LN('Datos_fuente'!K81))</f>
        <v/>
      </c>
      <c r="M81" s="160">
        <f>IF(OR(L81="",L80=""),"",L81-L80)</f>
        <v/>
      </c>
      <c r="N81" s="160">
        <f>IF('Datos_fuente'!L81="","",LN('Datos_fuente'!L81))</f>
        <v/>
      </c>
      <c r="O81" s="160">
        <f>IF(OR(N81="",N80=""),"",N81-N80)</f>
        <v/>
      </c>
      <c r="P81" s="162">
        <f>'Datos_fuente'!M81</f>
        <v/>
      </c>
      <c r="Q81" s="160">
        <f>IF('Datos_fuente'!N81="","",LN('Datos_fuente'!N81))</f>
        <v/>
      </c>
      <c r="R81" s="160">
        <f>IF(OR(Q81="",Q80=""),"",Q81-Q80)</f>
        <v/>
      </c>
      <c r="S81" s="161">
        <f>'Datos_fuente'!P81</f>
        <v/>
      </c>
      <c r="T81" s="161">
        <f>IF(OR(S81="",S80=""),"",S81-S80)</f>
        <v/>
      </c>
      <c r="U81" s="160">
        <f>IF('Datos_fuente'!Q81="","",ASINH('Datos_fuente'!Q81/1000))</f>
        <v/>
      </c>
      <c r="V81" s="160">
        <f>IF(OR(U81="",U80=""),"",U81-U80)</f>
        <v/>
      </c>
      <c r="W81" s="160">
        <f>IF('Datos_fuente'!R81="","",ASINH('Datos_fuente'!R81/1000))</f>
        <v/>
      </c>
      <c r="X81" s="160">
        <f>IF(OR(W81="",W80=""),"",W81-W80)</f>
        <v/>
      </c>
      <c r="Y81" s="161">
        <f>'Datos_fuente'!W81</f>
        <v/>
      </c>
      <c r="Z81" s="161">
        <f>IF(OR(Y81="",Y80=""),"",Y81-Y80)</f>
        <v/>
      </c>
      <c r="AA81" s="160">
        <f>'Datos_fuente'!AB81</f>
        <v/>
      </c>
      <c r="AB81" s="160">
        <f>'Datos_fuente'!AC81</f>
        <v/>
      </c>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f>'Datos_fuente'!A82</f>
        <v/>
      </c>
      <c r="B82" s="160">
        <f>IF('Datos_fuente'!B82="","",LN('Datos_fuente'!B82))</f>
        <v/>
      </c>
      <c r="C82" s="160">
        <f>IF(OR(B82="",B81=""),"",B82-B81)</f>
        <v/>
      </c>
      <c r="D82" s="160">
        <f>IF('Datos_fuente'!C82="","",LN('Datos_fuente'!C82))</f>
        <v/>
      </c>
      <c r="E82" s="160">
        <f>IF(OR(D82="",D81=""),"",D82-D81)</f>
        <v/>
      </c>
      <c r="F82" s="160">
        <f>IF('Datos_fuente'!E82="","",LN('Datos_fuente'!E82))</f>
        <v/>
      </c>
      <c r="G82" s="160">
        <f>IF(OR(F82="",F81=""),"",F82-F81)</f>
        <v/>
      </c>
      <c r="H82" s="161">
        <f>'Datos_fuente'!H82</f>
        <v/>
      </c>
      <c r="I82" s="161">
        <f>IF(OR(H82="",H81=""),"",H82-H81)</f>
        <v/>
      </c>
      <c r="J82" s="161">
        <f>'Datos_fuente'!J82</f>
        <v/>
      </c>
      <c r="K82" s="161">
        <f>IF(OR(J82="",J81=""),"",J82-J81)</f>
        <v/>
      </c>
      <c r="L82" s="160">
        <f>IF('Datos_fuente'!K82="","",LN('Datos_fuente'!K82))</f>
        <v/>
      </c>
      <c r="M82" s="160">
        <f>IF(OR(L82="",L81=""),"",L82-L81)</f>
        <v/>
      </c>
      <c r="N82" s="160">
        <f>IF('Datos_fuente'!L82="","",LN('Datos_fuente'!L82))</f>
        <v/>
      </c>
      <c r="O82" s="160">
        <f>IF(OR(N82="",N81=""),"",N82-N81)</f>
        <v/>
      </c>
      <c r="P82" s="162">
        <f>'Datos_fuente'!M82</f>
        <v/>
      </c>
      <c r="Q82" s="160">
        <f>IF('Datos_fuente'!N82="","",LN('Datos_fuente'!N82))</f>
        <v/>
      </c>
      <c r="R82" s="160">
        <f>IF(OR(Q82="",Q81=""),"",Q82-Q81)</f>
        <v/>
      </c>
      <c r="S82" s="161">
        <f>'Datos_fuente'!P82</f>
        <v/>
      </c>
      <c r="T82" s="161">
        <f>IF(OR(S82="",S81=""),"",S82-S81)</f>
        <v/>
      </c>
      <c r="U82" s="160">
        <f>IF('Datos_fuente'!Q82="","",ASINH('Datos_fuente'!Q82/1000))</f>
        <v/>
      </c>
      <c r="V82" s="160">
        <f>IF(OR(U82="",U81=""),"",U82-U81)</f>
        <v/>
      </c>
      <c r="W82" s="160">
        <f>IF('Datos_fuente'!R82="","",ASINH('Datos_fuente'!R82/1000))</f>
        <v/>
      </c>
      <c r="X82" s="160">
        <f>IF(OR(W82="",W81=""),"",W82-W81)</f>
        <v/>
      </c>
      <c r="Y82" s="161">
        <f>'Datos_fuente'!W82</f>
        <v/>
      </c>
      <c r="Z82" s="161">
        <f>IF(OR(Y82="",Y81=""),"",Y82-Y81)</f>
        <v/>
      </c>
      <c r="AA82" s="160">
        <f>'Datos_fuente'!AB82</f>
        <v/>
      </c>
      <c r="AB82" s="160">
        <f>'Datos_fuente'!AC82</f>
        <v/>
      </c>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f>'Datos_fuente'!A83</f>
        <v/>
      </c>
      <c r="B83" s="160">
        <f>IF('Datos_fuente'!B83="","",LN('Datos_fuente'!B83))</f>
        <v/>
      </c>
      <c r="C83" s="160">
        <f>IF(OR(B83="",B82=""),"",B83-B82)</f>
        <v/>
      </c>
      <c r="D83" s="160">
        <f>IF('Datos_fuente'!C83="","",LN('Datos_fuente'!C83))</f>
        <v/>
      </c>
      <c r="E83" s="160">
        <f>IF(OR(D83="",D82=""),"",D83-D82)</f>
        <v/>
      </c>
      <c r="F83" s="160">
        <f>IF('Datos_fuente'!E83="","",LN('Datos_fuente'!E83))</f>
        <v/>
      </c>
      <c r="G83" s="160">
        <f>IF(OR(F83="",F82=""),"",F83-F82)</f>
        <v/>
      </c>
      <c r="H83" s="161">
        <f>'Datos_fuente'!H83</f>
        <v/>
      </c>
      <c r="I83" s="161">
        <f>IF(OR(H83="",H82=""),"",H83-H82)</f>
        <v/>
      </c>
      <c r="J83" s="161">
        <f>'Datos_fuente'!J83</f>
        <v/>
      </c>
      <c r="K83" s="161">
        <f>IF(OR(J83="",J82=""),"",J83-J82)</f>
        <v/>
      </c>
      <c r="L83" s="160">
        <f>IF('Datos_fuente'!K83="","",LN('Datos_fuente'!K83))</f>
        <v/>
      </c>
      <c r="M83" s="160">
        <f>IF(OR(L83="",L82=""),"",L83-L82)</f>
        <v/>
      </c>
      <c r="N83" s="160">
        <f>IF('Datos_fuente'!L83="","",LN('Datos_fuente'!L83))</f>
        <v/>
      </c>
      <c r="O83" s="160">
        <f>IF(OR(N83="",N82=""),"",N83-N82)</f>
        <v/>
      </c>
      <c r="P83" s="162">
        <f>'Datos_fuente'!M83</f>
        <v/>
      </c>
      <c r="Q83" s="160">
        <f>IF('Datos_fuente'!N83="","",LN('Datos_fuente'!N83))</f>
        <v/>
      </c>
      <c r="R83" s="160">
        <f>IF(OR(Q83="",Q82=""),"",Q83-Q82)</f>
        <v/>
      </c>
      <c r="S83" s="161">
        <f>'Datos_fuente'!P83</f>
        <v/>
      </c>
      <c r="T83" s="161">
        <f>IF(OR(S83="",S82=""),"",S83-S82)</f>
        <v/>
      </c>
      <c r="U83" s="160">
        <f>IF('Datos_fuente'!Q83="","",ASINH('Datos_fuente'!Q83/1000))</f>
        <v/>
      </c>
      <c r="V83" s="160">
        <f>IF(OR(U83="",U82=""),"",U83-U82)</f>
        <v/>
      </c>
      <c r="W83" s="160">
        <f>IF('Datos_fuente'!R83="","",ASINH('Datos_fuente'!R83/1000))</f>
        <v/>
      </c>
      <c r="X83" s="160">
        <f>IF(OR(W83="",W82=""),"",W83-W82)</f>
        <v/>
      </c>
      <c r="Y83" s="161">
        <f>'Datos_fuente'!W83</f>
        <v/>
      </c>
      <c r="Z83" s="161">
        <f>IF(OR(Y83="",Y82=""),"",Y83-Y82)</f>
        <v/>
      </c>
      <c r="AA83" s="160">
        <f>'Datos_fuente'!AB83</f>
        <v/>
      </c>
      <c r="AB83" s="160">
        <f>'Datos_fuente'!AC83</f>
        <v/>
      </c>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f>'Datos_fuente'!A84</f>
        <v/>
      </c>
      <c r="B84" s="160">
        <f>IF('Datos_fuente'!B84="","",LN('Datos_fuente'!B84))</f>
        <v/>
      </c>
      <c r="C84" s="160">
        <f>IF(OR(B84="",B83=""),"",B84-B83)</f>
        <v/>
      </c>
      <c r="D84" s="160">
        <f>IF('Datos_fuente'!C84="","",LN('Datos_fuente'!C84))</f>
        <v/>
      </c>
      <c r="E84" s="160">
        <f>IF(OR(D84="",D83=""),"",D84-D83)</f>
        <v/>
      </c>
      <c r="F84" s="160">
        <f>IF('Datos_fuente'!E84="","",LN('Datos_fuente'!E84))</f>
        <v/>
      </c>
      <c r="G84" s="160">
        <f>IF(OR(F84="",F83=""),"",F84-F83)</f>
        <v/>
      </c>
      <c r="H84" s="161">
        <f>'Datos_fuente'!H84</f>
        <v/>
      </c>
      <c r="I84" s="161">
        <f>IF(OR(H84="",H83=""),"",H84-H83)</f>
        <v/>
      </c>
      <c r="J84" s="161">
        <f>'Datos_fuente'!J84</f>
        <v/>
      </c>
      <c r="K84" s="161">
        <f>IF(OR(J84="",J83=""),"",J84-J83)</f>
        <v/>
      </c>
      <c r="L84" s="160">
        <f>IF('Datos_fuente'!K84="","",LN('Datos_fuente'!K84))</f>
        <v/>
      </c>
      <c r="M84" s="160">
        <f>IF(OR(L84="",L83=""),"",L84-L83)</f>
        <v/>
      </c>
      <c r="N84" s="160">
        <f>IF('Datos_fuente'!L84="","",LN('Datos_fuente'!L84))</f>
        <v/>
      </c>
      <c r="O84" s="160">
        <f>IF(OR(N84="",N83=""),"",N84-N83)</f>
        <v/>
      </c>
      <c r="P84" s="162">
        <f>'Datos_fuente'!M84</f>
        <v/>
      </c>
      <c r="Q84" s="160">
        <f>IF('Datos_fuente'!N84="","",LN('Datos_fuente'!N84))</f>
        <v/>
      </c>
      <c r="R84" s="160">
        <f>IF(OR(Q84="",Q83=""),"",Q84-Q83)</f>
        <v/>
      </c>
      <c r="S84" s="161">
        <f>'Datos_fuente'!P84</f>
        <v/>
      </c>
      <c r="T84" s="161">
        <f>IF(OR(S84="",S83=""),"",S84-S83)</f>
        <v/>
      </c>
      <c r="U84" s="160">
        <f>IF('Datos_fuente'!Q84="","",ASINH('Datos_fuente'!Q84/1000))</f>
        <v/>
      </c>
      <c r="V84" s="160">
        <f>IF(OR(U84="",U83=""),"",U84-U83)</f>
        <v/>
      </c>
      <c r="W84" s="160">
        <f>IF('Datos_fuente'!R84="","",ASINH('Datos_fuente'!R84/1000))</f>
        <v/>
      </c>
      <c r="X84" s="160">
        <f>IF(OR(W84="",W83=""),"",W84-W83)</f>
        <v/>
      </c>
      <c r="Y84" s="161">
        <f>'Datos_fuente'!W84</f>
        <v/>
      </c>
      <c r="Z84" s="161">
        <f>IF(OR(Y84="",Y83=""),"",Y84-Y83)</f>
        <v/>
      </c>
      <c r="AA84" s="160">
        <f>'Datos_fuente'!AB84</f>
        <v/>
      </c>
      <c r="AB84" s="160">
        <f>'Datos_fuente'!AC84</f>
        <v/>
      </c>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f>'Datos_fuente'!A85</f>
        <v/>
      </c>
      <c r="B85" s="160">
        <f>IF('Datos_fuente'!B85="","",LN('Datos_fuente'!B85))</f>
        <v/>
      </c>
      <c r="C85" s="160">
        <f>IF(OR(B85="",B84=""),"",B85-B84)</f>
        <v/>
      </c>
      <c r="D85" s="160">
        <f>IF('Datos_fuente'!C85="","",LN('Datos_fuente'!C85))</f>
        <v/>
      </c>
      <c r="E85" s="160">
        <f>IF(OR(D85="",D84=""),"",D85-D84)</f>
        <v/>
      </c>
      <c r="F85" s="160">
        <f>IF('Datos_fuente'!E85="","",LN('Datos_fuente'!E85))</f>
        <v/>
      </c>
      <c r="G85" s="160">
        <f>IF(OR(F85="",F84=""),"",F85-F84)</f>
        <v/>
      </c>
      <c r="H85" s="161">
        <f>'Datos_fuente'!H85</f>
        <v/>
      </c>
      <c r="I85" s="161">
        <f>IF(OR(H85="",H84=""),"",H85-H84)</f>
        <v/>
      </c>
      <c r="J85" s="161">
        <f>'Datos_fuente'!J85</f>
        <v/>
      </c>
      <c r="K85" s="161">
        <f>IF(OR(J85="",J84=""),"",J85-J84)</f>
        <v/>
      </c>
      <c r="L85" s="160">
        <f>IF('Datos_fuente'!K85="","",LN('Datos_fuente'!K85))</f>
        <v/>
      </c>
      <c r="M85" s="160">
        <f>IF(OR(L85="",L84=""),"",L85-L84)</f>
        <v/>
      </c>
      <c r="N85" s="160">
        <f>IF('Datos_fuente'!L85="","",LN('Datos_fuente'!L85))</f>
        <v/>
      </c>
      <c r="O85" s="160">
        <f>IF(OR(N85="",N84=""),"",N85-N84)</f>
        <v/>
      </c>
      <c r="P85" s="162">
        <f>'Datos_fuente'!M85</f>
        <v/>
      </c>
      <c r="Q85" s="160">
        <f>IF('Datos_fuente'!N85="","",LN('Datos_fuente'!N85))</f>
        <v/>
      </c>
      <c r="R85" s="160">
        <f>IF(OR(Q85="",Q84=""),"",Q85-Q84)</f>
        <v/>
      </c>
      <c r="S85" s="161">
        <f>'Datos_fuente'!P85</f>
        <v/>
      </c>
      <c r="T85" s="161">
        <f>IF(OR(S85="",S84=""),"",S85-S84)</f>
        <v/>
      </c>
      <c r="U85" s="160">
        <f>IF('Datos_fuente'!Q85="","",ASINH('Datos_fuente'!Q85/1000))</f>
        <v/>
      </c>
      <c r="V85" s="160">
        <f>IF(OR(U85="",U84=""),"",U85-U84)</f>
        <v/>
      </c>
      <c r="W85" s="160">
        <f>IF('Datos_fuente'!R85="","",ASINH('Datos_fuente'!R85/1000))</f>
        <v/>
      </c>
      <c r="X85" s="160">
        <f>IF(OR(W85="",W84=""),"",W85-W84)</f>
        <v/>
      </c>
      <c r="Y85" s="161">
        <f>'Datos_fuente'!W85</f>
        <v/>
      </c>
      <c r="Z85" s="161">
        <f>IF(OR(Y85="",Y84=""),"",Y85-Y84)</f>
        <v/>
      </c>
      <c r="AA85" s="160">
        <f>'Datos_fuente'!AB85</f>
        <v/>
      </c>
      <c r="AB85" s="160">
        <f>'Datos_fuente'!AC85</f>
        <v/>
      </c>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f>'Datos_fuente'!A86</f>
        <v/>
      </c>
      <c r="B86" s="160">
        <f>IF('Datos_fuente'!B86="","",LN('Datos_fuente'!B86))</f>
        <v/>
      </c>
      <c r="C86" s="160">
        <f>IF(OR(B86="",B85=""),"",B86-B85)</f>
        <v/>
      </c>
      <c r="D86" s="160">
        <f>IF('Datos_fuente'!C86="","",LN('Datos_fuente'!C86))</f>
        <v/>
      </c>
      <c r="E86" s="160">
        <f>IF(OR(D86="",D85=""),"",D86-D85)</f>
        <v/>
      </c>
      <c r="F86" s="160">
        <f>IF('Datos_fuente'!E86="","",LN('Datos_fuente'!E86))</f>
        <v/>
      </c>
      <c r="G86" s="160">
        <f>IF(OR(F86="",F85=""),"",F86-F85)</f>
        <v/>
      </c>
      <c r="H86" s="161">
        <f>'Datos_fuente'!H86</f>
        <v/>
      </c>
      <c r="I86" s="161">
        <f>IF(OR(H86="",H85=""),"",H86-H85)</f>
        <v/>
      </c>
      <c r="J86" s="161">
        <f>'Datos_fuente'!J86</f>
        <v/>
      </c>
      <c r="K86" s="161">
        <f>IF(OR(J86="",J85=""),"",J86-J85)</f>
        <v/>
      </c>
      <c r="L86" s="160">
        <f>IF('Datos_fuente'!K86="","",LN('Datos_fuente'!K86))</f>
        <v/>
      </c>
      <c r="M86" s="160">
        <f>IF(OR(L86="",L85=""),"",L86-L85)</f>
        <v/>
      </c>
      <c r="N86" s="160">
        <f>IF('Datos_fuente'!L86="","",LN('Datos_fuente'!L86))</f>
        <v/>
      </c>
      <c r="O86" s="160">
        <f>IF(OR(N86="",N85=""),"",N86-N85)</f>
        <v/>
      </c>
      <c r="P86" s="162">
        <f>'Datos_fuente'!M86</f>
        <v/>
      </c>
      <c r="Q86" s="160">
        <f>IF('Datos_fuente'!N86="","",LN('Datos_fuente'!N86))</f>
        <v/>
      </c>
      <c r="R86" s="160">
        <f>IF(OR(Q86="",Q85=""),"",Q86-Q85)</f>
        <v/>
      </c>
      <c r="S86" s="161">
        <f>'Datos_fuente'!P86</f>
        <v/>
      </c>
      <c r="T86" s="161">
        <f>IF(OR(S86="",S85=""),"",S86-S85)</f>
        <v/>
      </c>
      <c r="U86" s="160">
        <f>IF('Datos_fuente'!Q86="","",ASINH('Datos_fuente'!Q86/1000))</f>
        <v/>
      </c>
      <c r="V86" s="160">
        <f>IF(OR(U86="",U85=""),"",U86-U85)</f>
        <v/>
      </c>
      <c r="W86" s="160">
        <f>IF('Datos_fuente'!R86="","",ASINH('Datos_fuente'!R86/1000))</f>
        <v/>
      </c>
      <c r="X86" s="160">
        <f>IF(OR(W86="",W85=""),"",W86-W85)</f>
        <v/>
      </c>
      <c r="Y86" s="161">
        <f>'Datos_fuente'!W86</f>
        <v/>
      </c>
      <c r="Z86" s="161">
        <f>IF(OR(Y86="",Y85=""),"",Y86-Y85)</f>
        <v/>
      </c>
      <c r="AA86" s="160">
        <f>'Datos_fuente'!AB86</f>
        <v/>
      </c>
      <c r="AB86" s="160">
        <f>'Datos_fuente'!AC86</f>
        <v/>
      </c>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f>'Datos_fuente'!A87</f>
        <v/>
      </c>
      <c r="B87" s="160">
        <f>IF('Datos_fuente'!B87="","",LN('Datos_fuente'!B87))</f>
        <v/>
      </c>
      <c r="C87" s="160">
        <f>IF(OR(B87="",B86=""),"",B87-B86)</f>
        <v/>
      </c>
      <c r="D87" s="160">
        <f>IF('Datos_fuente'!C87="","",LN('Datos_fuente'!C87))</f>
        <v/>
      </c>
      <c r="E87" s="160">
        <f>IF(OR(D87="",D86=""),"",D87-D86)</f>
        <v/>
      </c>
      <c r="F87" s="160">
        <f>IF('Datos_fuente'!E87="","",LN('Datos_fuente'!E87))</f>
        <v/>
      </c>
      <c r="G87" s="160">
        <f>IF(OR(F87="",F86=""),"",F87-F86)</f>
        <v/>
      </c>
      <c r="H87" s="161">
        <f>'Datos_fuente'!H87</f>
        <v/>
      </c>
      <c r="I87" s="161">
        <f>IF(OR(H87="",H86=""),"",H87-H86)</f>
        <v/>
      </c>
      <c r="J87" s="161">
        <f>'Datos_fuente'!J87</f>
        <v/>
      </c>
      <c r="K87" s="161">
        <f>IF(OR(J87="",J86=""),"",J87-J86)</f>
        <v/>
      </c>
      <c r="L87" s="160">
        <f>IF('Datos_fuente'!K87="","",LN('Datos_fuente'!K87))</f>
        <v/>
      </c>
      <c r="M87" s="160">
        <f>IF(OR(L87="",L86=""),"",L87-L86)</f>
        <v/>
      </c>
      <c r="N87" s="160">
        <f>IF('Datos_fuente'!L87="","",LN('Datos_fuente'!L87))</f>
        <v/>
      </c>
      <c r="O87" s="160">
        <f>IF(OR(N87="",N86=""),"",N87-N86)</f>
        <v/>
      </c>
      <c r="P87" s="162">
        <f>'Datos_fuente'!M87</f>
        <v/>
      </c>
      <c r="Q87" s="160">
        <f>IF('Datos_fuente'!N87="","",LN('Datos_fuente'!N87))</f>
        <v/>
      </c>
      <c r="R87" s="160">
        <f>IF(OR(Q87="",Q86=""),"",Q87-Q86)</f>
        <v/>
      </c>
      <c r="S87" s="161">
        <f>'Datos_fuente'!P87</f>
        <v/>
      </c>
      <c r="T87" s="161">
        <f>IF(OR(S87="",S86=""),"",S87-S86)</f>
        <v/>
      </c>
      <c r="U87" s="160">
        <f>IF('Datos_fuente'!Q87="","",ASINH('Datos_fuente'!Q87/1000))</f>
        <v/>
      </c>
      <c r="V87" s="160">
        <f>IF(OR(U87="",U86=""),"",U87-U86)</f>
        <v/>
      </c>
      <c r="W87" s="160">
        <f>IF('Datos_fuente'!R87="","",ASINH('Datos_fuente'!R87/1000))</f>
        <v/>
      </c>
      <c r="X87" s="160">
        <f>IF(OR(W87="",W86=""),"",W87-W86)</f>
        <v/>
      </c>
      <c r="Y87" s="161">
        <f>'Datos_fuente'!W87</f>
        <v/>
      </c>
      <c r="Z87" s="161">
        <f>IF(OR(Y87="",Y86=""),"",Y87-Y86)</f>
        <v/>
      </c>
      <c r="AA87" s="160">
        <f>'Datos_fuente'!AB87</f>
        <v/>
      </c>
      <c r="AB87" s="160">
        <f>'Datos_fuente'!AC87</f>
        <v/>
      </c>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f>'Datos_fuente'!A88</f>
        <v/>
      </c>
      <c r="B88" s="160">
        <f>IF('Datos_fuente'!B88="","",LN('Datos_fuente'!B88))</f>
        <v/>
      </c>
      <c r="C88" s="160">
        <f>IF(OR(B88="",B87=""),"",B88-B87)</f>
        <v/>
      </c>
      <c r="D88" s="160">
        <f>IF('Datos_fuente'!C88="","",LN('Datos_fuente'!C88))</f>
        <v/>
      </c>
      <c r="E88" s="160">
        <f>IF(OR(D88="",D87=""),"",D88-D87)</f>
        <v/>
      </c>
      <c r="F88" s="160">
        <f>IF('Datos_fuente'!E88="","",LN('Datos_fuente'!E88))</f>
        <v/>
      </c>
      <c r="G88" s="160">
        <f>IF(OR(F88="",F87=""),"",F88-F87)</f>
        <v/>
      </c>
      <c r="H88" s="161">
        <f>'Datos_fuente'!H88</f>
        <v/>
      </c>
      <c r="I88" s="161">
        <f>IF(OR(H88="",H87=""),"",H88-H87)</f>
        <v/>
      </c>
      <c r="J88" s="161">
        <f>'Datos_fuente'!J88</f>
        <v/>
      </c>
      <c r="K88" s="161">
        <f>IF(OR(J88="",J87=""),"",J88-J87)</f>
        <v/>
      </c>
      <c r="L88" s="160">
        <f>IF('Datos_fuente'!K88="","",LN('Datos_fuente'!K88))</f>
        <v/>
      </c>
      <c r="M88" s="160">
        <f>IF(OR(L88="",L87=""),"",L88-L87)</f>
        <v/>
      </c>
      <c r="N88" s="160">
        <f>IF('Datos_fuente'!L88="","",LN('Datos_fuente'!L88))</f>
        <v/>
      </c>
      <c r="O88" s="160">
        <f>IF(OR(N88="",N87=""),"",N88-N87)</f>
        <v/>
      </c>
      <c r="P88" s="162">
        <f>'Datos_fuente'!M88</f>
        <v/>
      </c>
      <c r="Q88" s="160">
        <f>IF('Datos_fuente'!N88="","",LN('Datos_fuente'!N88))</f>
        <v/>
      </c>
      <c r="R88" s="160">
        <f>IF(OR(Q88="",Q87=""),"",Q88-Q87)</f>
        <v/>
      </c>
      <c r="S88" s="161">
        <f>'Datos_fuente'!P88</f>
        <v/>
      </c>
      <c r="T88" s="161">
        <f>IF(OR(S88="",S87=""),"",S88-S87)</f>
        <v/>
      </c>
      <c r="U88" s="160">
        <f>IF('Datos_fuente'!Q88="","",ASINH('Datos_fuente'!Q88/1000))</f>
        <v/>
      </c>
      <c r="V88" s="160">
        <f>IF(OR(U88="",U87=""),"",U88-U87)</f>
        <v/>
      </c>
      <c r="W88" s="160">
        <f>IF('Datos_fuente'!R88="","",ASINH('Datos_fuente'!R88/1000))</f>
        <v/>
      </c>
      <c r="X88" s="160">
        <f>IF(OR(W88="",W87=""),"",W88-W87)</f>
        <v/>
      </c>
      <c r="Y88" s="161">
        <f>'Datos_fuente'!W88</f>
        <v/>
      </c>
      <c r="Z88" s="161">
        <f>IF(OR(Y88="",Y87=""),"",Y88-Y87)</f>
        <v/>
      </c>
      <c r="AA88" s="160">
        <f>'Datos_fuente'!AB88</f>
        <v/>
      </c>
      <c r="AB88" s="160">
        <f>'Datos_fuente'!AC88</f>
        <v/>
      </c>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f>'Datos_fuente'!A89</f>
        <v/>
      </c>
      <c r="B89" s="160">
        <f>IF('Datos_fuente'!B89="","",LN('Datos_fuente'!B89))</f>
        <v/>
      </c>
      <c r="C89" s="160">
        <f>IF(OR(B89="",B88=""),"",B89-B88)</f>
        <v/>
      </c>
      <c r="D89" s="160">
        <f>IF('Datos_fuente'!C89="","",LN('Datos_fuente'!C89))</f>
        <v/>
      </c>
      <c r="E89" s="160">
        <f>IF(OR(D89="",D88=""),"",D89-D88)</f>
        <v/>
      </c>
      <c r="F89" s="160">
        <f>IF('Datos_fuente'!E89="","",LN('Datos_fuente'!E89))</f>
        <v/>
      </c>
      <c r="G89" s="160">
        <f>IF(OR(F89="",F88=""),"",F89-F88)</f>
        <v/>
      </c>
      <c r="H89" s="161">
        <f>'Datos_fuente'!H89</f>
        <v/>
      </c>
      <c r="I89" s="161">
        <f>IF(OR(H89="",H88=""),"",H89-H88)</f>
        <v/>
      </c>
      <c r="J89" s="161">
        <f>'Datos_fuente'!J89</f>
        <v/>
      </c>
      <c r="K89" s="161">
        <f>IF(OR(J89="",J88=""),"",J89-J88)</f>
        <v/>
      </c>
      <c r="L89" s="160">
        <f>IF('Datos_fuente'!K89="","",LN('Datos_fuente'!K89))</f>
        <v/>
      </c>
      <c r="M89" s="160">
        <f>IF(OR(L89="",L88=""),"",L89-L88)</f>
        <v/>
      </c>
      <c r="N89" s="160">
        <f>IF('Datos_fuente'!L89="","",LN('Datos_fuente'!L89))</f>
        <v/>
      </c>
      <c r="O89" s="160">
        <f>IF(OR(N89="",N88=""),"",N89-N88)</f>
        <v/>
      </c>
      <c r="P89" s="162">
        <f>'Datos_fuente'!M89</f>
        <v/>
      </c>
      <c r="Q89" s="160">
        <f>IF('Datos_fuente'!N89="","",LN('Datos_fuente'!N89))</f>
        <v/>
      </c>
      <c r="R89" s="160">
        <f>IF(OR(Q89="",Q88=""),"",Q89-Q88)</f>
        <v/>
      </c>
      <c r="S89" s="161">
        <f>'Datos_fuente'!P89</f>
        <v/>
      </c>
      <c r="T89" s="161">
        <f>IF(OR(S89="",S88=""),"",S89-S88)</f>
        <v/>
      </c>
      <c r="U89" s="160">
        <f>IF('Datos_fuente'!Q89="","",ASINH('Datos_fuente'!Q89/1000))</f>
        <v/>
      </c>
      <c r="V89" s="160">
        <f>IF(OR(U89="",U88=""),"",U89-U88)</f>
        <v/>
      </c>
      <c r="W89" s="160">
        <f>IF('Datos_fuente'!R89="","",ASINH('Datos_fuente'!R89/1000))</f>
        <v/>
      </c>
      <c r="X89" s="160">
        <f>IF(OR(W89="",W88=""),"",W89-W88)</f>
        <v/>
      </c>
      <c r="Y89" s="161">
        <f>'Datos_fuente'!W89</f>
        <v/>
      </c>
      <c r="Z89" s="161">
        <f>IF(OR(Y89="",Y88=""),"",Y89-Y88)</f>
        <v/>
      </c>
      <c r="AA89" s="160">
        <f>'Datos_fuente'!AB89</f>
        <v/>
      </c>
      <c r="AB89" s="160">
        <f>'Datos_fuente'!AC89</f>
        <v/>
      </c>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f>'Datos_fuente'!A90</f>
        <v/>
      </c>
      <c r="B90" s="160">
        <f>IF('Datos_fuente'!B90="","",LN('Datos_fuente'!B90))</f>
        <v/>
      </c>
      <c r="C90" s="160">
        <f>IF(OR(B90="",B89=""),"",B90-B89)</f>
        <v/>
      </c>
      <c r="D90" s="160">
        <f>IF('Datos_fuente'!C90="","",LN('Datos_fuente'!C90))</f>
        <v/>
      </c>
      <c r="E90" s="160">
        <f>IF(OR(D90="",D89=""),"",D90-D89)</f>
        <v/>
      </c>
      <c r="F90" s="160">
        <f>IF('Datos_fuente'!E90="","",LN('Datos_fuente'!E90))</f>
        <v/>
      </c>
      <c r="G90" s="160">
        <f>IF(OR(F90="",F89=""),"",F90-F89)</f>
        <v/>
      </c>
      <c r="H90" s="161">
        <f>'Datos_fuente'!H90</f>
        <v/>
      </c>
      <c r="I90" s="161">
        <f>IF(OR(H90="",H89=""),"",H90-H89)</f>
        <v/>
      </c>
      <c r="J90" s="161">
        <f>'Datos_fuente'!J90</f>
        <v/>
      </c>
      <c r="K90" s="161">
        <f>IF(OR(J90="",J89=""),"",J90-J89)</f>
        <v/>
      </c>
      <c r="L90" s="160">
        <f>IF('Datos_fuente'!K90="","",LN('Datos_fuente'!K90))</f>
        <v/>
      </c>
      <c r="M90" s="160">
        <f>IF(OR(L90="",L89=""),"",L90-L89)</f>
        <v/>
      </c>
      <c r="N90" s="160">
        <f>IF('Datos_fuente'!L90="","",LN('Datos_fuente'!L90))</f>
        <v/>
      </c>
      <c r="O90" s="160">
        <f>IF(OR(N90="",N89=""),"",N90-N89)</f>
        <v/>
      </c>
      <c r="P90" s="162">
        <f>'Datos_fuente'!M90</f>
        <v/>
      </c>
      <c r="Q90" s="160">
        <f>IF('Datos_fuente'!N90="","",LN('Datos_fuente'!N90))</f>
        <v/>
      </c>
      <c r="R90" s="160">
        <f>IF(OR(Q90="",Q89=""),"",Q90-Q89)</f>
        <v/>
      </c>
      <c r="S90" s="161">
        <f>'Datos_fuente'!P90</f>
        <v/>
      </c>
      <c r="T90" s="161">
        <f>IF(OR(S90="",S89=""),"",S90-S89)</f>
        <v/>
      </c>
      <c r="U90" s="160">
        <f>IF('Datos_fuente'!Q90="","",ASINH('Datos_fuente'!Q90/1000))</f>
        <v/>
      </c>
      <c r="V90" s="160">
        <f>IF(OR(U90="",U89=""),"",U90-U89)</f>
        <v/>
      </c>
      <c r="W90" s="160">
        <f>IF('Datos_fuente'!R90="","",ASINH('Datos_fuente'!R90/1000))</f>
        <v/>
      </c>
      <c r="X90" s="160">
        <f>IF(OR(W90="",W89=""),"",W90-W89)</f>
        <v/>
      </c>
      <c r="Y90" s="161">
        <f>'Datos_fuente'!W90</f>
        <v/>
      </c>
      <c r="Z90" s="161">
        <f>IF(OR(Y90="",Y89=""),"",Y90-Y89)</f>
        <v/>
      </c>
      <c r="AA90" s="160">
        <f>'Datos_fuente'!AB90</f>
        <v/>
      </c>
      <c r="AB90" s="160">
        <f>'Datos_fuente'!AC90</f>
        <v/>
      </c>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f>'Datos_fuente'!A91</f>
        <v/>
      </c>
      <c r="B91" s="160">
        <f>IF('Datos_fuente'!B91="","",LN('Datos_fuente'!B91))</f>
        <v/>
      </c>
      <c r="C91" s="160">
        <f>IF(OR(B91="",B90=""),"",B91-B90)</f>
        <v/>
      </c>
      <c r="D91" s="160">
        <f>IF('Datos_fuente'!C91="","",LN('Datos_fuente'!C91))</f>
        <v/>
      </c>
      <c r="E91" s="160">
        <f>IF(OR(D91="",D90=""),"",D91-D90)</f>
        <v/>
      </c>
      <c r="F91" s="160">
        <f>IF('Datos_fuente'!E91="","",LN('Datos_fuente'!E91))</f>
        <v/>
      </c>
      <c r="G91" s="160">
        <f>IF(OR(F91="",F90=""),"",F91-F90)</f>
        <v/>
      </c>
      <c r="H91" s="161">
        <f>'Datos_fuente'!H91</f>
        <v/>
      </c>
      <c r="I91" s="161">
        <f>IF(OR(H91="",H90=""),"",H91-H90)</f>
        <v/>
      </c>
      <c r="J91" s="161">
        <f>'Datos_fuente'!J91</f>
        <v/>
      </c>
      <c r="K91" s="161">
        <f>IF(OR(J91="",J90=""),"",J91-J90)</f>
        <v/>
      </c>
      <c r="L91" s="160">
        <f>IF('Datos_fuente'!K91="","",LN('Datos_fuente'!K91))</f>
        <v/>
      </c>
      <c r="M91" s="160">
        <f>IF(OR(L91="",L90=""),"",L91-L90)</f>
        <v/>
      </c>
      <c r="N91" s="160">
        <f>IF('Datos_fuente'!L91="","",LN('Datos_fuente'!L91))</f>
        <v/>
      </c>
      <c r="O91" s="160">
        <f>IF(OR(N91="",N90=""),"",N91-N90)</f>
        <v/>
      </c>
      <c r="P91" s="162">
        <f>'Datos_fuente'!M91</f>
        <v/>
      </c>
      <c r="Q91" s="160">
        <f>IF('Datos_fuente'!N91="","",LN('Datos_fuente'!N91))</f>
        <v/>
      </c>
      <c r="R91" s="160">
        <f>IF(OR(Q91="",Q90=""),"",Q91-Q90)</f>
        <v/>
      </c>
      <c r="S91" s="161">
        <f>'Datos_fuente'!P91</f>
        <v/>
      </c>
      <c r="T91" s="161">
        <f>IF(OR(S91="",S90=""),"",S91-S90)</f>
        <v/>
      </c>
      <c r="U91" s="160">
        <f>IF('Datos_fuente'!Q91="","",ASINH('Datos_fuente'!Q91/1000))</f>
        <v/>
      </c>
      <c r="V91" s="160">
        <f>IF(OR(U91="",U90=""),"",U91-U90)</f>
        <v/>
      </c>
      <c r="W91" s="160">
        <f>IF('Datos_fuente'!R91="","",ASINH('Datos_fuente'!R91/1000))</f>
        <v/>
      </c>
      <c r="X91" s="160">
        <f>IF(OR(W91="",W90=""),"",W91-W90)</f>
        <v/>
      </c>
      <c r="Y91" s="161">
        <f>'Datos_fuente'!W91</f>
        <v/>
      </c>
      <c r="Z91" s="161">
        <f>IF(OR(Y91="",Y90=""),"",Y91-Y90)</f>
        <v/>
      </c>
      <c r="AA91" s="160">
        <f>'Datos_fuente'!AB91</f>
        <v/>
      </c>
      <c r="AB91" s="160">
        <f>'Datos_fuente'!AC91</f>
        <v/>
      </c>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f>'Datos_fuente'!A92</f>
        <v/>
      </c>
      <c r="B92" s="160">
        <f>IF('Datos_fuente'!B92="","",LN('Datos_fuente'!B92))</f>
        <v/>
      </c>
      <c r="C92" s="160">
        <f>IF(OR(B92="",B91=""),"",B92-B91)</f>
        <v/>
      </c>
      <c r="D92" s="160">
        <f>IF('Datos_fuente'!C92="","",LN('Datos_fuente'!C92))</f>
        <v/>
      </c>
      <c r="E92" s="160">
        <f>IF(OR(D92="",D91=""),"",D92-D91)</f>
        <v/>
      </c>
      <c r="F92" s="160">
        <f>IF('Datos_fuente'!E92="","",LN('Datos_fuente'!E92))</f>
        <v/>
      </c>
      <c r="G92" s="160">
        <f>IF(OR(F92="",F91=""),"",F92-F91)</f>
        <v/>
      </c>
      <c r="H92" s="161">
        <f>'Datos_fuente'!H92</f>
        <v/>
      </c>
      <c r="I92" s="161">
        <f>IF(OR(H92="",H91=""),"",H92-H91)</f>
        <v/>
      </c>
      <c r="J92" s="161">
        <f>'Datos_fuente'!J92</f>
        <v/>
      </c>
      <c r="K92" s="161">
        <f>IF(OR(J92="",J91=""),"",J92-J91)</f>
        <v/>
      </c>
      <c r="L92" s="160">
        <f>IF('Datos_fuente'!K92="","",LN('Datos_fuente'!K92))</f>
        <v/>
      </c>
      <c r="M92" s="160">
        <f>IF(OR(L92="",L91=""),"",L92-L91)</f>
        <v/>
      </c>
      <c r="N92" s="160">
        <f>IF('Datos_fuente'!L92="","",LN('Datos_fuente'!L92))</f>
        <v/>
      </c>
      <c r="O92" s="160">
        <f>IF(OR(N92="",N91=""),"",N92-N91)</f>
        <v/>
      </c>
      <c r="P92" s="162">
        <f>'Datos_fuente'!M92</f>
        <v/>
      </c>
      <c r="Q92" s="160">
        <f>IF('Datos_fuente'!N92="","",LN('Datos_fuente'!N92))</f>
        <v/>
      </c>
      <c r="R92" s="160">
        <f>IF(OR(Q92="",Q91=""),"",Q92-Q91)</f>
        <v/>
      </c>
      <c r="S92" s="161">
        <f>'Datos_fuente'!P92</f>
        <v/>
      </c>
      <c r="T92" s="161">
        <f>IF(OR(S92="",S91=""),"",S92-S91)</f>
        <v/>
      </c>
      <c r="U92" s="160">
        <f>IF('Datos_fuente'!Q92="","",ASINH('Datos_fuente'!Q92/1000))</f>
        <v/>
      </c>
      <c r="V92" s="160">
        <f>IF(OR(U92="",U91=""),"",U92-U91)</f>
        <v/>
      </c>
      <c r="W92" s="160">
        <f>IF('Datos_fuente'!R92="","",ASINH('Datos_fuente'!R92/1000))</f>
        <v/>
      </c>
      <c r="X92" s="160">
        <f>IF(OR(W92="",W91=""),"",W92-W91)</f>
        <v/>
      </c>
      <c r="Y92" s="161">
        <f>'Datos_fuente'!W92</f>
        <v/>
      </c>
      <c r="Z92" s="161">
        <f>IF(OR(Y92="",Y91=""),"",Y92-Y91)</f>
        <v/>
      </c>
      <c r="AA92" s="160">
        <f>'Datos_fuente'!AB92</f>
        <v/>
      </c>
      <c r="AB92" s="160">
        <f>'Datos_fuente'!AC92</f>
        <v/>
      </c>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f>'Datos_fuente'!A93</f>
        <v/>
      </c>
      <c r="B93" s="160">
        <f>IF('Datos_fuente'!B93="","",LN('Datos_fuente'!B93))</f>
        <v/>
      </c>
      <c r="C93" s="160">
        <f>IF(OR(B93="",B92=""),"",B93-B92)</f>
        <v/>
      </c>
      <c r="D93" s="160">
        <f>IF('Datos_fuente'!C93="","",LN('Datos_fuente'!C93))</f>
        <v/>
      </c>
      <c r="E93" s="160">
        <f>IF(OR(D93="",D92=""),"",D93-D92)</f>
        <v/>
      </c>
      <c r="F93" s="160">
        <f>IF('Datos_fuente'!E93="","",LN('Datos_fuente'!E93))</f>
        <v/>
      </c>
      <c r="G93" s="160">
        <f>IF(OR(F93="",F92=""),"",F93-F92)</f>
        <v/>
      </c>
      <c r="H93" s="161">
        <f>'Datos_fuente'!H93</f>
        <v/>
      </c>
      <c r="I93" s="161">
        <f>IF(OR(H93="",H92=""),"",H93-H92)</f>
        <v/>
      </c>
      <c r="J93" s="161">
        <f>'Datos_fuente'!J93</f>
        <v/>
      </c>
      <c r="K93" s="161">
        <f>IF(OR(J93="",J92=""),"",J93-J92)</f>
        <v/>
      </c>
      <c r="L93" s="160">
        <f>IF('Datos_fuente'!K93="","",LN('Datos_fuente'!K93))</f>
        <v/>
      </c>
      <c r="M93" s="160">
        <f>IF(OR(L93="",L92=""),"",L93-L92)</f>
        <v/>
      </c>
      <c r="N93" s="160">
        <f>IF('Datos_fuente'!L93="","",LN('Datos_fuente'!L93))</f>
        <v/>
      </c>
      <c r="O93" s="160">
        <f>IF(OR(N93="",N92=""),"",N93-N92)</f>
        <v/>
      </c>
      <c r="P93" s="162">
        <f>'Datos_fuente'!M93</f>
        <v/>
      </c>
      <c r="Q93" s="160">
        <f>IF('Datos_fuente'!N93="","",LN('Datos_fuente'!N93))</f>
        <v/>
      </c>
      <c r="R93" s="160">
        <f>IF(OR(Q93="",Q92=""),"",Q93-Q92)</f>
        <v/>
      </c>
      <c r="S93" s="161">
        <f>'Datos_fuente'!P93</f>
        <v/>
      </c>
      <c r="T93" s="161">
        <f>IF(OR(S93="",S92=""),"",S93-S92)</f>
        <v/>
      </c>
      <c r="U93" s="160">
        <f>IF('Datos_fuente'!Q93="","",ASINH('Datos_fuente'!Q93/1000))</f>
        <v/>
      </c>
      <c r="V93" s="160">
        <f>IF(OR(U93="",U92=""),"",U93-U92)</f>
        <v/>
      </c>
      <c r="W93" s="160">
        <f>IF('Datos_fuente'!R93="","",ASINH('Datos_fuente'!R93/1000))</f>
        <v/>
      </c>
      <c r="X93" s="160">
        <f>IF(OR(W93="",W92=""),"",W93-W92)</f>
        <v/>
      </c>
      <c r="Y93" s="161">
        <f>'Datos_fuente'!W93</f>
        <v/>
      </c>
      <c r="Z93" s="161">
        <f>IF(OR(Y93="",Y92=""),"",Y93-Y92)</f>
        <v/>
      </c>
      <c r="AA93" s="160">
        <f>'Datos_fuente'!AB93</f>
        <v/>
      </c>
      <c r="AB93" s="160">
        <f>'Datos_fuente'!AC93</f>
        <v/>
      </c>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f>'Datos_fuente'!A94</f>
        <v/>
      </c>
      <c r="B94" s="160">
        <f>IF('Datos_fuente'!B94="","",LN('Datos_fuente'!B94))</f>
        <v/>
      </c>
      <c r="C94" s="160">
        <f>IF(OR(B94="",B93=""),"",B94-B93)</f>
        <v/>
      </c>
      <c r="D94" s="160">
        <f>IF('Datos_fuente'!C94="","",LN('Datos_fuente'!C94))</f>
        <v/>
      </c>
      <c r="E94" s="160">
        <f>IF(OR(D94="",D93=""),"",D94-D93)</f>
        <v/>
      </c>
      <c r="F94" s="160">
        <f>IF('Datos_fuente'!E94="","",LN('Datos_fuente'!E94))</f>
        <v/>
      </c>
      <c r="G94" s="160">
        <f>IF(OR(F94="",F93=""),"",F94-F93)</f>
        <v/>
      </c>
      <c r="H94" s="161">
        <f>'Datos_fuente'!H94</f>
        <v/>
      </c>
      <c r="I94" s="161">
        <f>IF(OR(H94="",H93=""),"",H94-H93)</f>
        <v/>
      </c>
      <c r="J94" s="161">
        <f>'Datos_fuente'!J94</f>
        <v/>
      </c>
      <c r="K94" s="161">
        <f>IF(OR(J94="",J93=""),"",J94-J93)</f>
        <v/>
      </c>
      <c r="L94" s="160">
        <f>IF('Datos_fuente'!K94="","",LN('Datos_fuente'!K94))</f>
        <v/>
      </c>
      <c r="M94" s="160">
        <f>IF(OR(L94="",L93=""),"",L94-L93)</f>
        <v/>
      </c>
      <c r="N94" s="160">
        <f>IF('Datos_fuente'!L94="","",LN('Datos_fuente'!L94))</f>
        <v/>
      </c>
      <c r="O94" s="160">
        <f>IF(OR(N94="",N93=""),"",N94-N93)</f>
        <v/>
      </c>
      <c r="P94" s="162">
        <f>'Datos_fuente'!M94</f>
        <v/>
      </c>
      <c r="Q94" s="160">
        <f>IF('Datos_fuente'!N94="","",LN('Datos_fuente'!N94))</f>
        <v/>
      </c>
      <c r="R94" s="160">
        <f>IF(OR(Q94="",Q93=""),"",Q94-Q93)</f>
        <v/>
      </c>
      <c r="S94" s="161">
        <f>'Datos_fuente'!P94</f>
        <v/>
      </c>
      <c r="T94" s="161">
        <f>IF(OR(S94="",S93=""),"",S94-S93)</f>
        <v/>
      </c>
      <c r="U94" s="160">
        <f>IF('Datos_fuente'!Q94="","",ASINH('Datos_fuente'!Q94/1000))</f>
        <v/>
      </c>
      <c r="V94" s="160">
        <f>IF(OR(U94="",U93=""),"",U94-U93)</f>
        <v/>
      </c>
      <c r="W94" s="160">
        <f>IF('Datos_fuente'!R94="","",ASINH('Datos_fuente'!R94/1000))</f>
        <v/>
      </c>
      <c r="X94" s="160">
        <f>IF(OR(W94="",W93=""),"",W94-W93)</f>
        <v/>
      </c>
      <c r="Y94" s="161">
        <f>'Datos_fuente'!W94</f>
        <v/>
      </c>
      <c r="Z94" s="161">
        <f>IF(OR(Y94="",Y93=""),"",Y94-Y93)</f>
        <v/>
      </c>
      <c r="AA94" s="160">
        <f>'Datos_fuente'!AB94</f>
        <v/>
      </c>
      <c r="AB94" s="160">
        <f>'Datos_fuente'!AC94</f>
        <v/>
      </c>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f>'Datos_fuente'!A95</f>
        <v/>
      </c>
      <c r="B95" s="160">
        <f>IF('Datos_fuente'!B95="","",LN('Datos_fuente'!B95))</f>
        <v/>
      </c>
      <c r="C95" s="160">
        <f>IF(OR(B95="",B94=""),"",B95-B94)</f>
        <v/>
      </c>
      <c r="D95" s="160">
        <f>IF('Datos_fuente'!C95="","",LN('Datos_fuente'!C95))</f>
        <v/>
      </c>
      <c r="E95" s="160">
        <f>IF(OR(D95="",D94=""),"",D95-D94)</f>
        <v/>
      </c>
      <c r="F95" s="160">
        <f>IF('Datos_fuente'!E95="","",LN('Datos_fuente'!E95))</f>
        <v/>
      </c>
      <c r="G95" s="160">
        <f>IF(OR(F95="",F94=""),"",F95-F94)</f>
        <v/>
      </c>
      <c r="H95" s="161">
        <f>'Datos_fuente'!H95</f>
        <v/>
      </c>
      <c r="I95" s="161">
        <f>IF(OR(H95="",H94=""),"",H95-H94)</f>
        <v/>
      </c>
      <c r="J95" s="161">
        <f>'Datos_fuente'!J95</f>
        <v/>
      </c>
      <c r="K95" s="161">
        <f>IF(OR(J95="",J94=""),"",J95-J94)</f>
        <v/>
      </c>
      <c r="L95" s="160">
        <f>IF('Datos_fuente'!K95="","",LN('Datos_fuente'!K95))</f>
        <v/>
      </c>
      <c r="M95" s="160">
        <f>IF(OR(L95="",L94=""),"",L95-L94)</f>
        <v/>
      </c>
      <c r="N95" s="160">
        <f>IF('Datos_fuente'!L95="","",LN('Datos_fuente'!L95))</f>
        <v/>
      </c>
      <c r="O95" s="160">
        <f>IF(OR(N95="",N94=""),"",N95-N94)</f>
        <v/>
      </c>
      <c r="P95" s="162">
        <f>'Datos_fuente'!M95</f>
        <v/>
      </c>
      <c r="Q95" s="160">
        <f>IF('Datos_fuente'!N95="","",LN('Datos_fuente'!N95))</f>
        <v/>
      </c>
      <c r="R95" s="160">
        <f>IF(OR(Q95="",Q94=""),"",Q95-Q94)</f>
        <v/>
      </c>
      <c r="S95" s="161">
        <f>'Datos_fuente'!P95</f>
        <v/>
      </c>
      <c r="T95" s="161">
        <f>IF(OR(S95="",S94=""),"",S95-S94)</f>
        <v/>
      </c>
      <c r="U95" s="160">
        <f>IF('Datos_fuente'!Q95="","",ASINH('Datos_fuente'!Q95/1000))</f>
        <v/>
      </c>
      <c r="V95" s="160">
        <f>IF(OR(U95="",U94=""),"",U95-U94)</f>
        <v/>
      </c>
      <c r="W95" s="160">
        <f>IF('Datos_fuente'!R95="","",ASINH('Datos_fuente'!R95/1000))</f>
        <v/>
      </c>
      <c r="X95" s="160">
        <f>IF(OR(W95="",W94=""),"",W95-W94)</f>
        <v/>
      </c>
      <c r="Y95" s="161">
        <f>'Datos_fuente'!W95</f>
        <v/>
      </c>
      <c r="Z95" s="161">
        <f>IF(OR(Y95="",Y94=""),"",Y95-Y94)</f>
        <v/>
      </c>
      <c r="AA95" s="160">
        <f>'Datos_fuente'!AB95</f>
        <v/>
      </c>
      <c r="AB95" s="160">
        <f>'Datos_fuente'!AC95</f>
        <v/>
      </c>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f>'Datos_fuente'!A96</f>
        <v/>
      </c>
      <c r="B96" s="160">
        <f>IF('Datos_fuente'!B96="","",LN('Datos_fuente'!B96))</f>
        <v/>
      </c>
      <c r="C96" s="160">
        <f>IF(OR(B96="",B95=""),"",B96-B95)</f>
        <v/>
      </c>
      <c r="D96" s="160">
        <f>IF('Datos_fuente'!C96="","",LN('Datos_fuente'!C96))</f>
        <v/>
      </c>
      <c r="E96" s="160">
        <f>IF(OR(D96="",D95=""),"",D96-D95)</f>
        <v/>
      </c>
      <c r="F96" s="160">
        <f>IF('Datos_fuente'!E96="","",LN('Datos_fuente'!E96))</f>
        <v/>
      </c>
      <c r="G96" s="160">
        <f>IF(OR(F96="",F95=""),"",F96-F95)</f>
        <v/>
      </c>
      <c r="H96" s="161">
        <f>'Datos_fuente'!H96</f>
        <v/>
      </c>
      <c r="I96" s="161">
        <f>IF(OR(H96="",H95=""),"",H96-H95)</f>
        <v/>
      </c>
      <c r="J96" s="161">
        <f>'Datos_fuente'!J96</f>
        <v/>
      </c>
      <c r="K96" s="161">
        <f>IF(OR(J96="",J95=""),"",J96-J95)</f>
        <v/>
      </c>
      <c r="L96" s="160">
        <f>IF('Datos_fuente'!K96="","",LN('Datos_fuente'!K96))</f>
        <v/>
      </c>
      <c r="M96" s="160">
        <f>IF(OR(L96="",L95=""),"",L96-L95)</f>
        <v/>
      </c>
      <c r="N96" s="160">
        <f>IF('Datos_fuente'!L96="","",LN('Datos_fuente'!L96))</f>
        <v/>
      </c>
      <c r="O96" s="160">
        <f>IF(OR(N96="",N95=""),"",N96-N95)</f>
        <v/>
      </c>
      <c r="P96" s="162">
        <f>'Datos_fuente'!M96</f>
        <v/>
      </c>
      <c r="Q96" s="160">
        <f>IF('Datos_fuente'!N96="","",LN('Datos_fuente'!N96))</f>
        <v/>
      </c>
      <c r="R96" s="160">
        <f>IF(OR(Q96="",Q95=""),"",Q96-Q95)</f>
        <v/>
      </c>
      <c r="S96" s="161">
        <f>'Datos_fuente'!P96</f>
        <v/>
      </c>
      <c r="T96" s="161">
        <f>IF(OR(S96="",S95=""),"",S96-S95)</f>
        <v/>
      </c>
      <c r="U96" s="160">
        <f>IF('Datos_fuente'!Q96="","",ASINH('Datos_fuente'!Q96/1000))</f>
        <v/>
      </c>
      <c r="V96" s="160">
        <f>IF(OR(U96="",U95=""),"",U96-U95)</f>
        <v/>
      </c>
      <c r="W96" s="160">
        <f>IF('Datos_fuente'!R96="","",ASINH('Datos_fuente'!R96/1000))</f>
        <v/>
      </c>
      <c r="X96" s="160">
        <f>IF(OR(W96="",W95=""),"",W96-W95)</f>
        <v/>
      </c>
      <c r="Y96" s="161">
        <f>'Datos_fuente'!W96</f>
        <v/>
      </c>
      <c r="Z96" s="161">
        <f>IF(OR(Y96="",Y95=""),"",Y96-Y95)</f>
        <v/>
      </c>
      <c r="AA96" s="160">
        <f>'Datos_fuente'!AB96</f>
        <v/>
      </c>
      <c r="AB96" s="160">
        <f>'Datos_fuente'!AC96</f>
        <v/>
      </c>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f>'Datos_fuente'!A97</f>
        <v/>
      </c>
      <c r="B97" s="160">
        <f>IF('Datos_fuente'!B97="","",LN('Datos_fuente'!B97))</f>
        <v/>
      </c>
      <c r="C97" s="160">
        <f>IF(OR(B97="",B96=""),"",B97-B96)</f>
        <v/>
      </c>
      <c r="D97" s="160">
        <f>IF('Datos_fuente'!C97="","",LN('Datos_fuente'!C97))</f>
        <v/>
      </c>
      <c r="E97" s="160">
        <f>IF(OR(D97="",D96=""),"",D97-D96)</f>
        <v/>
      </c>
      <c r="F97" s="160">
        <f>IF('Datos_fuente'!E97="","",LN('Datos_fuente'!E97))</f>
        <v/>
      </c>
      <c r="G97" s="160">
        <f>IF(OR(F97="",F96=""),"",F97-F96)</f>
        <v/>
      </c>
      <c r="H97" s="161">
        <f>'Datos_fuente'!H97</f>
        <v/>
      </c>
      <c r="I97" s="161">
        <f>IF(OR(H97="",H96=""),"",H97-H96)</f>
        <v/>
      </c>
      <c r="J97" s="161">
        <f>'Datos_fuente'!J97</f>
        <v/>
      </c>
      <c r="K97" s="161">
        <f>IF(OR(J97="",J96=""),"",J97-J96)</f>
        <v/>
      </c>
      <c r="L97" s="160">
        <f>IF('Datos_fuente'!K97="","",LN('Datos_fuente'!K97))</f>
        <v/>
      </c>
      <c r="M97" s="160">
        <f>IF(OR(L97="",L96=""),"",L97-L96)</f>
        <v/>
      </c>
      <c r="N97" s="160">
        <f>IF('Datos_fuente'!L97="","",LN('Datos_fuente'!L97))</f>
        <v/>
      </c>
      <c r="O97" s="160">
        <f>IF(OR(N97="",N96=""),"",N97-N96)</f>
        <v/>
      </c>
      <c r="P97" s="162">
        <f>'Datos_fuente'!M97</f>
        <v/>
      </c>
      <c r="Q97" s="160">
        <f>IF('Datos_fuente'!N97="","",LN('Datos_fuente'!N97))</f>
        <v/>
      </c>
      <c r="R97" s="160">
        <f>IF(OR(Q97="",Q96=""),"",Q97-Q96)</f>
        <v/>
      </c>
      <c r="S97" s="161">
        <f>'Datos_fuente'!P97</f>
        <v/>
      </c>
      <c r="T97" s="161">
        <f>IF(OR(S97="",S96=""),"",S97-S96)</f>
        <v/>
      </c>
      <c r="U97" s="160">
        <f>IF('Datos_fuente'!Q97="","",ASINH('Datos_fuente'!Q97/1000))</f>
        <v/>
      </c>
      <c r="V97" s="160">
        <f>IF(OR(U97="",U96=""),"",U97-U96)</f>
        <v/>
      </c>
      <c r="W97" s="160">
        <f>IF('Datos_fuente'!R97="","",ASINH('Datos_fuente'!R97/1000))</f>
        <v/>
      </c>
      <c r="X97" s="160">
        <f>IF(OR(W97="",W96=""),"",W97-W96)</f>
        <v/>
      </c>
      <c r="Y97" s="161">
        <f>'Datos_fuente'!W97</f>
        <v/>
      </c>
      <c r="Z97" s="161">
        <f>IF(OR(Y97="",Y96=""),"",Y97-Y96)</f>
        <v/>
      </c>
      <c r="AA97" s="160">
        <f>'Datos_fuente'!AB97</f>
        <v/>
      </c>
      <c r="AB97" s="160">
        <f>'Datos_fuente'!AC97</f>
        <v/>
      </c>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f>'Datos_fuente'!A98</f>
        <v/>
      </c>
      <c r="B98" s="160">
        <f>IF('Datos_fuente'!B98="","",LN('Datos_fuente'!B98))</f>
        <v/>
      </c>
      <c r="C98" s="160">
        <f>IF(OR(B98="",B97=""),"",B98-B97)</f>
        <v/>
      </c>
      <c r="D98" s="160">
        <f>IF('Datos_fuente'!C98="","",LN('Datos_fuente'!C98))</f>
        <v/>
      </c>
      <c r="E98" s="160">
        <f>IF(OR(D98="",D97=""),"",D98-D97)</f>
        <v/>
      </c>
      <c r="F98" s="160">
        <f>IF('Datos_fuente'!E98="","",LN('Datos_fuente'!E98))</f>
        <v/>
      </c>
      <c r="G98" s="160">
        <f>IF(OR(F98="",F97=""),"",F98-F97)</f>
        <v/>
      </c>
      <c r="H98" s="161">
        <f>'Datos_fuente'!H98</f>
        <v/>
      </c>
      <c r="I98" s="161">
        <f>IF(OR(H98="",H97=""),"",H98-H97)</f>
        <v/>
      </c>
      <c r="J98" s="161">
        <f>'Datos_fuente'!J98</f>
        <v/>
      </c>
      <c r="K98" s="161">
        <f>IF(OR(J98="",J97=""),"",J98-J97)</f>
        <v/>
      </c>
      <c r="L98" s="160">
        <f>IF('Datos_fuente'!K98="","",LN('Datos_fuente'!K98))</f>
        <v/>
      </c>
      <c r="M98" s="160">
        <f>IF(OR(L98="",L97=""),"",L98-L97)</f>
        <v/>
      </c>
      <c r="N98" s="160">
        <f>IF('Datos_fuente'!L98="","",LN('Datos_fuente'!L98))</f>
        <v/>
      </c>
      <c r="O98" s="160">
        <f>IF(OR(N98="",N97=""),"",N98-N97)</f>
        <v/>
      </c>
      <c r="P98" s="162">
        <f>'Datos_fuente'!M98</f>
        <v/>
      </c>
      <c r="Q98" s="160">
        <f>IF('Datos_fuente'!N98="","",LN('Datos_fuente'!N98))</f>
        <v/>
      </c>
      <c r="R98" s="160">
        <f>IF(OR(Q98="",Q97=""),"",Q98-Q97)</f>
        <v/>
      </c>
      <c r="S98" s="161">
        <f>'Datos_fuente'!P98</f>
        <v/>
      </c>
      <c r="T98" s="161">
        <f>IF(OR(S98="",S97=""),"",S98-S97)</f>
        <v/>
      </c>
      <c r="U98" s="160">
        <f>IF('Datos_fuente'!Q98="","",ASINH('Datos_fuente'!Q98/1000))</f>
        <v/>
      </c>
      <c r="V98" s="160">
        <f>IF(OR(U98="",U97=""),"",U98-U97)</f>
        <v/>
      </c>
      <c r="W98" s="160">
        <f>IF('Datos_fuente'!R98="","",ASINH('Datos_fuente'!R98/1000))</f>
        <v/>
      </c>
      <c r="X98" s="160">
        <f>IF(OR(W98="",W97=""),"",W98-W97)</f>
        <v/>
      </c>
      <c r="Y98" s="161">
        <f>'Datos_fuente'!W98</f>
        <v/>
      </c>
      <c r="Z98" s="161">
        <f>IF(OR(Y98="",Y97=""),"",Y98-Y97)</f>
        <v/>
      </c>
      <c r="AA98" s="160">
        <f>'Datos_fuente'!AB98</f>
        <v/>
      </c>
      <c r="AB98" s="160">
        <f>'Datos_fuente'!AC98</f>
        <v/>
      </c>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f>'Datos_fuente'!A99</f>
        <v/>
      </c>
      <c r="B99" s="160">
        <f>IF('Datos_fuente'!B99="","",LN('Datos_fuente'!B99))</f>
        <v/>
      </c>
      <c r="C99" s="160">
        <f>IF(OR(B99="",B98=""),"",B99-B98)</f>
        <v/>
      </c>
      <c r="D99" s="160">
        <f>IF('Datos_fuente'!C99="","",LN('Datos_fuente'!C99))</f>
        <v/>
      </c>
      <c r="E99" s="160">
        <f>IF(OR(D99="",D98=""),"",D99-D98)</f>
        <v/>
      </c>
      <c r="F99" s="160">
        <f>IF('Datos_fuente'!E99="","",LN('Datos_fuente'!E99))</f>
        <v/>
      </c>
      <c r="G99" s="160">
        <f>IF(OR(F99="",F98=""),"",F99-F98)</f>
        <v/>
      </c>
      <c r="H99" s="161">
        <f>'Datos_fuente'!H99</f>
        <v/>
      </c>
      <c r="I99" s="161">
        <f>IF(OR(H99="",H98=""),"",H99-H98)</f>
        <v/>
      </c>
      <c r="J99" s="161">
        <f>'Datos_fuente'!J99</f>
        <v/>
      </c>
      <c r="K99" s="161">
        <f>IF(OR(J99="",J98=""),"",J99-J98)</f>
        <v/>
      </c>
      <c r="L99" s="160">
        <f>IF('Datos_fuente'!K99="","",LN('Datos_fuente'!K99))</f>
        <v/>
      </c>
      <c r="M99" s="160">
        <f>IF(OR(L99="",L98=""),"",L99-L98)</f>
        <v/>
      </c>
      <c r="N99" s="160">
        <f>IF('Datos_fuente'!L99="","",LN('Datos_fuente'!L99))</f>
        <v/>
      </c>
      <c r="O99" s="160">
        <f>IF(OR(N99="",N98=""),"",N99-N98)</f>
        <v/>
      </c>
      <c r="P99" s="162">
        <f>'Datos_fuente'!M99</f>
        <v/>
      </c>
      <c r="Q99" s="160">
        <f>IF('Datos_fuente'!N99="","",LN('Datos_fuente'!N99))</f>
        <v/>
      </c>
      <c r="R99" s="160">
        <f>IF(OR(Q99="",Q98=""),"",Q99-Q98)</f>
        <v/>
      </c>
      <c r="S99" s="161">
        <f>'Datos_fuente'!P99</f>
        <v/>
      </c>
      <c r="T99" s="161">
        <f>IF(OR(S99="",S98=""),"",S99-S98)</f>
        <v/>
      </c>
      <c r="U99" s="160">
        <f>IF('Datos_fuente'!Q99="","",ASINH('Datos_fuente'!Q99/1000))</f>
        <v/>
      </c>
      <c r="V99" s="160">
        <f>IF(OR(U99="",U98=""),"",U99-U98)</f>
        <v/>
      </c>
      <c r="W99" s="160">
        <f>IF('Datos_fuente'!R99="","",ASINH('Datos_fuente'!R99/1000))</f>
        <v/>
      </c>
      <c r="X99" s="160">
        <f>IF(OR(W99="",W98=""),"",W99-W98)</f>
        <v/>
      </c>
      <c r="Y99" s="161">
        <f>'Datos_fuente'!W99</f>
        <v/>
      </c>
      <c r="Z99" s="161">
        <f>IF(OR(Y99="",Y98=""),"",Y99-Y98)</f>
        <v/>
      </c>
      <c r="AA99" s="160">
        <f>'Datos_fuente'!AB99</f>
        <v/>
      </c>
      <c r="AB99" s="160">
        <f>'Datos_fuente'!AC99</f>
        <v/>
      </c>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f>'Datos_fuente'!A100</f>
        <v/>
      </c>
      <c r="B100" s="160">
        <f>IF('Datos_fuente'!B100="","",LN('Datos_fuente'!B100))</f>
        <v/>
      </c>
      <c r="C100" s="160">
        <f>IF(OR(B100="",B99=""),"",B100-B99)</f>
        <v/>
      </c>
      <c r="D100" s="160">
        <f>IF('Datos_fuente'!C100="","",LN('Datos_fuente'!C100))</f>
        <v/>
      </c>
      <c r="E100" s="160">
        <f>IF(OR(D100="",D99=""),"",D100-D99)</f>
        <v/>
      </c>
      <c r="F100" s="160">
        <f>IF('Datos_fuente'!E100="","",LN('Datos_fuente'!E100))</f>
        <v/>
      </c>
      <c r="G100" s="160">
        <f>IF(OR(F100="",F99=""),"",F100-F99)</f>
        <v/>
      </c>
      <c r="H100" s="161">
        <f>'Datos_fuente'!H100</f>
        <v/>
      </c>
      <c r="I100" s="161">
        <f>IF(OR(H100="",H99=""),"",H100-H99)</f>
        <v/>
      </c>
      <c r="J100" s="161">
        <f>'Datos_fuente'!J100</f>
        <v/>
      </c>
      <c r="K100" s="161">
        <f>IF(OR(J100="",J99=""),"",J100-J99)</f>
        <v/>
      </c>
      <c r="L100" s="160">
        <f>IF('Datos_fuente'!K100="","",LN('Datos_fuente'!K100))</f>
        <v/>
      </c>
      <c r="M100" s="160">
        <f>IF(OR(L100="",L99=""),"",L100-L99)</f>
        <v/>
      </c>
      <c r="N100" s="160">
        <f>IF('Datos_fuente'!L100="","",LN('Datos_fuente'!L100))</f>
        <v/>
      </c>
      <c r="O100" s="160">
        <f>IF(OR(N100="",N99=""),"",N100-N99)</f>
        <v/>
      </c>
      <c r="P100" s="162">
        <f>'Datos_fuente'!M100</f>
        <v/>
      </c>
      <c r="Q100" s="160">
        <f>IF('Datos_fuente'!N100="","",LN('Datos_fuente'!N100))</f>
        <v/>
      </c>
      <c r="R100" s="160">
        <f>IF(OR(Q100="",Q99=""),"",Q100-Q99)</f>
        <v/>
      </c>
      <c r="S100" s="161">
        <f>'Datos_fuente'!P100</f>
        <v/>
      </c>
      <c r="T100" s="161">
        <f>IF(OR(S100="",S99=""),"",S100-S99)</f>
        <v/>
      </c>
      <c r="U100" s="160">
        <f>IF('Datos_fuente'!Q100="","",ASINH('Datos_fuente'!Q100/1000))</f>
        <v/>
      </c>
      <c r="V100" s="160">
        <f>IF(OR(U100="",U99=""),"",U100-U99)</f>
        <v/>
      </c>
      <c r="W100" s="160">
        <f>IF('Datos_fuente'!R100="","",ASINH('Datos_fuente'!R100/1000))</f>
        <v/>
      </c>
      <c r="X100" s="160">
        <f>IF(OR(W100="",W99=""),"",W100-W99)</f>
        <v/>
      </c>
      <c r="Y100" s="161">
        <f>'Datos_fuente'!W100</f>
        <v/>
      </c>
      <c r="Z100" s="161">
        <f>IF(OR(Y100="",Y99=""),"",Y100-Y99)</f>
        <v/>
      </c>
      <c r="AA100" s="160">
        <f>'Datos_fuente'!AB100</f>
        <v/>
      </c>
      <c r="AB100" s="160">
        <f>'Datos_fuente'!AC100</f>
        <v/>
      </c>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f>'Datos_fuente'!A101</f>
        <v/>
      </c>
      <c r="B101" s="160">
        <f>IF('Datos_fuente'!B101="","",LN('Datos_fuente'!B101))</f>
        <v/>
      </c>
      <c r="C101" s="160">
        <f>IF(OR(B101="",B100=""),"",B101-B100)</f>
        <v/>
      </c>
      <c r="D101" s="160">
        <f>IF('Datos_fuente'!C101="","",LN('Datos_fuente'!C101))</f>
        <v/>
      </c>
      <c r="E101" s="160">
        <f>IF(OR(D101="",D100=""),"",D101-D100)</f>
        <v/>
      </c>
      <c r="F101" s="160">
        <f>IF('Datos_fuente'!E101="","",LN('Datos_fuente'!E101))</f>
        <v/>
      </c>
      <c r="G101" s="160">
        <f>IF(OR(F101="",F100=""),"",F101-F100)</f>
        <v/>
      </c>
      <c r="H101" s="161">
        <f>'Datos_fuente'!H101</f>
        <v/>
      </c>
      <c r="I101" s="161">
        <f>IF(OR(H101="",H100=""),"",H101-H100)</f>
        <v/>
      </c>
      <c r="J101" s="161">
        <f>'Datos_fuente'!J101</f>
        <v/>
      </c>
      <c r="K101" s="161">
        <f>IF(OR(J101="",J100=""),"",J101-J100)</f>
        <v/>
      </c>
      <c r="L101" s="160">
        <f>IF('Datos_fuente'!K101="","",LN('Datos_fuente'!K101))</f>
        <v/>
      </c>
      <c r="M101" s="160">
        <f>IF(OR(L101="",L100=""),"",L101-L100)</f>
        <v/>
      </c>
      <c r="N101" s="160">
        <f>IF('Datos_fuente'!L101="","",LN('Datos_fuente'!L101))</f>
        <v/>
      </c>
      <c r="O101" s="160">
        <f>IF(OR(N101="",N100=""),"",N101-N100)</f>
        <v/>
      </c>
      <c r="P101" s="162">
        <f>'Datos_fuente'!M101</f>
        <v/>
      </c>
      <c r="Q101" s="160">
        <f>IF('Datos_fuente'!N101="","",LN('Datos_fuente'!N101))</f>
        <v/>
      </c>
      <c r="R101" s="160">
        <f>IF(OR(Q101="",Q100=""),"",Q101-Q100)</f>
        <v/>
      </c>
      <c r="S101" s="161">
        <f>'Datos_fuente'!P101</f>
        <v/>
      </c>
      <c r="T101" s="161">
        <f>IF(OR(S101="",S100=""),"",S101-S100)</f>
        <v/>
      </c>
      <c r="U101" s="160">
        <f>IF('Datos_fuente'!Q101="","",ASINH('Datos_fuente'!Q101/1000))</f>
        <v/>
      </c>
      <c r="V101" s="160">
        <f>IF(OR(U101="",U100=""),"",U101-U100)</f>
        <v/>
      </c>
      <c r="W101" s="160">
        <f>IF('Datos_fuente'!R101="","",ASINH('Datos_fuente'!R101/1000))</f>
        <v/>
      </c>
      <c r="X101" s="160">
        <f>IF(OR(W101="",W100=""),"",W101-W100)</f>
        <v/>
      </c>
      <c r="Y101" s="161">
        <f>'Datos_fuente'!W101</f>
        <v/>
      </c>
      <c r="Z101" s="161">
        <f>IF(OR(Y101="",Y100=""),"",Y101-Y100)</f>
        <v/>
      </c>
      <c r="AA101" s="160">
        <f>'Datos_fuente'!AB101</f>
        <v/>
      </c>
      <c r="AB101" s="160">
        <f>'Datos_fuente'!AC101</f>
        <v/>
      </c>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f>'Datos_fuente'!A102</f>
        <v/>
      </c>
      <c r="B102" s="160">
        <f>IF('Datos_fuente'!B102="","",LN('Datos_fuente'!B102))</f>
        <v/>
      </c>
      <c r="C102" s="160">
        <f>IF(OR(B102="",B101=""),"",B102-B101)</f>
        <v/>
      </c>
      <c r="D102" s="160">
        <f>IF('Datos_fuente'!C102="","",LN('Datos_fuente'!C102))</f>
        <v/>
      </c>
      <c r="E102" s="160">
        <f>IF(OR(D102="",D101=""),"",D102-D101)</f>
        <v/>
      </c>
      <c r="F102" s="160">
        <f>IF('Datos_fuente'!E102="","",LN('Datos_fuente'!E102))</f>
        <v/>
      </c>
      <c r="G102" s="160">
        <f>IF(OR(F102="",F101=""),"",F102-F101)</f>
        <v/>
      </c>
      <c r="H102" s="161">
        <f>'Datos_fuente'!H102</f>
        <v/>
      </c>
      <c r="I102" s="161">
        <f>IF(OR(H102="",H101=""),"",H102-H101)</f>
        <v/>
      </c>
      <c r="J102" s="161">
        <f>'Datos_fuente'!J102</f>
        <v/>
      </c>
      <c r="K102" s="161">
        <f>IF(OR(J102="",J101=""),"",J102-J101)</f>
        <v/>
      </c>
      <c r="L102" s="160">
        <f>IF('Datos_fuente'!K102="","",LN('Datos_fuente'!K102))</f>
        <v/>
      </c>
      <c r="M102" s="160">
        <f>IF(OR(L102="",L101=""),"",L102-L101)</f>
        <v/>
      </c>
      <c r="N102" s="160">
        <f>IF('Datos_fuente'!L102="","",LN('Datos_fuente'!L102))</f>
        <v/>
      </c>
      <c r="O102" s="160">
        <f>IF(OR(N102="",N101=""),"",N102-N101)</f>
        <v/>
      </c>
      <c r="P102" s="162">
        <f>'Datos_fuente'!M102</f>
        <v/>
      </c>
      <c r="Q102" s="160">
        <f>IF('Datos_fuente'!N102="","",LN('Datos_fuente'!N102))</f>
        <v/>
      </c>
      <c r="R102" s="160">
        <f>IF(OR(Q102="",Q101=""),"",Q102-Q101)</f>
        <v/>
      </c>
      <c r="S102" s="161">
        <f>'Datos_fuente'!P102</f>
        <v/>
      </c>
      <c r="T102" s="161">
        <f>IF(OR(S102="",S101=""),"",S102-S101)</f>
        <v/>
      </c>
      <c r="U102" s="160">
        <f>IF('Datos_fuente'!Q102="","",ASINH('Datos_fuente'!Q102/1000))</f>
        <v/>
      </c>
      <c r="V102" s="160">
        <f>IF(OR(U102="",U101=""),"",U102-U101)</f>
        <v/>
      </c>
      <c r="W102" s="160">
        <f>IF('Datos_fuente'!R102="","",ASINH('Datos_fuente'!R102/1000))</f>
        <v/>
      </c>
      <c r="X102" s="160">
        <f>IF(OR(W102="",W101=""),"",W102-W101)</f>
        <v/>
      </c>
      <c r="Y102" s="161">
        <f>'Datos_fuente'!W102</f>
        <v/>
      </c>
      <c r="Z102" s="161">
        <f>IF(OR(Y102="",Y101=""),"",Y102-Y101)</f>
        <v/>
      </c>
      <c r="AA102" s="160">
        <f>'Datos_fuente'!AB102</f>
        <v/>
      </c>
      <c r="AB102" s="160">
        <f>'Datos_fuente'!AC102</f>
        <v/>
      </c>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f>'Datos_fuente'!A103</f>
        <v/>
      </c>
      <c r="B103" s="160">
        <f>IF('Datos_fuente'!B103="","",LN('Datos_fuente'!B103))</f>
        <v/>
      </c>
      <c r="C103" s="160">
        <f>IF(OR(B103="",B102=""),"",B103-B102)</f>
        <v/>
      </c>
      <c r="D103" s="160">
        <f>IF('Datos_fuente'!C103="","",LN('Datos_fuente'!C103))</f>
        <v/>
      </c>
      <c r="E103" s="160">
        <f>IF(OR(D103="",D102=""),"",D103-D102)</f>
        <v/>
      </c>
      <c r="F103" s="160">
        <f>IF('Datos_fuente'!E103="","",LN('Datos_fuente'!E103))</f>
        <v/>
      </c>
      <c r="G103" s="160">
        <f>IF(OR(F103="",F102=""),"",F103-F102)</f>
        <v/>
      </c>
      <c r="H103" s="161">
        <f>'Datos_fuente'!H103</f>
        <v/>
      </c>
      <c r="I103" s="161">
        <f>IF(OR(H103="",H102=""),"",H103-H102)</f>
        <v/>
      </c>
      <c r="J103" s="161">
        <f>'Datos_fuente'!J103</f>
        <v/>
      </c>
      <c r="K103" s="161">
        <f>IF(OR(J103="",J102=""),"",J103-J102)</f>
        <v/>
      </c>
      <c r="L103" s="160">
        <f>IF('Datos_fuente'!K103="","",LN('Datos_fuente'!K103))</f>
        <v/>
      </c>
      <c r="M103" s="160">
        <f>IF(OR(L103="",L102=""),"",L103-L102)</f>
        <v/>
      </c>
      <c r="N103" s="160">
        <f>IF('Datos_fuente'!L103="","",LN('Datos_fuente'!L103))</f>
        <v/>
      </c>
      <c r="O103" s="160">
        <f>IF(OR(N103="",N102=""),"",N103-N102)</f>
        <v/>
      </c>
      <c r="P103" s="162">
        <f>'Datos_fuente'!M103</f>
        <v/>
      </c>
      <c r="Q103" s="160">
        <f>IF('Datos_fuente'!N103="","",LN('Datos_fuente'!N103))</f>
        <v/>
      </c>
      <c r="R103" s="160">
        <f>IF(OR(Q103="",Q102=""),"",Q103-Q102)</f>
        <v/>
      </c>
      <c r="S103" s="161">
        <f>'Datos_fuente'!P103</f>
        <v/>
      </c>
      <c r="T103" s="161">
        <f>IF(OR(S103="",S102=""),"",S103-S102)</f>
        <v/>
      </c>
      <c r="U103" s="160">
        <f>IF('Datos_fuente'!Q103="","",ASINH('Datos_fuente'!Q103/1000))</f>
        <v/>
      </c>
      <c r="V103" s="160">
        <f>IF(OR(U103="",U102=""),"",U103-U102)</f>
        <v/>
      </c>
      <c r="W103" s="160">
        <f>IF('Datos_fuente'!R103="","",ASINH('Datos_fuente'!R103/1000))</f>
        <v/>
      </c>
      <c r="X103" s="160">
        <f>IF(OR(W103="",W102=""),"",W103-W102)</f>
        <v/>
      </c>
      <c r="Y103" s="161">
        <f>'Datos_fuente'!W103</f>
        <v/>
      </c>
      <c r="Z103" s="161">
        <f>IF(OR(Y103="",Y102=""),"",Y103-Y102)</f>
        <v/>
      </c>
      <c r="AA103" s="160">
        <f>'Datos_fuente'!AB103</f>
        <v/>
      </c>
      <c r="AB103" s="160">
        <f>'Datos_fuente'!AC103</f>
        <v/>
      </c>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f>'Datos_fuente'!A104</f>
        <v/>
      </c>
      <c r="B104" s="160">
        <f>IF('Datos_fuente'!B104="","",LN('Datos_fuente'!B104))</f>
        <v/>
      </c>
      <c r="C104" s="160">
        <f>IF(OR(B104="",B103=""),"",B104-B103)</f>
        <v/>
      </c>
      <c r="D104" s="160">
        <f>IF('Datos_fuente'!C104="","",LN('Datos_fuente'!C104))</f>
        <v/>
      </c>
      <c r="E104" s="160">
        <f>IF(OR(D104="",D103=""),"",D104-D103)</f>
        <v/>
      </c>
      <c r="F104" s="160">
        <f>IF('Datos_fuente'!E104="","",LN('Datos_fuente'!E104))</f>
        <v/>
      </c>
      <c r="G104" s="160">
        <f>IF(OR(F104="",F103=""),"",F104-F103)</f>
        <v/>
      </c>
      <c r="H104" s="161">
        <f>'Datos_fuente'!H104</f>
        <v/>
      </c>
      <c r="I104" s="161">
        <f>IF(OR(H104="",H103=""),"",H104-H103)</f>
        <v/>
      </c>
      <c r="J104" s="161">
        <f>'Datos_fuente'!J104</f>
        <v/>
      </c>
      <c r="K104" s="161">
        <f>IF(OR(J104="",J103=""),"",J104-J103)</f>
        <v/>
      </c>
      <c r="L104" s="160">
        <f>IF('Datos_fuente'!K104="","",LN('Datos_fuente'!K104))</f>
        <v/>
      </c>
      <c r="M104" s="160">
        <f>IF(OR(L104="",L103=""),"",L104-L103)</f>
        <v/>
      </c>
      <c r="N104" s="160">
        <f>IF('Datos_fuente'!L104="","",LN('Datos_fuente'!L104))</f>
        <v/>
      </c>
      <c r="O104" s="160">
        <f>IF(OR(N104="",N103=""),"",N104-N103)</f>
        <v/>
      </c>
      <c r="P104" s="162">
        <f>'Datos_fuente'!M104</f>
        <v/>
      </c>
      <c r="Q104" s="160">
        <f>IF('Datos_fuente'!N104="","",LN('Datos_fuente'!N104))</f>
        <v/>
      </c>
      <c r="R104" s="160">
        <f>IF(OR(Q104="",Q103=""),"",Q104-Q103)</f>
        <v/>
      </c>
      <c r="S104" s="161">
        <f>'Datos_fuente'!P104</f>
        <v/>
      </c>
      <c r="T104" s="161">
        <f>IF(OR(S104="",S103=""),"",S104-S103)</f>
        <v/>
      </c>
      <c r="U104" s="160">
        <f>IF('Datos_fuente'!Q104="","",ASINH('Datos_fuente'!Q104/1000))</f>
        <v/>
      </c>
      <c r="V104" s="160">
        <f>IF(OR(U104="",U103=""),"",U104-U103)</f>
        <v/>
      </c>
      <c r="W104" s="160">
        <f>IF('Datos_fuente'!R104="","",ASINH('Datos_fuente'!R104/1000))</f>
        <v/>
      </c>
      <c r="X104" s="160">
        <f>IF(OR(W104="",W103=""),"",W104-W103)</f>
        <v/>
      </c>
      <c r="Y104" s="161">
        <f>'Datos_fuente'!W104</f>
        <v/>
      </c>
      <c r="Z104" s="161">
        <f>IF(OR(Y104="",Y103=""),"",Y104-Y103)</f>
        <v/>
      </c>
      <c r="AA104" s="160">
        <f>'Datos_fuente'!AB104</f>
        <v/>
      </c>
      <c r="AB104" s="160">
        <f>'Datos_fuente'!AC104</f>
        <v/>
      </c>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f>'Datos_fuente'!A105</f>
        <v/>
      </c>
      <c r="B105" s="160">
        <f>IF('Datos_fuente'!B105="","",LN('Datos_fuente'!B105))</f>
        <v/>
      </c>
      <c r="C105" s="160">
        <f>IF(OR(B105="",B104=""),"",B105-B104)</f>
        <v/>
      </c>
      <c r="D105" s="160">
        <f>IF('Datos_fuente'!C105="","",LN('Datos_fuente'!C105))</f>
        <v/>
      </c>
      <c r="E105" s="160">
        <f>IF(OR(D105="",D104=""),"",D105-D104)</f>
        <v/>
      </c>
      <c r="F105" s="160">
        <f>IF('Datos_fuente'!E105="","",LN('Datos_fuente'!E105))</f>
        <v/>
      </c>
      <c r="G105" s="160">
        <f>IF(OR(F105="",F104=""),"",F105-F104)</f>
        <v/>
      </c>
      <c r="H105" s="161">
        <f>'Datos_fuente'!H105</f>
        <v/>
      </c>
      <c r="I105" s="161">
        <f>IF(OR(H105="",H104=""),"",H105-H104)</f>
        <v/>
      </c>
      <c r="J105" s="161">
        <f>'Datos_fuente'!J105</f>
        <v/>
      </c>
      <c r="K105" s="161">
        <f>IF(OR(J105="",J104=""),"",J105-J104)</f>
        <v/>
      </c>
      <c r="L105" s="160">
        <f>IF('Datos_fuente'!K105="","",LN('Datos_fuente'!K105))</f>
        <v/>
      </c>
      <c r="M105" s="160">
        <f>IF(OR(L105="",L104=""),"",L105-L104)</f>
        <v/>
      </c>
      <c r="N105" s="160">
        <f>IF('Datos_fuente'!L105="","",LN('Datos_fuente'!L105))</f>
        <v/>
      </c>
      <c r="O105" s="160">
        <f>IF(OR(N105="",N104=""),"",N105-N104)</f>
        <v/>
      </c>
      <c r="P105" s="162">
        <f>'Datos_fuente'!M105</f>
        <v/>
      </c>
      <c r="Q105" s="160">
        <f>IF('Datos_fuente'!N105="","",LN('Datos_fuente'!N105))</f>
        <v/>
      </c>
      <c r="R105" s="160">
        <f>IF(OR(Q105="",Q104=""),"",Q105-Q104)</f>
        <v/>
      </c>
      <c r="S105" s="161">
        <f>'Datos_fuente'!P105</f>
        <v/>
      </c>
      <c r="T105" s="161">
        <f>IF(OR(S105="",S104=""),"",S105-S104)</f>
        <v/>
      </c>
      <c r="U105" s="160">
        <f>IF('Datos_fuente'!Q105="","",ASINH('Datos_fuente'!Q105/1000))</f>
        <v/>
      </c>
      <c r="V105" s="160">
        <f>IF(OR(U105="",U104=""),"",U105-U104)</f>
        <v/>
      </c>
      <c r="W105" s="160">
        <f>IF('Datos_fuente'!R105="","",ASINH('Datos_fuente'!R105/1000))</f>
        <v/>
      </c>
      <c r="X105" s="160">
        <f>IF(OR(W105="",W104=""),"",W105-W104)</f>
        <v/>
      </c>
      <c r="Y105" s="161">
        <f>'Datos_fuente'!W105</f>
        <v/>
      </c>
      <c r="Z105" s="161">
        <f>IF(OR(Y105="",Y104=""),"",Y105-Y104)</f>
        <v/>
      </c>
      <c r="AA105" s="160">
        <f>'Datos_fuente'!AB105</f>
        <v/>
      </c>
      <c r="AB105" s="160">
        <f>'Datos_fuente'!AC105</f>
        <v/>
      </c>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f>'Datos_fuente'!A106</f>
        <v/>
      </c>
      <c r="B106" s="160">
        <f>IF('Datos_fuente'!B106="","",LN('Datos_fuente'!B106))</f>
        <v/>
      </c>
      <c r="C106" s="160">
        <f>IF(OR(B106="",B105=""),"",B106-B105)</f>
        <v/>
      </c>
      <c r="D106" s="160">
        <f>IF('Datos_fuente'!C106="","",LN('Datos_fuente'!C106))</f>
        <v/>
      </c>
      <c r="E106" s="160">
        <f>IF(OR(D106="",D105=""),"",D106-D105)</f>
        <v/>
      </c>
      <c r="F106" s="160">
        <f>IF('Datos_fuente'!E106="","",LN('Datos_fuente'!E106))</f>
        <v/>
      </c>
      <c r="G106" s="160">
        <f>IF(OR(F106="",F105=""),"",F106-F105)</f>
        <v/>
      </c>
      <c r="H106" s="161">
        <f>'Datos_fuente'!H106</f>
        <v/>
      </c>
      <c r="I106" s="161">
        <f>IF(OR(H106="",H105=""),"",H106-H105)</f>
        <v/>
      </c>
      <c r="J106" s="161">
        <f>'Datos_fuente'!J106</f>
        <v/>
      </c>
      <c r="K106" s="161">
        <f>IF(OR(J106="",J105=""),"",J106-J105)</f>
        <v/>
      </c>
      <c r="L106" s="160">
        <f>IF('Datos_fuente'!K106="","",LN('Datos_fuente'!K106))</f>
        <v/>
      </c>
      <c r="M106" s="160">
        <f>IF(OR(L106="",L105=""),"",L106-L105)</f>
        <v/>
      </c>
      <c r="N106" s="160">
        <f>IF('Datos_fuente'!L106="","",LN('Datos_fuente'!L106))</f>
        <v/>
      </c>
      <c r="O106" s="160">
        <f>IF(OR(N106="",N105=""),"",N106-N105)</f>
        <v/>
      </c>
      <c r="P106" s="162">
        <f>'Datos_fuente'!M106</f>
        <v/>
      </c>
      <c r="Q106" s="160">
        <f>IF('Datos_fuente'!N106="","",LN('Datos_fuente'!N106))</f>
        <v/>
      </c>
      <c r="R106" s="160">
        <f>IF(OR(Q106="",Q105=""),"",Q106-Q105)</f>
        <v/>
      </c>
      <c r="S106" s="161">
        <f>'Datos_fuente'!P106</f>
        <v/>
      </c>
      <c r="T106" s="161">
        <f>IF(OR(S106="",S105=""),"",S106-S105)</f>
        <v/>
      </c>
      <c r="U106" s="160">
        <f>IF('Datos_fuente'!Q106="","",ASINH('Datos_fuente'!Q106/1000))</f>
        <v/>
      </c>
      <c r="V106" s="160">
        <f>IF(OR(U106="",U105=""),"",U106-U105)</f>
        <v/>
      </c>
      <c r="W106" s="160">
        <f>IF('Datos_fuente'!R106="","",ASINH('Datos_fuente'!R106/1000))</f>
        <v/>
      </c>
      <c r="X106" s="160">
        <f>IF(OR(W106="",W105=""),"",W106-W105)</f>
        <v/>
      </c>
      <c r="Y106" s="161">
        <f>'Datos_fuente'!W106</f>
        <v/>
      </c>
      <c r="Z106" s="161">
        <f>IF(OR(Y106="",Y105=""),"",Y106-Y105)</f>
        <v/>
      </c>
      <c r="AA106" s="160">
        <f>'Datos_fuente'!AB106</f>
        <v/>
      </c>
      <c r="AB106" s="160">
        <f>'Datos_fuente'!AC106</f>
        <v/>
      </c>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f>'Datos_fuente'!A107</f>
        <v/>
      </c>
      <c r="B107" s="160">
        <f>IF('Datos_fuente'!B107="","",LN('Datos_fuente'!B107))</f>
        <v/>
      </c>
      <c r="C107" s="160">
        <f>IF(OR(B107="",B106=""),"",B107-B106)</f>
        <v/>
      </c>
      <c r="D107" s="160">
        <f>IF('Datos_fuente'!C107="","",LN('Datos_fuente'!C107))</f>
        <v/>
      </c>
      <c r="E107" s="160">
        <f>IF(OR(D107="",D106=""),"",D107-D106)</f>
        <v/>
      </c>
      <c r="F107" s="160">
        <f>IF('Datos_fuente'!E107="","",LN('Datos_fuente'!E107))</f>
        <v/>
      </c>
      <c r="G107" s="160">
        <f>IF(OR(F107="",F106=""),"",F107-F106)</f>
        <v/>
      </c>
      <c r="H107" s="161">
        <f>'Datos_fuente'!H107</f>
        <v/>
      </c>
      <c r="I107" s="161">
        <f>IF(OR(H107="",H106=""),"",H107-H106)</f>
        <v/>
      </c>
      <c r="J107" s="161">
        <f>'Datos_fuente'!J107</f>
        <v/>
      </c>
      <c r="K107" s="161">
        <f>IF(OR(J107="",J106=""),"",J107-J106)</f>
        <v/>
      </c>
      <c r="L107" s="160">
        <f>IF('Datos_fuente'!K107="","",LN('Datos_fuente'!K107))</f>
        <v/>
      </c>
      <c r="M107" s="160">
        <f>IF(OR(L107="",L106=""),"",L107-L106)</f>
        <v/>
      </c>
      <c r="N107" s="160">
        <f>IF('Datos_fuente'!L107="","",LN('Datos_fuente'!L107))</f>
        <v/>
      </c>
      <c r="O107" s="160">
        <f>IF(OR(N107="",N106=""),"",N107-N106)</f>
        <v/>
      </c>
      <c r="P107" s="162">
        <f>'Datos_fuente'!M107</f>
        <v/>
      </c>
      <c r="Q107" s="160">
        <f>IF('Datos_fuente'!N107="","",LN('Datos_fuente'!N107))</f>
        <v/>
      </c>
      <c r="R107" s="160">
        <f>IF(OR(Q107="",Q106=""),"",Q107-Q106)</f>
        <v/>
      </c>
      <c r="S107" s="161">
        <f>'Datos_fuente'!P107</f>
        <v/>
      </c>
      <c r="T107" s="161">
        <f>IF(OR(S107="",S106=""),"",S107-S106)</f>
        <v/>
      </c>
      <c r="U107" s="160">
        <f>IF('Datos_fuente'!Q107="","",ASINH('Datos_fuente'!Q107/1000))</f>
        <v/>
      </c>
      <c r="V107" s="160">
        <f>IF(OR(U107="",U106=""),"",U107-U106)</f>
        <v/>
      </c>
      <c r="W107" s="160">
        <f>IF('Datos_fuente'!R107="","",ASINH('Datos_fuente'!R107/1000))</f>
        <v/>
      </c>
      <c r="X107" s="160">
        <f>IF(OR(W107="",W106=""),"",W107-W106)</f>
        <v/>
      </c>
      <c r="Y107" s="161">
        <f>'Datos_fuente'!W107</f>
        <v/>
      </c>
      <c r="Z107" s="161">
        <f>IF(OR(Y107="",Y106=""),"",Y107-Y106)</f>
        <v/>
      </c>
      <c r="AA107" s="160">
        <f>'Datos_fuente'!AB107</f>
        <v/>
      </c>
      <c r="AB107" s="160">
        <f>'Datos_fuente'!AC107</f>
        <v/>
      </c>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f>'Datos_fuente'!A108</f>
        <v/>
      </c>
      <c r="B108" s="160">
        <f>IF('Datos_fuente'!B108="","",LN('Datos_fuente'!B108))</f>
        <v/>
      </c>
      <c r="C108" s="160">
        <f>IF(OR(B108="",B107=""),"",B108-B107)</f>
        <v/>
      </c>
      <c r="D108" s="160">
        <f>IF('Datos_fuente'!C108="","",LN('Datos_fuente'!C108))</f>
        <v/>
      </c>
      <c r="E108" s="160">
        <f>IF(OR(D108="",D107=""),"",D108-D107)</f>
        <v/>
      </c>
      <c r="F108" s="160">
        <f>IF('Datos_fuente'!E108="","",LN('Datos_fuente'!E108))</f>
        <v/>
      </c>
      <c r="G108" s="160">
        <f>IF(OR(F108="",F107=""),"",F108-F107)</f>
        <v/>
      </c>
      <c r="H108" s="161">
        <f>'Datos_fuente'!H108</f>
        <v/>
      </c>
      <c r="I108" s="161">
        <f>IF(OR(H108="",H107=""),"",H108-H107)</f>
        <v/>
      </c>
      <c r="J108" s="161">
        <f>'Datos_fuente'!J108</f>
        <v/>
      </c>
      <c r="K108" s="161">
        <f>IF(OR(J108="",J107=""),"",J108-J107)</f>
        <v/>
      </c>
      <c r="L108" s="160">
        <f>IF('Datos_fuente'!K108="","",LN('Datos_fuente'!K108))</f>
        <v/>
      </c>
      <c r="M108" s="160">
        <f>IF(OR(L108="",L107=""),"",L108-L107)</f>
        <v/>
      </c>
      <c r="N108" s="160">
        <f>IF('Datos_fuente'!L108="","",LN('Datos_fuente'!L108))</f>
        <v/>
      </c>
      <c r="O108" s="160">
        <f>IF(OR(N108="",N107=""),"",N108-N107)</f>
        <v/>
      </c>
      <c r="P108" s="162">
        <f>'Datos_fuente'!M108</f>
        <v/>
      </c>
      <c r="Q108" s="160">
        <f>IF('Datos_fuente'!N108="","",LN('Datos_fuente'!N108))</f>
        <v/>
      </c>
      <c r="R108" s="160">
        <f>IF(OR(Q108="",Q107=""),"",Q108-Q107)</f>
        <v/>
      </c>
      <c r="S108" s="161">
        <f>'Datos_fuente'!P108</f>
        <v/>
      </c>
      <c r="T108" s="161">
        <f>IF(OR(S108="",S107=""),"",S108-S107)</f>
        <v/>
      </c>
      <c r="U108" s="160">
        <f>IF('Datos_fuente'!Q108="","",ASINH('Datos_fuente'!Q108/1000))</f>
        <v/>
      </c>
      <c r="V108" s="160">
        <f>IF(OR(U108="",U107=""),"",U108-U107)</f>
        <v/>
      </c>
      <c r="W108" s="160">
        <f>IF('Datos_fuente'!R108="","",ASINH('Datos_fuente'!R108/1000))</f>
        <v/>
      </c>
      <c r="X108" s="160">
        <f>IF(OR(W108="",W107=""),"",W108-W107)</f>
        <v/>
      </c>
      <c r="Y108" s="161">
        <f>'Datos_fuente'!W108</f>
        <v/>
      </c>
      <c r="Z108" s="161">
        <f>IF(OR(Y108="",Y107=""),"",Y108-Y107)</f>
        <v/>
      </c>
      <c r="AA108" s="160">
        <f>'Datos_fuente'!AB108</f>
        <v/>
      </c>
      <c r="AB108" s="160">
        <f>'Datos_fuente'!AC108</f>
        <v/>
      </c>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f>'Datos_fuente'!A109</f>
        <v/>
      </c>
      <c r="B109" s="160">
        <f>IF('Datos_fuente'!B109="","",LN('Datos_fuente'!B109))</f>
        <v/>
      </c>
      <c r="C109" s="160">
        <f>IF(OR(B109="",B108=""),"",B109-B108)</f>
        <v/>
      </c>
      <c r="D109" s="160">
        <f>IF('Datos_fuente'!C109="","",LN('Datos_fuente'!C109))</f>
        <v/>
      </c>
      <c r="E109" s="160">
        <f>IF(OR(D109="",D108=""),"",D109-D108)</f>
        <v/>
      </c>
      <c r="F109" s="160">
        <f>IF('Datos_fuente'!E109="","",LN('Datos_fuente'!E109))</f>
        <v/>
      </c>
      <c r="G109" s="160">
        <f>IF(OR(F109="",F108=""),"",F109-F108)</f>
        <v/>
      </c>
      <c r="H109" s="161">
        <f>'Datos_fuente'!H109</f>
        <v/>
      </c>
      <c r="I109" s="161">
        <f>IF(OR(H109="",H108=""),"",H109-H108)</f>
        <v/>
      </c>
      <c r="J109" s="161">
        <f>'Datos_fuente'!J109</f>
        <v/>
      </c>
      <c r="K109" s="161">
        <f>IF(OR(J109="",J108=""),"",J109-J108)</f>
        <v/>
      </c>
      <c r="L109" s="160">
        <f>IF('Datos_fuente'!K109="","",LN('Datos_fuente'!K109))</f>
        <v/>
      </c>
      <c r="M109" s="160">
        <f>IF(OR(L109="",L108=""),"",L109-L108)</f>
        <v/>
      </c>
      <c r="N109" s="160">
        <f>IF('Datos_fuente'!L109="","",LN('Datos_fuente'!L109))</f>
        <v/>
      </c>
      <c r="O109" s="160">
        <f>IF(OR(N109="",N108=""),"",N109-N108)</f>
        <v/>
      </c>
      <c r="P109" s="162">
        <f>'Datos_fuente'!M109</f>
        <v/>
      </c>
      <c r="Q109" s="160">
        <f>IF('Datos_fuente'!N109="","",LN('Datos_fuente'!N109))</f>
        <v/>
      </c>
      <c r="R109" s="160">
        <f>IF(OR(Q109="",Q108=""),"",Q109-Q108)</f>
        <v/>
      </c>
      <c r="S109" s="161">
        <f>'Datos_fuente'!P109</f>
        <v/>
      </c>
      <c r="T109" s="161">
        <f>IF(OR(S109="",S108=""),"",S109-S108)</f>
        <v/>
      </c>
      <c r="U109" s="160">
        <f>IF('Datos_fuente'!Q109="","",ASINH('Datos_fuente'!Q109/1000))</f>
        <v/>
      </c>
      <c r="V109" s="160">
        <f>IF(OR(U109="",U108=""),"",U109-U108)</f>
        <v/>
      </c>
      <c r="W109" s="160">
        <f>IF('Datos_fuente'!R109="","",ASINH('Datos_fuente'!R109/1000))</f>
        <v/>
      </c>
      <c r="X109" s="160">
        <f>IF(OR(W109="",W108=""),"",W109-W108)</f>
        <v/>
      </c>
      <c r="Y109" s="161">
        <f>'Datos_fuente'!W109</f>
        <v/>
      </c>
      <c r="Z109" s="161">
        <f>IF(OR(Y109="",Y108=""),"",Y109-Y108)</f>
        <v/>
      </c>
      <c r="AA109" s="160">
        <f>'Datos_fuente'!AB109</f>
        <v/>
      </c>
      <c r="AB109" s="160">
        <f>'Datos_fuente'!AC109</f>
        <v/>
      </c>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f>'Datos_fuente'!A110</f>
        <v/>
      </c>
      <c r="B110" s="160">
        <f>IF('Datos_fuente'!B110="","",LN('Datos_fuente'!B110))</f>
        <v/>
      </c>
      <c r="C110" s="160">
        <f>IF(OR(B110="",B109=""),"",B110-B109)</f>
        <v/>
      </c>
      <c r="D110" s="160">
        <f>IF('Datos_fuente'!C110="","",LN('Datos_fuente'!C110))</f>
        <v/>
      </c>
      <c r="E110" s="160">
        <f>IF(OR(D110="",D109=""),"",D110-D109)</f>
        <v/>
      </c>
      <c r="F110" s="160">
        <f>IF('Datos_fuente'!E110="","",LN('Datos_fuente'!E110))</f>
        <v/>
      </c>
      <c r="G110" s="160">
        <f>IF(OR(F110="",F109=""),"",F110-F109)</f>
        <v/>
      </c>
      <c r="H110" s="161">
        <f>'Datos_fuente'!H110</f>
        <v/>
      </c>
      <c r="I110" s="161">
        <f>IF(OR(H110="",H109=""),"",H110-H109)</f>
        <v/>
      </c>
      <c r="J110" s="161">
        <f>'Datos_fuente'!J110</f>
        <v/>
      </c>
      <c r="K110" s="161">
        <f>IF(OR(J110="",J109=""),"",J110-J109)</f>
        <v/>
      </c>
      <c r="L110" s="160">
        <f>IF('Datos_fuente'!K110="","",LN('Datos_fuente'!K110))</f>
        <v/>
      </c>
      <c r="M110" s="160">
        <f>IF(OR(L110="",L109=""),"",L110-L109)</f>
        <v/>
      </c>
      <c r="N110" s="160">
        <f>IF('Datos_fuente'!L110="","",LN('Datos_fuente'!L110))</f>
        <v/>
      </c>
      <c r="O110" s="160">
        <f>IF(OR(N110="",N109=""),"",N110-N109)</f>
        <v/>
      </c>
      <c r="P110" s="162">
        <f>'Datos_fuente'!M110</f>
        <v/>
      </c>
      <c r="Q110" s="160">
        <f>IF('Datos_fuente'!N110="","",LN('Datos_fuente'!N110))</f>
        <v/>
      </c>
      <c r="R110" s="160">
        <f>IF(OR(Q110="",Q109=""),"",Q110-Q109)</f>
        <v/>
      </c>
      <c r="S110" s="161">
        <f>'Datos_fuente'!P110</f>
        <v/>
      </c>
      <c r="T110" s="161">
        <f>IF(OR(S110="",S109=""),"",S110-S109)</f>
        <v/>
      </c>
      <c r="U110" s="160">
        <f>IF('Datos_fuente'!Q110="","",ASINH('Datos_fuente'!Q110/1000))</f>
        <v/>
      </c>
      <c r="V110" s="160">
        <f>IF(OR(U110="",U109=""),"",U110-U109)</f>
        <v/>
      </c>
      <c r="W110" s="160">
        <f>IF('Datos_fuente'!R110="","",ASINH('Datos_fuente'!R110/1000))</f>
        <v/>
      </c>
      <c r="X110" s="160">
        <f>IF(OR(W110="",W109=""),"",W110-W109)</f>
        <v/>
      </c>
      <c r="Y110" s="161">
        <f>'Datos_fuente'!W110</f>
        <v/>
      </c>
      <c r="Z110" s="161">
        <f>IF(OR(Y110="",Y109=""),"",Y110-Y109)</f>
        <v/>
      </c>
      <c r="AA110" s="160">
        <f>'Datos_fuente'!AB110</f>
        <v/>
      </c>
      <c r="AB110" s="160">
        <f>'Datos_fuente'!AC110</f>
        <v/>
      </c>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f>'Datos_fuente'!A111</f>
        <v/>
      </c>
      <c r="B111" s="160">
        <f>IF('Datos_fuente'!B111="","",LN('Datos_fuente'!B111))</f>
        <v/>
      </c>
      <c r="C111" s="160">
        <f>IF(OR(B111="",B110=""),"",B111-B110)</f>
        <v/>
      </c>
      <c r="D111" s="160">
        <f>IF('Datos_fuente'!C111="","",LN('Datos_fuente'!C111))</f>
        <v/>
      </c>
      <c r="E111" s="160">
        <f>IF(OR(D111="",D110=""),"",D111-D110)</f>
        <v/>
      </c>
      <c r="F111" s="160">
        <f>IF('Datos_fuente'!E111="","",LN('Datos_fuente'!E111))</f>
        <v/>
      </c>
      <c r="G111" s="160">
        <f>IF(OR(F111="",F110=""),"",F111-F110)</f>
        <v/>
      </c>
      <c r="H111" s="161">
        <f>'Datos_fuente'!H111</f>
        <v/>
      </c>
      <c r="I111" s="161">
        <f>IF(OR(H111="",H110=""),"",H111-H110)</f>
        <v/>
      </c>
      <c r="J111" s="161">
        <f>'Datos_fuente'!J111</f>
        <v/>
      </c>
      <c r="K111" s="161">
        <f>IF(OR(J111="",J110=""),"",J111-J110)</f>
        <v/>
      </c>
      <c r="L111" s="160">
        <f>IF('Datos_fuente'!K111="","",LN('Datos_fuente'!K111))</f>
        <v/>
      </c>
      <c r="M111" s="160">
        <f>IF(OR(L111="",L110=""),"",L111-L110)</f>
        <v/>
      </c>
      <c r="N111" s="160">
        <f>IF('Datos_fuente'!L111="","",LN('Datos_fuente'!L111))</f>
        <v/>
      </c>
      <c r="O111" s="160">
        <f>IF(OR(N111="",N110=""),"",N111-N110)</f>
        <v/>
      </c>
      <c r="P111" s="162">
        <f>'Datos_fuente'!M111</f>
        <v/>
      </c>
      <c r="Q111" s="160">
        <f>IF('Datos_fuente'!N111="","",LN('Datos_fuente'!N111))</f>
        <v/>
      </c>
      <c r="R111" s="160">
        <f>IF(OR(Q111="",Q110=""),"",Q111-Q110)</f>
        <v/>
      </c>
      <c r="S111" s="161">
        <f>'Datos_fuente'!P111</f>
        <v/>
      </c>
      <c r="T111" s="161">
        <f>IF(OR(S111="",S110=""),"",S111-S110)</f>
        <v/>
      </c>
      <c r="U111" s="160">
        <f>IF('Datos_fuente'!Q111="","",ASINH('Datos_fuente'!Q111/1000))</f>
        <v/>
      </c>
      <c r="V111" s="160">
        <f>IF(OR(U111="",U110=""),"",U111-U110)</f>
        <v/>
      </c>
      <c r="W111" s="160">
        <f>IF('Datos_fuente'!R111="","",ASINH('Datos_fuente'!R111/1000))</f>
        <v/>
      </c>
      <c r="X111" s="160">
        <f>IF(OR(W111="",W110=""),"",W111-W110)</f>
        <v/>
      </c>
      <c r="Y111" s="161">
        <f>'Datos_fuente'!W111</f>
        <v/>
      </c>
      <c r="Z111" s="161">
        <f>IF(OR(Y111="",Y110=""),"",Y111-Y110)</f>
        <v/>
      </c>
      <c r="AA111" s="160">
        <f>'Datos_fuente'!AB111</f>
        <v/>
      </c>
      <c r="AB111" s="160">
        <f>'Datos_fuente'!AC111</f>
        <v/>
      </c>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f>'Datos_fuente'!A112</f>
        <v/>
      </c>
      <c r="B112" s="160">
        <f>IF('Datos_fuente'!B112="","",LN('Datos_fuente'!B112))</f>
        <v/>
      </c>
      <c r="C112" s="160">
        <f>IF(OR(B112="",B111=""),"",B112-B111)</f>
        <v/>
      </c>
      <c r="D112" s="160">
        <f>IF('Datos_fuente'!C112="","",LN('Datos_fuente'!C112))</f>
        <v/>
      </c>
      <c r="E112" s="160">
        <f>IF(OR(D112="",D111=""),"",D112-D111)</f>
        <v/>
      </c>
      <c r="F112" s="160">
        <f>IF('Datos_fuente'!E112="","",LN('Datos_fuente'!E112))</f>
        <v/>
      </c>
      <c r="G112" s="160">
        <f>IF(OR(F112="",F111=""),"",F112-F111)</f>
        <v/>
      </c>
      <c r="H112" s="161">
        <f>'Datos_fuente'!H112</f>
        <v/>
      </c>
      <c r="I112" s="161">
        <f>IF(OR(H112="",H111=""),"",H112-H111)</f>
        <v/>
      </c>
      <c r="J112" s="161">
        <f>'Datos_fuente'!J112</f>
        <v/>
      </c>
      <c r="K112" s="161">
        <f>IF(OR(J112="",J111=""),"",J112-J111)</f>
        <v/>
      </c>
      <c r="L112" s="160">
        <f>IF('Datos_fuente'!K112="","",LN('Datos_fuente'!K112))</f>
        <v/>
      </c>
      <c r="M112" s="160">
        <f>IF(OR(L112="",L111=""),"",L112-L111)</f>
        <v/>
      </c>
      <c r="N112" s="160">
        <f>IF('Datos_fuente'!L112="","",LN('Datos_fuente'!L112))</f>
        <v/>
      </c>
      <c r="O112" s="160">
        <f>IF(OR(N112="",N111=""),"",N112-N111)</f>
        <v/>
      </c>
      <c r="P112" s="162">
        <f>'Datos_fuente'!M112</f>
        <v/>
      </c>
      <c r="Q112" s="160">
        <f>IF('Datos_fuente'!N112="","",LN('Datos_fuente'!N112))</f>
        <v/>
      </c>
      <c r="R112" s="160">
        <f>IF(OR(Q112="",Q111=""),"",Q112-Q111)</f>
        <v/>
      </c>
      <c r="S112" s="161">
        <f>'Datos_fuente'!P112</f>
        <v/>
      </c>
      <c r="T112" s="161">
        <f>IF(OR(S112="",S111=""),"",S112-S111)</f>
        <v/>
      </c>
      <c r="U112" s="160">
        <f>IF('Datos_fuente'!Q112="","",ASINH('Datos_fuente'!Q112/1000))</f>
        <v/>
      </c>
      <c r="V112" s="160">
        <f>IF(OR(U112="",U111=""),"",U112-U111)</f>
        <v/>
      </c>
      <c r="W112" s="160">
        <f>IF('Datos_fuente'!R112="","",ASINH('Datos_fuente'!R112/1000))</f>
        <v/>
      </c>
      <c r="X112" s="160">
        <f>IF(OR(W112="",W111=""),"",W112-W111)</f>
        <v/>
      </c>
      <c r="Y112" s="161">
        <f>'Datos_fuente'!W112</f>
        <v/>
      </c>
      <c r="Z112" s="161">
        <f>IF(OR(Y112="",Y111=""),"",Y112-Y111)</f>
        <v/>
      </c>
      <c r="AA112" s="160">
        <f>'Datos_fuente'!AB112</f>
        <v/>
      </c>
      <c r="AB112" s="160">
        <f>'Datos_fuente'!AC112</f>
        <v/>
      </c>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f>'Datos_fuente'!A113</f>
        <v/>
      </c>
      <c r="B113" s="160">
        <f>IF('Datos_fuente'!B113="","",LN('Datos_fuente'!B113))</f>
        <v/>
      </c>
      <c r="C113" s="160">
        <f>IF(OR(B113="",B112=""),"",B113-B112)</f>
        <v/>
      </c>
      <c r="D113" s="160">
        <f>IF('Datos_fuente'!C113="","",LN('Datos_fuente'!C113))</f>
        <v/>
      </c>
      <c r="E113" s="160">
        <f>IF(OR(D113="",D112=""),"",D113-D112)</f>
        <v/>
      </c>
      <c r="F113" s="160">
        <f>IF('Datos_fuente'!E113="","",LN('Datos_fuente'!E113))</f>
        <v/>
      </c>
      <c r="G113" s="160">
        <f>IF(OR(F113="",F112=""),"",F113-F112)</f>
        <v/>
      </c>
      <c r="H113" s="161">
        <f>'Datos_fuente'!H113</f>
        <v/>
      </c>
      <c r="I113" s="161">
        <f>IF(OR(H113="",H112=""),"",H113-H112)</f>
        <v/>
      </c>
      <c r="J113" s="161">
        <f>'Datos_fuente'!J113</f>
        <v/>
      </c>
      <c r="K113" s="161">
        <f>IF(OR(J113="",J112=""),"",J113-J112)</f>
        <v/>
      </c>
      <c r="L113" s="160">
        <f>IF('Datos_fuente'!K113="","",LN('Datos_fuente'!K113))</f>
        <v/>
      </c>
      <c r="M113" s="160">
        <f>IF(OR(L113="",L112=""),"",L113-L112)</f>
        <v/>
      </c>
      <c r="N113" s="160">
        <f>IF('Datos_fuente'!L113="","",LN('Datos_fuente'!L113))</f>
        <v/>
      </c>
      <c r="O113" s="160">
        <f>IF(OR(N113="",N112=""),"",N113-N112)</f>
        <v/>
      </c>
      <c r="P113" s="162">
        <f>'Datos_fuente'!M113</f>
        <v/>
      </c>
      <c r="Q113" s="160">
        <f>IF('Datos_fuente'!N113="","",LN('Datos_fuente'!N113))</f>
        <v/>
      </c>
      <c r="R113" s="160">
        <f>IF(OR(Q113="",Q112=""),"",Q113-Q112)</f>
        <v/>
      </c>
      <c r="S113" s="161">
        <f>'Datos_fuente'!P113</f>
        <v/>
      </c>
      <c r="T113" s="161">
        <f>IF(OR(S113="",S112=""),"",S113-S112)</f>
        <v/>
      </c>
      <c r="U113" s="160">
        <f>IF('Datos_fuente'!Q113="","",ASINH('Datos_fuente'!Q113/1000))</f>
        <v/>
      </c>
      <c r="V113" s="160">
        <f>IF(OR(U113="",U112=""),"",U113-U112)</f>
        <v/>
      </c>
      <c r="W113" s="160">
        <f>IF('Datos_fuente'!R113="","",ASINH('Datos_fuente'!R113/1000))</f>
        <v/>
      </c>
      <c r="X113" s="160">
        <f>IF(OR(W113="",W112=""),"",W113-W112)</f>
        <v/>
      </c>
      <c r="Y113" s="161">
        <f>'Datos_fuente'!W113</f>
        <v/>
      </c>
      <c r="Z113" s="161">
        <f>IF(OR(Y113="",Y112=""),"",Y113-Y112)</f>
        <v/>
      </c>
      <c r="AA113" s="160">
        <f>'Datos_fuente'!AB113</f>
        <v/>
      </c>
      <c r="AB113" s="160">
        <f>'Datos_fuente'!AC113</f>
        <v/>
      </c>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f>'Datos_fuente'!A114</f>
        <v/>
      </c>
      <c r="B114" s="160">
        <f>IF('Datos_fuente'!B114="","",LN('Datos_fuente'!B114))</f>
        <v/>
      </c>
      <c r="C114" s="160">
        <f>IF(OR(B114="",B113=""),"",B114-B113)</f>
        <v/>
      </c>
      <c r="D114" s="160">
        <f>IF('Datos_fuente'!C114="","",LN('Datos_fuente'!C114))</f>
        <v/>
      </c>
      <c r="E114" s="160">
        <f>IF(OR(D114="",D113=""),"",D114-D113)</f>
        <v/>
      </c>
      <c r="F114" s="160">
        <f>IF('Datos_fuente'!E114="","",LN('Datos_fuente'!E114))</f>
        <v/>
      </c>
      <c r="G114" s="160">
        <f>IF(OR(F114="",F113=""),"",F114-F113)</f>
        <v/>
      </c>
      <c r="H114" s="161">
        <f>'Datos_fuente'!H114</f>
        <v/>
      </c>
      <c r="I114" s="161">
        <f>IF(OR(H114="",H113=""),"",H114-H113)</f>
        <v/>
      </c>
      <c r="J114" s="161">
        <f>'Datos_fuente'!J114</f>
        <v/>
      </c>
      <c r="K114" s="161">
        <f>IF(OR(J114="",J113=""),"",J114-J113)</f>
        <v/>
      </c>
      <c r="L114" s="160">
        <f>IF('Datos_fuente'!K114="","",LN('Datos_fuente'!K114))</f>
        <v/>
      </c>
      <c r="M114" s="160">
        <f>IF(OR(L114="",L113=""),"",L114-L113)</f>
        <v/>
      </c>
      <c r="N114" s="160">
        <f>IF('Datos_fuente'!L114="","",LN('Datos_fuente'!L114))</f>
        <v/>
      </c>
      <c r="O114" s="160">
        <f>IF(OR(N114="",N113=""),"",N114-N113)</f>
        <v/>
      </c>
      <c r="P114" s="162">
        <f>'Datos_fuente'!M114</f>
        <v/>
      </c>
      <c r="Q114" s="160">
        <f>IF('Datos_fuente'!N114="","",LN('Datos_fuente'!N114))</f>
        <v/>
      </c>
      <c r="R114" s="160">
        <f>IF(OR(Q114="",Q113=""),"",Q114-Q113)</f>
        <v/>
      </c>
      <c r="S114" s="161">
        <f>'Datos_fuente'!P114</f>
        <v/>
      </c>
      <c r="T114" s="161">
        <f>IF(OR(S114="",S113=""),"",S114-S113)</f>
        <v/>
      </c>
      <c r="U114" s="160">
        <f>IF('Datos_fuente'!Q114="","",ASINH('Datos_fuente'!Q114/1000))</f>
        <v/>
      </c>
      <c r="V114" s="160">
        <f>IF(OR(U114="",U113=""),"",U114-U113)</f>
        <v/>
      </c>
      <c r="W114" s="160">
        <f>IF('Datos_fuente'!R114="","",ASINH('Datos_fuente'!R114/1000))</f>
        <v/>
      </c>
      <c r="X114" s="160">
        <f>IF(OR(W114="",W113=""),"",W114-W113)</f>
        <v/>
      </c>
      <c r="Y114" s="161">
        <f>'Datos_fuente'!W114</f>
        <v/>
      </c>
      <c r="Z114" s="161">
        <f>IF(OR(Y114="",Y113=""),"",Y114-Y113)</f>
        <v/>
      </c>
      <c r="AA114" s="160">
        <f>'Datos_fuente'!AB114</f>
        <v/>
      </c>
      <c r="AB114" s="160">
        <f>'Datos_fuente'!AC114</f>
        <v/>
      </c>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f>'Datos_fuente'!A115</f>
        <v/>
      </c>
      <c r="B115" s="160">
        <f>IF('Datos_fuente'!B115="","",LN('Datos_fuente'!B115))</f>
        <v/>
      </c>
      <c r="C115" s="160">
        <f>IF(OR(B115="",B114=""),"",B115-B114)</f>
        <v/>
      </c>
      <c r="D115" s="160">
        <f>IF('Datos_fuente'!C115="","",LN('Datos_fuente'!C115))</f>
        <v/>
      </c>
      <c r="E115" s="160">
        <f>IF(OR(D115="",D114=""),"",D115-D114)</f>
        <v/>
      </c>
      <c r="F115" s="160">
        <f>IF('Datos_fuente'!E115="","",LN('Datos_fuente'!E115))</f>
        <v/>
      </c>
      <c r="G115" s="160">
        <f>IF(OR(F115="",F114=""),"",F115-F114)</f>
        <v/>
      </c>
      <c r="H115" s="161">
        <f>'Datos_fuente'!H115</f>
        <v/>
      </c>
      <c r="I115" s="161">
        <f>IF(OR(H115="",H114=""),"",H115-H114)</f>
        <v/>
      </c>
      <c r="J115" s="161">
        <f>'Datos_fuente'!J115</f>
        <v/>
      </c>
      <c r="K115" s="161">
        <f>IF(OR(J115="",J114=""),"",J115-J114)</f>
        <v/>
      </c>
      <c r="L115" s="160">
        <f>IF('Datos_fuente'!K115="","",LN('Datos_fuente'!K115))</f>
        <v/>
      </c>
      <c r="M115" s="160">
        <f>IF(OR(L115="",L114=""),"",L115-L114)</f>
        <v/>
      </c>
      <c r="N115" s="160">
        <f>IF('Datos_fuente'!L115="","",LN('Datos_fuente'!L115))</f>
        <v/>
      </c>
      <c r="O115" s="160">
        <f>IF(OR(N115="",N114=""),"",N115-N114)</f>
        <v/>
      </c>
      <c r="P115" s="162">
        <f>'Datos_fuente'!M115</f>
        <v/>
      </c>
      <c r="Q115" s="160">
        <f>IF('Datos_fuente'!N115="","",LN('Datos_fuente'!N115))</f>
        <v/>
      </c>
      <c r="R115" s="160">
        <f>IF(OR(Q115="",Q114=""),"",Q115-Q114)</f>
        <v/>
      </c>
      <c r="S115" s="161">
        <f>'Datos_fuente'!P115</f>
        <v/>
      </c>
      <c r="T115" s="161">
        <f>IF(OR(S115="",S114=""),"",S115-S114)</f>
        <v/>
      </c>
      <c r="U115" s="160">
        <f>IF('Datos_fuente'!Q115="","",ASINH('Datos_fuente'!Q115/1000))</f>
        <v/>
      </c>
      <c r="V115" s="160">
        <f>IF(OR(U115="",U114=""),"",U115-U114)</f>
        <v/>
      </c>
      <c r="W115" s="160">
        <f>IF('Datos_fuente'!R115="","",ASINH('Datos_fuente'!R115/1000))</f>
        <v/>
      </c>
      <c r="X115" s="160">
        <f>IF(OR(W115="",W114=""),"",W115-W114)</f>
        <v/>
      </c>
      <c r="Y115" s="161">
        <f>'Datos_fuente'!W115</f>
        <v/>
      </c>
      <c r="Z115" s="161">
        <f>IF(OR(Y115="",Y114=""),"",Y115-Y114)</f>
        <v/>
      </c>
      <c r="AA115" s="160">
        <f>'Datos_fuente'!AB115</f>
        <v/>
      </c>
      <c r="AB115" s="160">
        <f>'Datos_fuente'!AC115</f>
        <v/>
      </c>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f>'Datos_fuente'!A116</f>
        <v/>
      </c>
      <c r="B116" s="160">
        <f>IF('Datos_fuente'!B116="","",LN('Datos_fuente'!B116))</f>
        <v/>
      </c>
      <c r="C116" s="160">
        <f>IF(OR(B116="",B115=""),"",B116-B115)</f>
        <v/>
      </c>
      <c r="D116" s="160">
        <f>IF('Datos_fuente'!C116="","",LN('Datos_fuente'!C116))</f>
        <v/>
      </c>
      <c r="E116" s="160">
        <f>IF(OR(D116="",D115=""),"",D116-D115)</f>
        <v/>
      </c>
      <c r="F116" s="160">
        <f>IF('Datos_fuente'!E116="","",LN('Datos_fuente'!E116))</f>
        <v/>
      </c>
      <c r="G116" s="160">
        <f>IF(OR(F116="",F115=""),"",F116-F115)</f>
        <v/>
      </c>
      <c r="H116" s="161">
        <f>'Datos_fuente'!H116</f>
        <v/>
      </c>
      <c r="I116" s="161">
        <f>IF(OR(H116="",H115=""),"",H116-H115)</f>
        <v/>
      </c>
      <c r="J116" s="161">
        <f>'Datos_fuente'!J116</f>
        <v/>
      </c>
      <c r="K116" s="161">
        <f>IF(OR(J116="",J115=""),"",J116-J115)</f>
        <v/>
      </c>
      <c r="L116" s="160">
        <f>IF('Datos_fuente'!K116="","",LN('Datos_fuente'!K116))</f>
        <v/>
      </c>
      <c r="M116" s="160">
        <f>IF(OR(L116="",L115=""),"",L116-L115)</f>
        <v/>
      </c>
      <c r="N116" s="160">
        <f>IF('Datos_fuente'!L116="","",LN('Datos_fuente'!L116))</f>
        <v/>
      </c>
      <c r="O116" s="160">
        <f>IF(OR(N116="",N115=""),"",N116-N115)</f>
        <v/>
      </c>
      <c r="P116" s="162">
        <f>'Datos_fuente'!M116</f>
        <v/>
      </c>
      <c r="Q116" s="160">
        <f>IF('Datos_fuente'!N116="","",LN('Datos_fuente'!N116))</f>
        <v/>
      </c>
      <c r="R116" s="160">
        <f>IF(OR(Q116="",Q115=""),"",Q116-Q115)</f>
        <v/>
      </c>
      <c r="S116" s="161">
        <f>'Datos_fuente'!P116</f>
        <v/>
      </c>
      <c r="T116" s="161">
        <f>IF(OR(S116="",S115=""),"",S116-S115)</f>
        <v/>
      </c>
      <c r="U116" s="160">
        <f>IF('Datos_fuente'!Q116="","",ASINH('Datos_fuente'!Q116/1000))</f>
        <v/>
      </c>
      <c r="V116" s="160">
        <f>IF(OR(U116="",U115=""),"",U116-U115)</f>
        <v/>
      </c>
      <c r="W116" s="160">
        <f>IF('Datos_fuente'!R116="","",ASINH('Datos_fuente'!R116/1000))</f>
        <v/>
      </c>
      <c r="X116" s="160">
        <f>IF(OR(W116="",W115=""),"",W116-W115)</f>
        <v/>
      </c>
      <c r="Y116" s="161">
        <f>'Datos_fuente'!W116</f>
        <v/>
      </c>
      <c r="Z116" s="161">
        <f>IF(OR(Y116="",Y115=""),"",Y116-Y115)</f>
        <v/>
      </c>
      <c r="AA116" s="160">
        <f>'Datos_fuente'!AB116</f>
        <v/>
      </c>
      <c r="AB116" s="160">
        <f>'Datos_fuente'!AC116</f>
        <v/>
      </c>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f>'Datos_fuente'!A117</f>
        <v/>
      </c>
      <c r="B117" s="160">
        <f>IF('Datos_fuente'!B117="","",LN('Datos_fuente'!B117))</f>
        <v/>
      </c>
      <c r="C117" s="160">
        <f>IF(OR(B117="",B116=""),"",B117-B116)</f>
        <v/>
      </c>
      <c r="D117" s="160">
        <f>IF('Datos_fuente'!C117="","",LN('Datos_fuente'!C117))</f>
        <v/>
      </c>
      <c r="E117" s="160">
        <f>IF(OR(D117="",D116=""),"",D117-D116)</f>
        <v/>
      </c>
      <c r="F117" s="160">
        <f>IF('Datos_fuente'!E117="","",LN('Datos_fuente'!E117))</f>
        <v/>
      </c>
      <c r="G117" s="160">
        <f>IF(OR(F117="",F116=""),"",F117-F116)</f>
        <v/>
      </c>
      <c r="H117" s="161">
        <f>'Datos_fuente'!H117</f>
        <v/>
      </c>
      <c r="I117" s="161">
        <f>IF(OR(H117="",H116=""),"",H117-H116)</f>
        <v/>
      </c>
      <c r="J117" s="161">
        <f>'Datos_fuente'!J117</f>
        <v/>
      </c>
      <c r="K117" s="161">
        <f>IF(OR(J117="",J116=""),"",J117-J116)</f>
        <v/>
      </c>
      <c r="L117" s="160">
        <f>IF('Datos_fuente'!K117="","",LN('Datos_fuente'!K117))</f>
        <v/>
      </c>
      <c r="M117" s="160">
        <f>IF(OR(L117="",L116=""),"",L117-L116)</f>
        <v/>
      </c>
      <c r="N117" s="160">
        <f>IF('Datos_fuente'!L117="","",LN('Datos_fuente'!L117))</f>
        <v/>
      </c>
      <c r="O117" s="160">
        <f>IF(OR(N117="",N116=""),"",N117-N116)</f>
        <v/>
      </c>
      <c r="P117" s="162">
        <f>'Datos_fuente'!M117</f>
        <v/>
      </c>
      <c r="Q117" s="160">
        <f>IF('Datos_fuente'!N117="","",LN('Datos_fuente'!N117))</f>
        <v/>
      </c>
      <c r="R117" s="160">
        <f>IF(OR(Q117="",Q116=""),"",Q117-Q116)</f>
        <v/>
      </c>
      <c r="S117" s="161">
        <f>'Datos_fuente'!P117</f>
        <v/>
      </c>
      <c r="T117" s="161">
        <f>IF(OR(S117="",S116=""),"",S117-S116)</f>
        <v/>
      </c>
      <c r="U117" s="160">
        <f>IF('Datos_fuente'!Q117="","",ASINH('Datos_fuente'!Q117/1000))</f>
        <v/>
      </c>
      <c r="V117" s="160">
        <f>IF(OR(U117="",U116=""),"",U117-U116)</f>
        <v/>
      </c>
      <c r="W117" s="160">
        <f>IF('Datos_fuente'!R117="","",ASINH('Datos_fuente'!R117/1000))</f>
        <v/>
      </c>
      <c r="X117" s="160">
        <f>IF(OR(W117="",W116=""),"",W117-W116)</f>
        <v/>
      </c>
      <c r="Y117" s="161">
        <f>'Datos_fuente'!W117</f>
        <v/>
      </c>
      <c r="Z117" s="161">
        <f>IF(OR(Y117="",Y116=""),"",Y117-Y116)</f>
        <v/>
      </c>
      <c r="AA117" s="160">
        <f>'Datos_fuente'!AB117</f>
        <v/>
      </c>
      <c r="AB117" s="160">
        <f>'Datos_fuente'!AC117</f>
        <v/>
      </c>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f>'Datos_fuente'!A118</f>
        <v/>
      </c>
      <c r="B118" s="160">
        <f>IF('Datos_fuente'!B118="","",LN('Datos_fuente'!B118))</f>
        <v/>
      </c>
      <c r="C118" s="160">
        <f>IF(OR(B118="",B117=""),"",B118-B117)</f>
        <v/>
      </c>
      <c r="D118" s="160">
        <f>IF('Datos_fuente'!C118="","",LN('Datos_fuente'!C118))</f>
        <v/>
      </c>
      <c r="E118" s="160">
        <f>IF(OR(D118="",D117=""),"",D118-D117)</f>
        <v/>
      </c>
      <c r="F118" s="160">
        <f>IF('Datos_fuente'!E118="","",LN('Datos_fuente'!E118))</f>
        <v/>
      </c>
      <c r="G118" s="160">
        <f>IF(OR(F118="",F117=""),"",F118-F117)</f>
        <v/>
      </c>
      <c r="H118" s="161">
        <f>'Datos_fuente'!H118</f>
        <v/>
      </c>
      <c r="I118" s="161">
        <f>IF(OR(H118="",H117=""),"",H118-H117)</f>
        <v/>
      </c>
      <c r="J118" s="161">
        <f>'Datos_fuente'!J118</f>
        <v/>
      </c>
      <c r="K118" s="161">
        <f>IF(OR(J118="",J117=""),"",J118-J117)</f>
        <v/>
      </c>
      <c r="L118" s="160">
        <f>IF('Datos_fuente'!K118="","",LN('Datos_fuente'!K118))</f>
        <v/>
      </c>
      <c r="M118" s="160">
        <f>IF(OR(L118="",L117=""),"",L118-L117)</f>
        <v/>
      </c>
      <c r="N118" s="160">
        <f>IF('Datos_fuente'!L118="","",LN('Datos_fuente'!L118))</f>
        <v/>
      </c>
      <c r="O118" s="160">
        <f>IF(OR(N118="",N117=""),"",N118-N117)</f>
        <v/>
      </c>
      <c r="P118" s="162">
        <f>'Datos_fuente'!M118</f>
        <v/>
      </c>
      <c r="Q118" s="160">
        <f>IF('Datos_fuente'!N118="","",LN('Datos_fuente'!N118))</f>
        <v/>
      </c>
      <c r="R118" s="160">
        <f>IF(OR(Q118="",Q117=""),"",Q118-Q117)</f>
        <v/>
      </c>
      <c r="S118" s="161">
        <f>'Datos_fuente'!P118</f>
        <v/>
      </c>
      <c r="T118" s="161">
        <f>IF(OR(S118="",S117=""),"",S118-S117)</f>
        <v/>
      </c>
      <c r="U118" s="160">
        <f>IF('Datos_fuente'!Q118="","",ASINH('Datos_fuente'!Q118/1000))</f>
        <v/>
      </c>
      <c r="V118" s="160">
        <f>IF(OR(U118="",U117=""),"",U118-U117)</f>
        <v/>
      </c>
      <c r="W118" s="160">
        <f>IF('Datos_fuente'!R118="","",ASINH('Datos_fuente'!R118/1000))</f>
        <v/>
      </c>
      <c r="X118" s="160">
        <f>IF(OR(W118="",W117=""),"",W118-W117)</f>
        <v/>
      </c>
      <c r="Y118" s="161">
        <f>'Datos_fuente'!W118</f>
        <v/>
      </c>
      <c r="Z118" s="161">
        <f>IF(OR(Y118="",Y117=""),"",Y118-Y117)</f>
        <v/>
      </c>
      <c r="AA118" s="160">
        <f>'Datos_fuente'!AB118</f>
        <v/>
      </c>
      <c r="AB118" s="160">
        <f>'Datos_fuente'!AC118</f>
        <v/>
      </c>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f>'Datos_fuente'!A119</f>
        <v/>
      </c>
      <c r="B119" s="160">
        <f>IF('Datos_fuente'!B119="","",LN('Datos_fuente'!B119))</f>
        <v/>
      </c>
      <c r="C119" s="160">
        <f>IF(OR(B119="",B118=""),"",B119-B118)</f>
        <v/>
      </c>
      <c r="D119" s="160">
        <f>IF('Datos_fuente'!C119="","",LN('Datos_fuente'!C119))</f>
        <v/>
      </c>
      <c r="E119" s="160">
        <f>IF(OR(D119="",D118=""),"",D119-D118)</f>
        <v/>
      </c>
      <c r="F119" s="160">
        <f>IF('Datos_fuente'!E119="","",LN('Datos_fuente'!E119))</f>
        <v/>
      </c>
      <c r="G119" s="160">
        <f>IF(OR(F119="",F118=""),"",F119-F118)</f>
        <v/>
      </c>
      <c r="H119" s="161">
        <f>'Datos_fuente'!H119</f>
        <v/>
      </c>
      <c r="I119" s="161">
        <f>IF(OR(H119="",H118=""),"",H119-H118)</f>
        <v/>
      </c>
      <c r="J119" s="161">
        <f>'Datos_fuente'!J119</f>
        <v/>
      </c>
      <c r="K119" s="161">
        <f>IF(OR(J119="",J118=""),"",J119-J118)</f>
        <v/>
      </c>
      <c r="L119" s="160">
        <f>IF('Datos_fuente'!K119="","",LN('Datos_fuente'!K119))</f>
        <v/>
      </c>
      <c r="M119" s="160">
        <f>IF(OR(L119="",L118=""),"",L119-L118)</f>
        <v/>
      </c>
      <c r="N119" s="160">
        <f>IF('Datos_fuente'!L119="","",LN('Datos_fuente'!L119))</f>
        <v/>
      </c>
      <c r="O119" s="160">
        <f>IF(OR(N119="",N118=""),"",N119-N118)</f>
        <v/>
      </c>
      <c r="P119" s="162">
        <f>'Datos_fuente'!M119</f>
        <v/>
      </c>
      <c r="Q119" s="160">
        <f>IF('Datos_fuente'!N119="","",LN('Datos_fuente'!N119))</f>
        <v/>
      </c>
      <c r="R119" s="160">
        <f>IF(OR(Q119="",Q118=""),"",Q119-Q118)</f>
        <v/>
      </c>
      <c r="S119" s="161">
        <f>'Datos_fuente'!P119</f>
        <v/>
      </c>
      <c r="T119" s="161">
        <f>IF(OR(S119="",S118=""),"",S119-S118)</f>
        <v/>
      </c>
      <c r="U119" s="160">
        <f>IF('Datos_fuente'!Q119="","",ASINH('Datos_fuente'!Q119/1000))</f>
        <v/>
      </c>
      <c r="V119" s="160">
        <f>IF(OR(U119="",U118=""),"",U119-U118)</f>
        <v/>
      </c>
      <c r="W119" s="160">
        <f>IF('Datos_fuente'!R119="","",ASINH('Datos_fuente'!R119/1000))</f>
        <v/>
      </c>
      <c r="X119" s="160">
        <f>IF(OR(W119="",W118=""),"",W119-W118)</f>
        <v/>
      </c>
      <c r="Y119" s="161">
        <f>'Datos_fuente'!W119</f>
        <v/>
      </c>
      <c r="Z119" s="161">
        <f>IF(OR(Y119="",Y118=""),"",Y119-Y118)</f>
        <v/>
      </c>
      <c r="AA119" s="160">
        <f>'Datos_fuente'!AB119</f>
        <v/>
      </c>
      <c r="AB119" s="160">
        <f>'Datos_fuente'!AC119</f>
        <v/>
      </c>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f>'Datos_fuente'!A120</f>
        <v/>
      </c>
      <c r="B120" s="160">
        <f>IF('Datos_fuente'!B120="","",LN('Datos_fuente'!B120))</f>
        <v/>
      </c>
      <c r="C120" s="160">
        <f>IF(OR(B120="",B119=""),"",B120-B119)</f>
        <v/>
      </c>
      <c r="D120" s="160">
        <f>IF('Datos_fuente'!C120="","",LN('Datos_fuente'!C120))</f>
        <v/>
      </c>
      <c r="E120" s="160">
        <f>IF(OR(D120="",D119=""),"",D120-D119)</f>
        <v/>
      </c>
      <c r="F120" s="160">
        <f>IF('Datos_fuente'!E120="","",LN('Datos_fuente'!E120))</f>
        <v/>
      </c>
      <c r="G120" s="160">
        <f>IF(OR(F120="",F119=""),"",F120-F119)</f>
        <v/>
      </c>
      <c r="H120" s="161">
        <f>'Datos_fuente'!H120</f>
        <v/>
      </c>
      <c r="I120" s="161">
        <f>IF(OR(H120="",H119=""),"",H120-H119)</f>
        <v/>
      </c>
      <c r="J120" s="161">
        <f>'Datos_fuente'!J120</f>
        <v/>
      </c>
      <c r="K120" s="161">
        <f>IF(OR(J120="",J119=""),"",J120-J119)</f>
        <v/>
      </c>
      <c r="L120" s="160">
        <f>IF('Datos_fuente'!K120="","",LN('Datos_fuente'!K120))</f>
        <v/>
      </c>
      <c r="M120" s="160">
        <f>IF(OR(L120="",L119=""),"",L120-L119)</f>
        <v/>
      </c>
      <c r="N120" s="160">
        <f>IF('Datos_fuente'!L120="","",LN('Datos_fuente'!L120))</f>
        <v/>
      </c>
      <c r="O120" s="160">
        <f>IF(OR(N120="",N119=""),"",N120-N119)</f>
        <v/>
      </c>
      <c r="P120" s="162">
        <f>'Datos_fuente'!M120</f>
        <v/>
      </c>
      <c r="Q120" s="160">
        <f>IF('Datos_fuente'!N120="","",LN('Datos_fuente'!N120))</f>
        <v/>
      </c>
      <c r="R120" s="160">
        <f>IF(OR(Q120="",Q119=""),"",Q120-Q119)</f>
        <v/>
      </c>
      <c r="S120" s="161">
        <f>'Datos_fuente'!P120</f>
        <v/>
      </c>
      <c r="T120" s="161">
        <f>IF(OR(S120="",S119=""),"",S120-S119)</f>
        <v/>
      </c>
      <c r="U120" s="160">
        <f>IF('Datos_fuente'!Q120="","",ASINH('Datos_fuente'!Q120/1000))</f>
        <v/>
      </c>
      <c r="V120" s="160">
        <f>IF(OR(U120="",U119=""),"",U120-U119)</f>
        <v/>
      </c>
      <c r="W120" s="160">
        <f>IF('Datos_fuente'!R120="","",ASINH('Datos_fuente'!R120/1000))</f>
        <v/>
      </c>
      <c r="X120" s="160">
        <f>IF(OR(W120="",W119=""),"",W120-W119)</f>
        <v/>
      </c>
      <c r="Y120" s="161">
        <f>'Datos_fuente'!W120</f>
        <v/>
      </c>
      <c r="Z120" s="161">
        <f>IF(OR(Y120="",Y119=""),"",Y120-Y119)</f>
        <v/>
      </c>
      <c r="AA120" s="160">
        <f>'Datos_fuente'!AB120</f>
        <v/>
      </c>
      <c r="AB120" s="160">
        <f>'Datos_fuente'!AC120</f>
        <v/>
      </c>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f>'Datos_fuente'!A121</f>
        <v/>
      </c>
      <c r="B121" s="160">
        <f>IF('Datos_fuente'!B121="","",LN('Datos_fuente'!B121))</f>
        <v/>
      </c>
      <c r="C121" s="160">
        <f>IF(OR(B121="",B120=""),"",B121-B120)</f>
        <v/>
      </c>
      <c r="D121" s="160">
        <f>IF('Datos_fuente'!C121="","",LN('Datos_fuente'!C121))</f>
        <v/>
      </c>
      <c r="E121" s="160">
        <f>IF(OR(D121="",D120=""),"",D121-D120)</f>
        <v/>
      </c>
      <c r="F121" s="160">
        <f>IF('Datos_fuente'!E121="","",LN('Datos_fuente'!E121))</f>
        <v/>
      </c>
      <c r="G121" s="160">
        <f>IF(OR(F121="",F120=""),"",F121-F120)</f>
        <v/>
      </c>
      <c r="H121" s="161">
        <f>'Datos_fuente'!H121</f>
        <v/>
      </c>
      <c r="I121" s="161">
        <f>IF(OR(H121="",H120=""),"",H121-H120)</f>
        <v/>
      </c>
      <c r="J121" s="161">
        <f>'Datos_fuente'!J121</f>
        <v/>
      </c>
      <c r="K121" s="161">
        <f>IF(OR(J121="",J120=""),"",J121-J120)</f>
        <v/>
      </c>
      <c r="L121" s="160">
        <f>IF('Datos_fuente'!K121="","",LN('Datos_fuente'!K121))</f>
        <v/>
      </c>
      <c r="M121" s="160">
        <f>IF(OR(L121="",L120=""),"",L121-L120)</f>
        <v/>
      </c>
      <c r="N121" s="160">
        <f>IF('Datos_fuente'!L121="","",LN('Datos_fuente'!L121))</f>
        <v/>
      </c>
      <c r="O121" s="160">
        <f>IF(OR(N121="",N120=""),"",N121-N120)</f>
        <v/>
      </c>
      <c r="P121" s="162">
        <f>'Datos_fuente'!M121</f>
        <v/>
      </c>
      <c r="Q121" s="160">
        <f>IF('Datos_fuente'!N121="","",LN('Datos_fuente'!N121))</f>
        <v/>
      </c>
      <c r="R121" s="160">
        <f>IF(OR(Q121="",Q120=""),"",Q121-Q120)</f>
        <v/>
      </c>
      <c r="S121" s="161">
        <f>'Datos_fuente'!P121</f>
        <v/>
      </c>
      <c r="T121" s="161">
        <f>IF(OR(S121="",S120=""),"",S121-S120)</f>
        <v/>
      </c>
      <c r="U121" s="160">
        <f>IF('Datos_fuente'!Q121="","",ASINH('Datos_fuente'!Q121/1000))</f>
        <v/>
      </c>
      <c r="V121" s="160">
        <f>IF(OR(U121="",U120=""),"",U121-U120)</f>
        <v/>
      </c>
      <c r="W121" s="160">
        <f>IF('Datos_fuente'!R121="","",ASINH('Datos_fuente'!R121/1000))</f>
        <v/>
      </c>
      <c r="X121" s="160">
        <f>IF(OR(W121="",W120=""),"",W121-W120)</f>
        <v/>
      </c>
      <c r="Y121" s="161">
        <f>'Datos_fuente'!W121</f>
        <v/>
      </c>
      <c r="Z121" s="161">
        <f>IF(OR(Y121="",Y120=""),"",Y121-Y120)</f>
        <v/>
      </c>
      <c r="AA121" s="160">
        <f>'Datos_fuente'!AB121</f>
        <v/>
      </c>
      <c r="AB121" s="160">
        <f>'Datos_fuente'!AC121</f>
        <v/>
      </c>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f>'Datos_fuente'!A122</f>
        <v/>
      </c>
      <c r="B122" s="160">
        <f>IF('Datos_fuente'!B122="","",LN('Datos_fuente'!B122))</f>
        <v/>
      </c>
      <c r="C122" s="160">
        <f>IF(OR(B122="",B121=""),"",B122-B121)</f>
        <v/>
      </c>
      <c r="D122" s="160">
        <f>IF('Datos_fuente'!C122="","",LN('Datos_fuente'!C122))</f>
        <v/>
      </c>
      <c r="E122" s="160">
        <f>IF(OR(D122="",D121=""),"",D122-D121)</f>
        <v/>
      </c>
      <c r="F122" s="160">
        <f>IF('Datos_fuente'!E122="","",LN('Datos_fuente'!E122))</f>
        <v/>
      </c>
      <c r="G122" s="160">
        <f>IF(OR(F122="",F121=""),"",F122-F121)</f>
        <v/>
      </c>
      <c r="H122" s="161">
        <f>'Datos_fuente'!H122</f>
        <v/>
      </c>
      <c r="I122" s="161">
        <f>IF(OR(H122="",H121=""),"",H122-H121)</f>
        <v/>
      </c>
      <c r="J122" s="161">
        <f>'Datos_fuente'!J122</f>
        <v/>
      </c>
      <c r="K122" s="161">
        <f>IF(OR(J122="",J121=""),"",J122-J121)</f>
        <v/>
      </c>
      <c r="L122" s="160">
        <f>IF('Datos_fuente'!K122="","",LN('Datos_fuente'!K122))</f>
        <v/>
      </c>
      <c r="M122" s="160">
        <f>IF(OR(L122="",L121=""),"",L122-L121)</f>
        <v/>
      </c>
      <c r="N122" s="160">
        <f>IF('Datos_fuente'!L122="","",LN('Datos_fuente'!L122))</f>
        <v/>
      </c>
      <c r="O122" s="160">
        <f>IF(OR(N122="",N121=""),"",N122-N121)</f>
        <v/>
      </c>
      <c r="P122" s="162">
        <f>'Datos_fuente'!M122</f>
        <v/>
      </c>
      <c r="Q122" s="160">
        <f>IF('Datos_fuente'!N122="","",LN('Datos_fuente'!N122))</f>
        <v/>
      </c>
      <c r="R122" s="160">
        <f>IF(OR(Q122="",Q121=""),"",Q122-Q121)</f>
        <v/>
      </c>
      <c r="S122" s="161">
        <f>'Datos_fuente'!P122</f>
        <v/>
      </c>
      <c r="T122" s="161">
        <f>IF(OR(S122="",S121=""),"",S122-S121)</f>
        <v/>
      </c>
      <c r="U122" s="160">
        <f>IF('Datos_fuente'!Q122="","",ASINH('Datos_fuente'!Q122/1000))</f>
        <v/>
      </c>
      <c r="V122" s="160">
        <f>IF(OR(U122="",U121=""),"",U122-U121)</f>
        <v/>
      </c>
      <c r="W122" s="160">
        <f>IF('Datos_fuente'!R122="","",ASINH('Datos_fuente'!R122/1000))</f>
        <v/>
      </c>
      <c r="X122" s="160">
        <f>IF(OR(W122="",W121=""),"",W122-W121)</f>
        <v/>
      </c>
      <c r="Y122" s="161">
        <f>'Datos_fuente'!W122</f>
        <v/>
      </c>
      <c r="Z122" s="161">
        <f>IF(OR(Y122="",Y121=""),"",Y122-Y121)</f>
        <v/>
      </c>
      <c r="AA122" s="160">
        <f>'Datos_fuente'!AB122</f>
        <v/>
      </c>
      <c r="AB122" s="160">
        <f>'Datos_fuente'!AC122</f>
        <v/>
      </c>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f>'Datos_fuente'!A123</f>
        <v/>
      </c>
      <c r="B123" s="160">
        <f>IF('Datos_fuente'!B123="","",LN('Datos_fuente'!B123))</f>
        <v/>
      </c>
      <c r="C123" s="160">
        <f>IF(OR(B123="",B122=""),"",B123-B122)</f>
        <v/>
      </c>
      <c r="D123" s="160">
        <f>IF('Datos_fuente'!C123="","",LN('Datos_fuente'!C123))</f>
        <v/>
      </c>
      <c r="E123" s="160">
        <f>IF(OR(D123="",D122=""),"",D123-D122)</f>
        <v/>
      </c>
      <c r="F123" s="160">
        <f>IF('Datos_fuente'!E123="","",LN('Datos_fuente'!E123))</f>
        <v/>
      </c>
      <c r="G123" s="160">
        <f>IF(OR(F123="",F122=""),"",F123-F122)</f>
        <v/>
      </c>
      <c r="H123" s="161">
        <f>'Datos_fuente'!H123</f>
        <v/>
      </c>
      <c r="I123" s="161">
        <f>IF(OR(H123="",H122=""),"",H123-H122)</f>
        <v/>
      </c>
      <c r="J123" s="161">
        <f>'Datos_fuente'!J123</f>
        <v/>
      </c>
      <c r="K123" s="161">
        <f>IF(OR(J123="",J122=""),"",J123-J122)</f>
        <v/>
      </c>
      <c r="L123" s="160">
        <f>IF('Datos_fuente'!K123="","",LN('Datos_fuente'!K123))</f>
        <v/>
      </c>
      <c r="M123" s="160">
        <f>IF(OR(L123="",L122=""),"",L123-L122)</f>
        <v/>
      </c>
      <c r="N123" s="160">
        <f>IF('Datos_fuente'!L123="","",LN('Datos_fuente'!L123))</f>
        <v/>
      </c>
      <c r="O123" s="160">
        <f>IF(OR(N123="",N122=""),"",N123-N122)</f>
        <v/>
      </c>
      <c r="P123" s="162">
        <f>'Datos_fuente'!M123</f>
        <v/>
      </c>
      <c r="Q123" s="160">
        <f>IF('Datos_fuente'!N123="","",LN('Datos_fuente'!N123))</f>
        <v/>
      </c>
      <c r="R123" s="160">
        <f>IF(OR(Q123="",Q122=""),"",Q123-Q122)</f>
        <v/>
      </c>
      <c r="S123" s="161">
        <f>'Datos_fuente'!P123</f>
        <v/>
      </c>
      <c r="T123" s="161">
        <f>IF(OR(S123="",S122=""),"",S123-S122)</f>
        <v/>
      </c>
      <c r="U123" s="160">
        <f>IF('Datos_fuente'!Q123="","",ASINH('Datos_fuente'!Q123/1000))</f>
        <v/>
      </c>
      <c r="V123" s="160">
        <f>IF(OR(U123="",U122=""),"",U123-U122)</f>
        <v/>
      </c>
      <c r="W123" s="160">
        <f>IF('Datos_fuente'!R123="","",ASINH('Datos_fuente'!R123/1000))</f>
        <v/>
      </c>
      <c r="X123" s="160">
        <f>IF(OR(W123="",W122=""),"",W123-W122)</f>
        <v/>
      </c>
      <c r="Y123" s="161">
        <f>'Datos_fuente'!W123</f>
        <v/>
      </c>
      <c r="Z123" s="161">
        <f>IF(OR(Y123="",Y122=""),"",Y123-Y122)</f>
        <v/>
      </c>
      <c r="AA123" s="160">
        <f>'Datos_fuente'!AB123</f>
        <v/>
      </c>
      <c r="AB123" s="160">
        <f>'Datos_fuente'!AC123</f>
        <v/>
      </c>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f>'Datos_fuente'!A124</f>
        <v/>
      </c>
      <c r="B124" s="160">
        <f>IF('Datos_fuente'!B124="","",LN('Datos_fuente'!B124))</f>
        <v/>
      </c>
      <c r="C124" s="160">
        <f>IF(OR(B124="",B123=""),"",B124-B123)</f>
        <v/>
      </c>
      <c r="D124" s="160">
        <f>IF('Datos_fuente'!C124="","",LN('Datos_fuente'!C124))</f>
        <v/>
      </c>
      <c r="E124" s="160">
        <f>IF(OR(D124="",D123=""),"",D124-D123)</f>
        <v/>
      </c>
      <c r="F124" s="160">
        <f>IF('Datos_fuente'!E124="","",LN('Datos_fuente'!E124))</f>
        <v/>
      </c>
      <c r="G124" s="160">
        <f>IF(OR(F124="",F123=""),"",F124-F123)</f>
        <v/>
      </c>
      <c r="H124" s="161">
        <f>'Datos_fuente'!H124</f>
        <v/>
      </c>
      <c r="I124" s="161">
        <f>IF(OR(H124="",H123=""),"",H124-H123)</f>
        <v/>
      </c>
      <c r="J124" s="161">
        <f>'Datos_fuente'!J124</f>
        <v/>
      </c>
      <c r="K124" s="161">
        <f>IF(OR(J124="",J123=""),"",J124-J123)</f>
        <v/>
      </c>
      <c r="L124" s="160">
        <f>IF('Datos_fuente'!K124="","",LN('Datos_fuente'!K124))</f>
        <v/>
      </c>
      <c r="M124" s="160">
        <f>IF(OR(L124="",L123=""),"",L124-L123)</f>
        <v/>
      </c>
      <c r="N124" s="160">
        <f>IF('Datos_fuente'!L124="","",LN('Datos_fuente'!L124))</f>
        <v/>
      </c>
      <c r="O124" s="160">
        <f>IF(OR(N124="",N123=""),"",N124-N123)</f>
        <v/>
      </c>
      <c r="P124" s="162">
        <f>'Datos_fuente'!M124</f>
        <v/>
      </c>
      <c r="Q124" s="160">
        <f>IF('Datos_fuente'!N124="","",LN('Datos_fuente'!N124))</f>
        <v/>
      </c>
      <c r="R124" s="160">
        <f>IF(OR(Q124="",Q123=""),"",Q124-Q123)</f>
        <v/>
      </c>
      <c r="S124" s="161">
        <f>'Datos_fuente'!P124</f>
        <v/>
      </c>
      <c r="T124" s="161">
        <f>IF(OR(S124="",S123=""),"",S124-S123)</f>
        <v/>
      </c>
      <c r="U124" s="160">
        <f>IF('Datos_fuente'!Q124="","",ASINH('Datos_fuente'!Q124/1000))</f>
        <v/>
      </c>
      <c r="V124" s="160">
        <f>IF(OR(U124="",U123=""),"",U124-U123)</f>
        <v/>
      </c>
      <c r="W124" s="160">
        <f>IF('Datos_fuente'!R124="","",ASINH('Datos_fuente'!R124/1000))</f>
        <v/>
      </c>
      <c r="X124" s="160">
        <f>IF(OR(W124="",W123=""),"",W124-W123)</f>
        <v/>
      </c>
      <c r="Y124" s="161">
        <f>'Datos_fuente'!W124</f>
        <v/>
      </c>
      <c r="Z124" s="161">
        <f>IF(OR(Y124="",Y123=""),"",Y124-Y123)</f>
        <v/>
      </c>
      <c r="AA124" s="160">
        <f>'Datos_fuente'!AB124</f>
        <v/>
      </c>
      <c r="AB124" s="160">
        <f>'Datos_fuente'!AC124</f>
        <v/>
      </c>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f>'Datos_fuente'!A125</f>
        <v/>
      </c>
      <c r="B125" s="160">
        <f>IF('Datos_fuente'!B125="","",LN('Datos_fuente'!B125))</f>
        <v/>
      </c>
      <c r="C125" s="160">
        <f>IF(OR(B125="",B124=""),"",B125-B124)</f>
        <v/>
      </c>
      <c r="D125" s="160">
        <f>IF('Datos_fuente'!C125="","",LN('Datos_fuente'!C125))</f>
        <v/>
      </c>
      <c r="E125" s="160">
        <f>IF(OR(D125="",D124=""),"",D125-D124)</f>
        <v/>
      </c>
      <c r="F125" s="160">
        <f>IF('Datos_fuente'!E125="","",LN('Datos_fuente'!E125))</f>
        <v/>
      </c>
      <c r="G125" s="160">
        <f>IF(OR(F125="",F124=""),"",F125-F124)</f>
        <v/>
      </c>
      <c r="H125" s="161">
        <f>'Datos_fuente'!H125</f>
        <v/>
      </c>
      <c r="I125" s="161">
        <f>IF(OR(H125="",H124=""),"",H125-H124)</f>
        <v/>
      </c>
      <c r="J125" s="161">
        <f>'Datos_fuente'!J125</f>
        <v/>
      </c>
      <c r="K125" s="161">
        <f>IF(OR(J125="",J124=""),"",J125-J124)</f>
        <v/>
      </c>
      <c r="L125" s="160">
        <f>IF('Datos_fuente'!K125="","",LN('Datos_fuente'!K125))</f>
        <v/>
      </c>
      <c r="M125" s="160">
        <f>IF(OR(L125="",L124=""),"",L125-L124)</f>
        <v/>
      </c>
      <c r="N125" s="160">
        <f>IF('Datos_fuente'!L125="","",LN('Datos_fuente'!L125))</f>
        <v/>
      </c>
      <c r="O125" s="160">
        <f>IF(OR(N125="",N124=""),"",N125-N124)</f>
        <v/>
      </c>
      <c r="P125" s="162">
        <f>'Datos_fuente'!M125</f>
        <v/>
      </c>
      <c r="Q125" s="160">
        <f>IF('Datos_fuente'!N125="","",LN('Datos_fuente'!N125))</f>
        <v/>
      </c>
      <c r="R125" s="160">
        <f>IF(OR(Q125="",Q124=""),"",Q125-Q124)</f>
        <v/>
      </c>
      <c r="S125" s="161">
        <f>'Datos_fuente'!P125</f>
        <v/>
      </c>
      <c r="T125" s="161">
        <f>IF(OR(S125="",S124=""),"",S125-S124)</f>
        <v/>
      </c>
      <c r="U125" s="160">
        <f>IF('Datos_fuente'!Q125="","",ASINH('Datos_fuente'!Q125/1000))</f>
        <v/>
      </c>
      <c r="V125" s="160">
        <f>IF(OR(U125="",U124=""),"",U125-U124)</f>
        <v/>
      </c>
      <c r="W125" s="160">
        <f>IF('Datos_fuente'!R125="","",ASINH('Datos_fuente'!R125/1000))</f>
        <v/>
      </c>
      <c r="X125" s="160">
        <f>IF(OR(W125="",W124=""),"",W125-W124)</f>
        <v/>
      </c>
      <c r="Y125" s="161">
        <f>'Datos_fuente'!W125</f>
        <v/>
      </c>
      <c r="Z125" s="161">
        <f>IF(OR(Y125="",Y124=""),"",Y125-Y124)</f>
        <v/>
      </c>
      <c r="AA125" s="160">
        <f>'Datos_fuente'!AB125</f>
        <v/>
      </c>
      <c r="AB125" s="160">
        <f>'Datos_fuente'!AC125</f>
        <v/>
      </c>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f>'Datos_fuente'!A126</f>
        <v/>
      </c>
      <c r="B126" s="160">
        <f>IF('Datos_fuente'!B126="","",LN('Datos_fuente'!B126))</f>
        <v/>
      </c>
      <c r="C126" s="160">
        <f>IF(OR(B126="",B125=""),"",B126-B125)</f>
        <v/>
      </c>
      <c r="D126" s="160">
        <f>IF('Datos_fuente'!C126="","",LN('Datos_fuente'!C126))</f>
        <v/>
      </c>
      <c r="E126" s="160">
        <f>IF(OR(D126="",D125=""),"",D126-D125)</f>
        <v/>
      </c>
      <c r="F126" s="160">
        <f>IF('Datos_fuente'!E126="","",LN('Datos_fuente'!E126))</f>
        <v/>
      </c>
      <c r="G126" s="160">
        <f>IF(OR(F126="",F125=""),"",F126-F125)</f>
        <v/>
      </c>
      <c r="H126" s="161">
        <f>'Datos_fuente'!H126</f>
        <v/>
      </c>
      <c r="I126" s="161">
        <f>IF(OR(H126="",H125=""),"",H126-H125)</f>
        <v/>
      </c>
      <c r="J126" s="161">
        <f>'Datos_fuente'!J126</f>
        <v/>
      </c>
      <c r="K126" s="161">
        <f>IF(OR(J126="",J125=""),"",J126-J125)</f>
        <v/>
      </c>
      <c r="L126" s="160">
        <f>IF('Datos_fuente'!K126="","",LN('Datos_fuente'!K126))</f>
        <v/>
      </c>
      <c r="M126" s="160">
        <f>IF(OR(L126="",L125=""),"",L126-L125)</f>
        <v/>
      </c>
      <c r="N126" s="160">
        <f>IF('Datos_fuente'!L126="","",LN('Datos_fuente'!L126))</f>
        <v/>
      </c>
      <c r="O126" s="160">
        <f>IF(OR(N126="",N125=""),"",N126-N125)</f>
        <v/>
      </c>
      <c r="P126" s="162">
        <f>'Datos_fuente'!M126</f>
        <v/>
      </c>
      <c r="Q126" s="160">
        <f>IF('Datos_fuente'!N126="","",LN('Datos_fuente'!N126))</f>
        <v/>
      </c>
      <c r="R126" s="160">
        <f>IF(OR(Q126="",Q125=""),"",Q126-Q125)</f>
        <v/>
      </c>
      <c r="S126" s="161">
        <f>'Datos_fuente'!P126</f>
        <v/>
      </c>
      <c r="T126" s="161">
        <f>IF(OR(S126="",S125=""),"",S126-S125)</f>
        <v/>
      </c>
      <c r="U126" s="160">
        <f>IF('Datos_fuente'!Q126="","",ASINH('Datos_fuente'!Q126/1000))</f>
        <v/>
      </c>
      <c r="V126" s="160">
        <f>IF(OR(U126="",U125=""),"",U126-U125)</f>
        <v/>
      </c>
      <c r="W126" s="160">
        <f>IF('Datos_fuente'!R126="","",ASINH('Datos_fuente'!R126/1000))</f>
        <v/>
      </c>
      <c r="X126" s="160">
        <f>IF(OR(W126="",W125=""),"",W126-W125)</f>
        <v/>
      </c>
      <c r="Y126" s="161">
        <f>'Datos_fuente'!W126</f>
        <v/>
      </c>
      <c r="Z126" s="161">
        <f>IF(OR(Y126="",Y125=""),"",Y126-Y125)</f>
        <v/>
      </c>
      <c r="AA126" s="160">
        <f>'Datos_fuente'!AB126</f>
        <v/>
      </c>
      <c r="AB126" s="160">
        <f>'Datos_fuente'!AC126</f>
        <v/>
      </c>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f>'Datos_fuente'!A127</f>
        <v/>
      </c>
      <c r="B127" s="160">
        <f>IF('Datos_fuente'!B127="","",LN('Datos_fuente'!B127))</f>
        <v/>
      </c>
      <c r="C127" s="160">
        <f>IF(OR(B127="",B126=""),"",B127-B126)</f>
        <v/>
      </c>
      <c r="D127" s="160">
        <f>IF('Datos_fuente'!C127="","",LN('Datos_fuente'!C127))</f>
        <v/>
      </c>
      <c r="E127" s="160">
        <f>IF(OR(D127="",D126=""),"",D127-D126)</f>
        <v/>
      </c>
      <c r="F127" s="160">
        <f>IF('Datos_fuente'!E127="","",LN('Datos_fuente'!E127))</f>
        <v/>
      </c>
      <c r="G127" s="160">
        <f>IF(OR(F127="",F126=""),"",F127-F126)</f>
        <v/>
      </c>
      <c r="H127" s="161">
        <f>'Datos_fuente'!H127</f>
        <v/>
      </c>
      <c r="I127" s="161">
        <f>IF(OR(H127="",H126=""),"",H127-H126)</f>
        <v/>
      </c>
      <c r="J127" s="161">
        <f>'Datos_fuente'!J127</f>
        <v/>
      </c>
      <c r="K127" s="161">
        <f>IF(OR(J127="",J126=""),"",J127-J126)</f>
        <v/>
      </c>
      <c r="L127" s="160">
        <f>IF('Datos_fuente'!K127="","",LN('Datos_fuente'!K127))</f>
        <v/>
      </c>
      <c r="M127" s="160">
        <f>IF(OR(L127="",L126=""),"",L127-L126)</f>
        <v/>
      </c>
      <c r="N127" s="160">
        <f>IF('Datos_fuente'!L127="","",LN('Datos_fuente'!L127))</f>
        <v/>
      </c>
      <c r="O127" s="160">
        <f>IF(OR(N127="",N126=""),"",N127-N126)</f>
        <v/>
      </c>
      <c r="P127" s="162">
        <f>'Datos_fuente'!M127</f>
        <v/>
      </c>
      <c r="Q127" s="160">
        <f>IF('Datos_fuente'!N127="","",LN('Datos_fuente'!N127))</f>
        <v/>
      </c>
      <c r="R127" s="160">
        <f>IF(OR(Q127="",Q126=""),"",Q127-Q126)</f>
        <v/>
      </c>
      <c r="S127" s="161">
        <f>'Datos_fuente'!P127</f>
        <v/>
      </c>
      <c r="T127" s="161">
        <f>IF(OR(S127="",S126=""),"",S127-S126)</f>
        <v/>
      </c>
      <c r="U127" s="160">
        <f>IF('Datos_fuente'!Q127="","",ASINH('Datos_fuente'!Q127/1000))</f>
        <v/>
      </c>
      <c r="V127" s="160">
        <f>IF(OR(U127="",U126=""),"",U127-U126)</f>
        <v/>
      </c>
      <c r="W127" s="160">
        <f>IF('Datos_fuente'!R127="","",ASINH('Datos_fuente'!R127/1000))</f>
        <v/>
      </c>
      <c r="X127" s="160">
        <f>IF(OR(W127="",W126=""),"",W127-W126)</f>
        <v/>
      </c>
      <c r="Y127" s="161">
        <f>'Datos_fuente'!W127</f>
        <v/>
      </c>
      <c r="Z127" s="161">
        <f>IF(OR(Y127="",Y126=""),"",Y127-Y126)</f>
        <v/>
      </c>
      <c r="AA127" s="160">
        <f>'Datos_fuente'!AB127</f>
        <v/>
      </c>
      <c r="AB127" s="160">
        <f>'Datos_fuente'!AC127</f>
        <v/>
      </c>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f>'Datos_fuente'!A128</f>
        <v/>
      </c>
      <c r="B128" s="160">
        <f>IF('Datos_fuente'!B128="","",LN('Datos_fuente'!B128))</f>
        <v/>
      </c>
      <c r="C128" s="160">
        <f>IF(OR(B128="",B127=""),"",B128-B127)</f>
        <v/>
      </c>
      <c r="D128" s="160">
        <f>IF('Datos_fuente'!C128="","",LN('Datos_fuente'!C128))</f>
        <v/>
      </c>
      <c r="E128" s="160">
        <f>IF(OR(D128="",D127=""),"",D128-D127)</f>
        <v/>
      </c>
      <c r="F128" s="160">
        <f>IF('Datos_fuente'!E128="","",LN('Datos_fuente'!E128))</f>
        <v/>
      </c>
      <c r="G128" s="160">
        <f>IF(OR(F128="",F127=""),"",F128-F127)</f>
        <v/>
      </c>
      <c r="H128" s="161">
        <f>'Datos_fuente'!H128</f>
        <v/>
      </c>
      <c r="I128" s="161">
        <f>IF(OR(H128="",H127=""),"",H128-H127)</f>
        <v/>
      </c>
      <c r="J128" s="161">
        <f>'Datos_fuente'!J128</f>
        <v/>
      </c>
      <c r="K128" s="161">
        <f>IF(OR(J128="",J127=""),"",J128-J127)</f>
        <v/>
      </c>
      <c r="L128" s="160">
        <f>IF('Datos_fuente'!K128="","",LN('Datos_fuente'!K128))</f>
        <v/>
      </c>
      <c r="M128" s="160">
        <f>IF(OR(L128="",L127=""),"",L128-L127)</f>
        <v/>
      </c>
      <c r="N128" s="160">
        <f>IF('Datos_fuente'!L128="","",LN('Datos_fuente'!L128))</f>
        <v/>
      </c>
      <c r="O128" s="160">
        <f>IF(OR(N128="",N127=""),"",N128-N127)</f>
        <v/>
      </c>
      <c r="P128" s="162">
        <f>'Datos_fuente'!M128</f>
        <v/>
      </c>
      <c r="Q128" s="160">
        <f>IF('Datos_fuente'!N128="","",LN('Datos_fuente'!N128))</f>
        <v/>
      </c>
      <c r="R128" s="160">
        <f>IF(OR(Q128="",Q127=""),"",Q128-Q127)</f>
        <v/>
      </c>
      <c r="S128" s="161">
        <f>'Datos_fuente'!P128</f>
        <v/>
      </c>
      <c r="T128" s="161">
        <f>IF(OR(S128="",S127=""),"",S128-S127)</f>
        <v/>
      </c>
      <c r="U128" s="160">
        <f>IF('Datos_fuente'!Q128="","",ASINH('Datos_fuente'!Q128/1000))</f>
        <v/>
      </c>
      <c r="V128" s="160">
        <f>IF(OR(U128="",U127=""),"",U128-U127)</f>
        <v/>
      </c>
      <c r="W128" s="160">
        <f>IF('Datos_fuente'!R128="","",ASINH('Datos_fuente'!R128/1000))</f>
        <v/>
      </c>
      <c r="X128" s="160">
        <f>IF(OR(W128="",W127=""),"",W128-W127)</f>
        <v/>
      </c>
      <c r="Y128" s="161">
        <f>'Datos_fuente'!W128</f>
        <v/>
      </c>
      <c r="Z128" s="161">
        <f>IF(OR(Y128="",Y127=""),"",Y128-Y127)</f>
        <v/>
      </c>
      <c r="AA128" s="160">
        <f>'Datos_fuente'!AB128</f>
        <v/>
      </c>
      <c r="AB128" s="160">
        <f>'Datos_fuente'!AC128</f>
        <v/>
      </c>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f>'Datos_fuente'!A129</f>
        <v/>
      </c>
      <c r="B129" s="160">
        <f>IF('Datos_fuente'!B129="","",LN('Datos_fuente'!B129))</f>
        <v/>
      </c>
      <c r="C129" s="160">
        <f>IF(OR(B129="",B128=""),"",B129-B128)</f>
        <v/>
      </c>
      <c r="D129" s="160">
        <f>IF('Datos_fuente'!C129="","",LN('Datos_fuente'!C129))</f>
        <v/>
      </c>
      <c r="E129" s="160">
        <f>IF(OR(D129="",D128=""),"",D129-D128)</f>
        <v/>
      </c>
      <c r="F129" s="160">
        <f>IF('Datos_fuente'!E129="","",LN('Datos_fuente'!E129))</f>
        <v/>
      </c>
      <c r="G129" s="160">
        <f>IF(OR(F129="",F128=""),"",F129-F128)</f>
        <v/>
      </c>
      <c r="H129" s="161">
        <f>'Datos_fuente'!H129</f>
        <v/>
      </c>
      <c r="I129" s="161">
        <f>IF(OR(H129="",H128=""),"",H129-H128)</f>
        <v/>
      </c>
      <c r="J129" s="161">
        <f>'Datos_fuente'!J129</f>
        <v/>
      </c>
      <c r="K129" s="161">
        <f>IF(OR(J129="",J128=""),"",J129-J128)</f>
        <v/>
      </c>
      <c r="L129" s="160">
        <f>IF('Datos_fuente'!K129="","",LN('Datos_fuente'!K129))</f>
        <v/>
      </c>
      <c r="M129" s="160">
        <f>IF(OR(L129="",L128=""),"",L129-L128)</f>
        <v/>
      </c>
      <c r="N129" s="160">
        <f>IF('Datos_fuente'!L129="","",LN('Datos_fuente'!L129))</f>
        <v/>
      </c>
      <c r="O129" s="160">
        <f>IF(OR(N129="",N128=""),"",N129-N128)</f>
        <v/>
      </c>
      <c r="P129" s="162">
        <f>'Datos_fuente'!M129</f>
        <v/>
      </c>
      <c r="Q129" s="160">
        <f>IF('Datos_fuente'!N129="","",LN('Datos_fuente'!N129))</f>
        <v/>
      </c>
      <c r="R129" s="160">
        <f>IF(OR(Q129="",Q128=""),"",Q129-Q128)</f>
        <v/>
      </c>
      <c r="S129" s="161">
        <f>'Datos_fuente'!P129</f>
        <v/>
      </c>
      <c r="T129" s="161">
        <f>IF(OR(S129="",S128=""),"",S129-S128)</f>
        <v/>
      </c>
      <c r="U129" s="160">
        <f>IF('Datos_fuente'!Q129="","",ASINH('Datos_fuente'!Q129/1000))</f>
        <v/>
      </c>
      <c r="V129" s="160">
        <f>IF(OR(U129="",U128=""),"",U129-U128)</f>
        <v/>
      </c>
      <c r="W129" s="160">
        <f>IF('Datos_fuente'!R129="","",ASINH('Datos_fuente'!R129/1000))</f>
        <v/>
      </c>
      <c r="X129" s="160">
        <f>IF(OR(W129="",W128=""),"",W129-W128)</f>
        <v/>
      </c>
      <c r="Y129" s="161">
        <f>'Datos_fuente'!W129</f>
        <v/>
      </c>
      <c r="Z129" s="161">
        <f>IF(OR(Y129="",Y128=""),"",Y129-Y128)</f>
        <v/>
      </c>
      <c r="AA129" s="160">
        <f>'Datos_fuente'!AB129</f>
        <v/>
      </c>
      <c r="AB129" s="160">
        <f>'Datos_fuente'!AC129</f>
        <v/>
      </c>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f>'Datos_fuente'!A130</f>
        <v/>
      </c>
      <c r="B130" s="160">
        <f>IF('Datos_fuente'!B130="","",LN('Datos_fuente'!B130))</f>
        <v/>
      </c>
      <c r="C130" s="160">
        <f>IF(OR(B130="",B129=""),"",B130-B129)</f>
        <v/>
      </c>
      <c r="D130" s="160">
        <f>IF('Datos_fuente'!C130="","",LN('Datos_fuente'!C130))</f>
        <v/>
      </c>
      <c r="E130" s="160">
        <f>IF(OR(D130="",D129=""),"",D130-D129)</f>
        <v/>
      </c>
      <c r="F130" s="160">
        <f>IF('Datos_fuente'!E130="","",LN('Datos_fuente'!E130))</f>
        <v/>
      </c>
      <c r="G130" s="160">
        <f>IF(OR(F130="",F129=""),"",F130-F129)</f>
        <v/>
      </c>
      <c r="H130" s="161">
        <f>'Datos_fuente'!H130</f>
        <v/>
      </c>
      <c r="I130" s="161">
        <f>IF(OR(H130="",H129=""),"",H130-H129)</f>
        <v/>
      </c>
      <c r="J130" s="161">
        <f>'Datos_fuente'!J130</f>
        <v/>
      </c>
      <c r="K130" s="161">
        <f>IF(OR(J130="",J129=""),"",J130-J129)</f>
        <v/>
      </c>
      <c r="L130" s="160">
        <f>IF('Datos_fuente'!K130="","",LN('Datos_fuente'!K130))</f>
        <v/>
      </c>
      <c r="M130" s="160">
        <f>IF(OR(L130="",L129=""),"",L130-L129)</f>
        <v/>
      </c>
      <c r="N130" s="160">
        <f>IF('Datos_fuente'!L130="","",LN('Datos_fuente'!L130))</f>
        <v/>
      </c>
      <c r="O130" s="160">
        <f>IF(OR(N130="",N129=""),"",N130-N129)</f>
        <v/>
      </c>
      <c r="P130" s="162">
        <f>'Datos_fuente'!M130</f>
        <v/>
      </c>
      <c r="Q130" s="160">
        <f>IF('Datos_fuente'!N130="","",LN('Datos_fuente'!N130))</f>
        <v/>
      </c>
      <c r="R130" s="160">
        <f>IF(OR(Q130="",Q129=""),"",Q130-Q129)</f>
        <v/>
      </c>
      <c r="S130" s="161">
        <f>'Datos_fuente'!P130</f>
        <v/>
      </c>
      <c r="T130" s="161">
        <f>IF(OR(S130="",S129=""),"",S130-S129)</f>
        <v/>
      </c>
      <c r="U130" s="160">
        <f>IF('Datos_fuente'!Q130="","",ASINH('Datos_fuente'!Q130/1000))</f>
        <v/>
      </c>
      <c r="V130" s="160">
        <f>IF(OR(U130="",U129=""),"",U130-U129)</f>
        <v/>
      </c>
      <c r="W130" s="160">
        <f>IF('Datos_fuente'!R130="","",ASINH('Datos_fuente'!R130/1000))</f>
        <v/>
      </c>
      <c r="X130" s="160">
        <f>IF(OR(W130="",W129=""),"",W130-W129)</f>
        <v/>
      </c>
      <c r="Y130" s="161">
        <f>'Datos_fuente'!W130</f>
        <v/>
      </c>
      <c r="Z130" s="161">
        <f>IF(OR(Y130="",Y129=""),"",Y130-Y129)</f>
        <v/>
      </c>
      <c r="AA130" s="160">
        <f>'Datos_fuente'!AB130</f>
        <v/>
      </c>
      <c r="AB130" s="160">
        <f>'Datos_fuente'!AC130</f>
        <v/>
      </c>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f>'Datos_fuente'!A131</f>
        <v/>
      </c>
      <c r="B131" s="160">
        <f>IF('Datos_fuente'!B131="","",LN('Datos_fuente'!B131))</f>
        <v/>
      </c>
      <c r="C131" s="160">
        <f>IF(OR(B131="",B130=""),"",B131-B130)</f>
        <v/>
      </c>
      <c r="D131" s="160">
        <f>IF('Datos_fuente'!C131="","",LN('Datos_fuente'!C131))</f>
        <v/>
      </c>
      <c r="E131" s="160">
        <f>IF(OR(D131="",D130=""),"",D131-D130)</f>
        <v/>
      </c>
      <c r="F131" s="160">
        <f>IF('Datos_fuente'!E131="","",LN('Datos_fuente'!E131))</f>
        <v/>
      </c>
      <c r="G131" s="160">
        <f>IF(OR(F131="",F130=""),"",F131-F130)</f>
        <v/>
      </c>
      <c r="H131" s="161">
        <f>'Datos_fuente'!H131</f>
        <v/>
      </c>
      <c r="I131" s="161">
        <f>IF(OR(H131="",H130=""),"",H131-H130)</f>
        <v/>
      </c>
      <c r="J131" s="161">
        <f>'Datos_fuente'!J131</f>
        <v/>
      </c>
      <c r="K131" s="161">
        <f>IF(OR(J131="",J130=""),"",J131-J130)</f>
        <v/>
      </c>
      <c r="L131" s="160">
        <f>IF('Datos_fuente'!K131="","",LN('Datos_fuente'!K131))</f>
        <v/>
      </c>
      <c r="M131" s="160">
        <f>IF(OR(L131="",L130=""),"",L131-L130)</f>
        <v/>
      </c>
      <c r="N131" s="160">
        <f>IF('Datos_fuente'!L131="","",LN('Datos_fuente'!L131))</f>
        <v/>
      </c>
      <c r="O131" s="160">
        <f>IF(OR(N131="",N130=""),"",N131-N130)</f>
        <v/>
      </c>
      <c r="P131" s="162">
        <f>'Datos_fuente'!M131</f>
        <v/>
      </c>
      <c r="Q131" s="160">
        <f>IF('Datos_fuente'!N131="","",LN('Datos_fuente'!N131))</f>
        <v/>
      </c>
      <c r="R131" s="160">
        <f>IF(OR(Q131="",Q130=""),"",Q131-Q130)</f>
        <v/>
      </c>
      <c r="S131" s="161">
        <f>'Datos_fuente'!P131</f>
        <v/>
      </c>
      <c r="T131" s="161">
        <f>IF(OR(S131="",S130=""),"",S131-S130)</f>
        <v/>
      </c>
      <c r="U131" s="160">
        <f>IF('Datos_fuente'!Q131="","",ASINH('Datos_fuente'!Q131/1000))</f>
        <v/>
      </c>
      <c r="V131" s="160">
        <f>IF(OR(U131="",U130=""),"",U131-U130)</f>
        <v/>
      </c>
      <c r="W131" s="160">
        <f>IF('Datos_fuente'!R131="","",ASINH('Datos_fuente'!R131/1000))</f>
        <v/>
      </c>
      <c r="X131" s="160">
        <f>IF(OR(W131="",W130=""),"",W131-W130)</f>
        <v/>
      </c>
      <c r="Y131" s="161">
        <f>'Datos_fuente'!W131</f>
        <v/>
      </c>
      <c r="Z131" s="161">
        <f>IF(OR(Y131="",Y130=""),"",Y131-Y130)</f>
        <v/>
      </c>
      <c r="AA131" s="160">
        <f>'Datos_fuente'!AB131</f>
        <v/>
      </c>
      <c r="AB131" s="160">
        <f>'Datos_fuente'!AC131</f>
        <v/>
      </c>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f>'Datos_fuente'!A132</f>
        <v/>
      </c>
      <c r="B132" s="160">
        <f>IF('Datos_fuente'!B132="","",LN('Datos_fuente'!B132))</f>
        <v/>
      </c>
      <c r="C132" s="160">
        <f>IF(OR(B132="",B131=""),"",B132-B131)</f>
        <v/>
      </c>
      <c r="D132" s="160">
        <f>IF('Datos_fuente'!C132="","",LN('Datos_fuente'!C132))</f>
        <v/>
      </c>
      <c r="E132" s="160">
        <f>IF(OR(D132="",D131=""),"",D132-D131)</f>
        <v/>
      </c>
      <c r="F132" s="160">
        <f>IF('Datos_fuente'!E132="","",LN('Datos_fuente'!E132))</f>
        <v/>
      </c>
      <c r="G132" s="160">
        <f>IF(OR(F132="",F131=""),"",F132-F131)</f>
        <v/>
      </c>
      <c r="H132" s="161">
        <f>'Datos_fuente'!H132</f>
        <v/>
      </c>
      <c r="I132" s="161">
        <f>IF(OR(H132="",H131=""),"",H132-H131)</f>
        <v/>
      </c>
      <c r="J132" s="161">
        <f>'Datos_fuente'!J132</f>
        <v/>
      </c>
      <c r="K132" s="161">
        <f>IF(OR(J132="",J131=""),"",J132-J131)</f>
        <v/>
      </c>
      <c r="L132" s="160">
        <f>IF('Datos_fuente'!K132="","",LN('Datos_fuente'!K132))</f>
        <v/>
      </c>
      <c r="M132" s="160">
        <f>IF(OR(L132="",L131=""),"",L132-L131)</f>
        <v/>
      </c>
      <c r="N132" s="160">
        <f>IF('Datos_fuente'!L132="","",LN('Datos_fuente'!L132))</f>
        <v/>
      </c>
      <c r="O132" s="160">
        <f>IF(OR(N132="",N131=""),"",N132-N131)</f>
        <v/>
      </c>
      <c r="P132" s="162">
        <f>'Datos_fuente'!M132</f>
        <v/>
      </c>
      <c r="Q132" s="160">
        <f>IF('Datos_fuente'!N132="","",LN('Datos_fuente'!N132))</f>
        <v/>
      </c>
      <c r="R132" s="160">
        <f>IF(OR(Q132="",Q131=""),"",Q132-Q131)</f>
        <v/>
      </c>
      <c r="S132" s="161">
        <f>'Datos_fuente'!P132</f>
        <v/>
      </c>
      <c r="T132" s="161">
        <f>IF(OR(S132="",S131=""),"",S132-S131)</f>
        <v/>
      </c>
      <c r="U132" s="160">
        <f>IF('Datos_fuente'!Q132="","",ASINH('Datos_fuente'!Q132/1000))</f>
        <v/>
      </c>
      <c r="V132" s="160">
        <f>IF(OR(U132="",U131=""),"",U132-U131)</f>
        <v/>
      </c>
      <c r="W132" s="160">
        <f>IF('Datos_fuente'!R132="","",ASINH('Datos_fuente'!R132/1000))</f>
        <v/>
      </c>
      <c r="X132" s="160">
        <f>IF(OR(W132="",W131=""),"",W132-W131)</f>
        <v/>
      </c>
      <c r="Y132" s="161">
        <f>'Datos_fuente'!W132</f>
        <v/>
      </c>
      <c r="Z132" s="161">
        <f>IF(OR(Y132="",Y131=""),"",Y132-Y131)</f>
        <v/>
      </c>
      <c r="AA132" s="160">
        <f>'Datos_fuente'!AB132</f>
        <v/>
      </c>
      <c r="AB132" s="160">
        <f>'Datos_fuente'!AC132</f>
        <v/>
      </c>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f>'Datos_fuente'!A133</f>
        <v/>
      </c>
      <c r="B133" s="160">
        <f>IF('Datos_fuente'!B133="","",LN('Datos_fuente'!B133))</f>
        <v/>
      </c>
      <c r="C133" s="160">
        <f>IF(OR(B133="",B132=""),"",B133-B132)</f>
        <v/>
      </c>
      <c r="D133" s="160">
        <f>IF('Datos_fuente'!C133="","",LN('Datos_fuente'!C133))</f>
        <v/>
      </c>
      <c r="E133" s="160">
        <f>IF(OR(D133="",D132=""),"",D133-D132)</f>
        <v/>
      </c>
      <c r="F133" s="160">
        <f>IF('Datos_fuente'!E133="","",LN('Datos_fuente'!E133))</f>
        <v/>
      </c>
      <c r="G133" s="160">
        <f>IF(OR(F133="",F132=""),"",F133-F132)</f>
        <v/>
      </c>
      <c r="H133" s="161">
        <f>'Datos_fuente'!H133</f>
        <v/>
      </c>
      <c r="I133" s="161">
        <f>IF(OR(H133="",H132=""),"",H133-H132)</f>
        <v/>
      </c>
      <c r="J133" s="161">
        <f>'Datos_fuente'!J133</f>
        <v/>
      </c>
      <c r="K133" s="161">
        <f>IF(OR(J133="",J132=""),"",J133-J132)</f>
        <v/>
      </c>
      <c r="L133" s="160">
        <f>IF('Datos_fuente'!K133="","",LN('Datos_fuente'!K133))</f>
        <v/>
      </c>
      <c r="M133" s="160">
        <f>IF(OR(L133="",L132=""),"",L133-L132)</f>
        <v/>
      </c>
      <c r="N133" s="160">
        <f>IF('Datos_fuente'!L133="","",LN('Datos_fuente'!L133))</f>
        <v/>
      </c>
      <c r="O133" s="160">
        <f>IF(OR(N133="",N132=""),"",N133-N132)</f>
        <v/>
      </c>
      <c r="P133" s="162">
        <f>'Datos_fuente'!M133</f>
        <v/>
      </c>
      <c r="Q133" s="160">
        <f>IF('Datos_fuente'!N133="","",LN('Datos_fuente'!N133))</f>
        <v/>
      </c>
      <c r="R133" s="160">
        <f>IF(OR(Q133="",Q132=""),"",Q133-Q132)</f>
        <v/>
      </c>
      <c r="S133" s="161">
        <f>'Datos_fuente'!P133</f>
        <v/>
      </c>
      <c r="T133" s="161">
        <f>IF(OR(S133="",S132=""),"",S133-S132)</f>
        <v/>
      </c>
      <c r="U133" s="160">
        <f>IF('Datos_fuente'!Q133="","",ASINH('Datos_fuente'!Q133/1000))</f>
        <v/>
      </c>
      <c r="V133" s="160">
        <f>IF(OR(U133="",U132=""),"",U133-U132)</f>
        <v/>
      </c>
      <c r="W133" s="160">
        <f>IF('Datos_fuente'!R133="","",ASINH('Datos_fuente'!R133/1000))</f>
        <v/>
      </c>
      <c r="X133" s="160">
        <f>IF(OR(W133="",W132=""),"",W133-W132)</f>
        <v/>
      </c>
      <c r="Y133" s="161">
        <f>'Datos_fuente'!W133</f>
        <v/>
      </c>
      <c r="Z133" s="161">
        <f>IF(OR(Y133="",Y132=""),"",Y133-Y132)</f>
        <v/>
      </c>
      <c r="AA133" s="160">
        <f>'Datos_fuente'!AB133</f>
        <v/>
      </c>
      <c r="AB133" s="160">
        <f>'Datos_fuente'!AC133</f>
        <v/>
      </c>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f>'Datos_fuente'!A134</f>
        <v/>
      </c>
      <c r="B134" s="160">
        <f>IF('Datos_fuente'!B134="","",LN('Datos_fuente'!B134))</f>
        <v/>
      </c>
      <c r="C134" s="160">
        <f>IF(OR(B134="",B133=""),"",B134-B133)</f>
        <v/>
      </c>
      <c r="D134" s="160">
        <f>IF('Datos_fuente'!C134="","",LN('Datos_fuente'!C134))</f>
        <v/>
      </c>
      <c r="E134" s="160">
        <f>IF(OR(D134="",D133=""),"",D134-D133)</f>
        <v/>
      </c>
      <c r="F134" s="160">
        <f>IF('Datos_fuente'!E134="","",LN('Datos_fuente'!E134))</f>
        <v/>
      </c>
      <c r="G134" s="160">
        <f>IF(OR(F134="",F133=""),"",F134-F133)</f>
        <v/>
      </c>
      <c r="H134" s="161">
        <f>'Datos_fuente'!H134</f>
        <v/>
      </c>
      <c r="I134" s="161">
        <f>IF(OR(H134="",H133=""),"",H134-H133)</f>
        <v/>
      </c>
      <c r="J134" s="161">
        <f>'Datos_fuente'!J134</f>
        <v/>
      </c>
      <c r="K134" s="161">
        <f>IF(OR(J134="",J133=""),"",J134-J133)</f>
        <v/>
      </c>
      <c r="L134" s="160">
        <f>IF('Datos_fuente'!K134="","",LN('Datos_fuente'!K134))</f>
        <v/>
      </c>
      <c r="M134" s="160">
        <f>IF(OR(L134="",L133=""),"",L134-L133)</f>
        <v/>
      </c>
      <c r="N134" s="160">
        <f>IF('Datos_fuente'!L134="","",LN('Datos_fuente'!L134))</f>
        <v/>
      </c>
      <c r="O134" s="160">
        <f>IF(OR(N134="",N133=""),"",N134-N133)</f>
        <v/>
      </c>
      <c r="P134" s="162">
        <f>'Datos_fuente'!M134</f>
        <v/>
      </c>
      <c r="Q134" s="160">
        <f>IF('Datos_fuente'!N134="","",LN('Datos_fuente'!N134))</f>
        <v/>
      </c>
      <c r="R134" s="160">
        <f>IF(OR(Q134="",Q133=""),"",Q134-Q133)</f>
        <v/>
      </c>
      <c r="S134" s="161">
        <f>'Datos_fuente'!P134</f>
        <v/>
      </c>
      <c r="T134" s="161">
        <f>IF(OR(S134="",S133=""),"",S134-S133)</f>
        <v/>
      </c>
      <c r="U134" s="160">
        <f>IF('Datos_fuente'!Q134="","",ASINH('Datos_fuente'!Q134/1000))</f>
        <v/>
      </c>
      <c r="V134" s="160">
        <f>IF(OR(U134="",U133=""),"",U134-U133)</f>
        <v/>
      </c>
      <c r="W134" s="160">
        <f>IF('Datos_fuente'!R134="","",ASINH('Datos_fuente'!R134/1000))</f>
        <v/>
      </c>
      <c r="X134" s="160">
        <f>IF(OR(W134="",W133=""),"",W134-W133)</f>
        <v/>
      </c>
      <c r="Y134" s="161">
        <f>'Datos_fuente'!W134</f>
        <v/>
      </c>
      <c r="Z134" s="161">
        <f>IF(OR(Y134="",Y133=""),"",Y134-Y133)</f>
        <v/>
      </c>
      <c r="AA134" s="160">
        <f>'Datos_fuente'!AB134</f>
        <v/>
      </c>
      <c r="AB134" s="160">
        <f>'Datos_fuente'!AC134</f>
        <v/>
      </c>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f>'Datos_fuente'!A135</f>
        <v/>
      </c>
      <c r="B135" s="160">
        <f>IF('Datos_fuente'!B135="","",LN('Datos_fuente'!B135))</f>
        <v/>
      </c>
      <c r="C135" s="160">
        <f>IF(OR(B135="",B134=""),"",B135-B134)</f>
        <v/>
      </c>
      <c r="D135" s="160">
        <f>IF('Datos_fuente'!C135="","",LN('Datos_fuente'!C135))</f>
        <v/>
      </c>
      <c r="E135" s="160">
        <f>IF(OR(D135="",D134=""),"",D135-D134)</f>
        <v/>
      </c>
      <c r="F135" s="160">
        <f>IF('Datos_fuente'!E135="","",LN('Datos_fuente'!E135))</f>
        <v/>
      </c>
      <c r="G135" s="160">
        <f>IF(OR(F135="",F134=""),"",F135-F134)</f>
        <v/>
      </c>
      <c r="H135" s="161">
        <f>'Datos_fuente'!H135</f>
        <v/>
      </c>
      <c r="I135" s="161">
        <f>IF(OR(H135="",H134=""),"",H135-H134)</f>
        <v/>
      </c>
      <c r="J135" s="161">
        <f>'Datos_fuente'!J135</f>
        <v/>
      </c>
      <c r="K135" s="161">
        <f>IF(OR(J135="",J134=""),"",J135-J134)</f>
        <v/>
      </c>
      <c r="L135" s="160">
        <f>IF('Datos_fuente'!K135="","",LN('Datos_fuente'!K135))</f>
        <v/>
      </c>
      <c r="M135" s="160">
        <f>IF(OR(L135="",L134=""),"",L135-L134)</f>
        <v/>
      </c>
      <c r="N135" s="160">
        <f>IF('Datos_fuente'!L135="","",LN('Datos_fuente'!L135))</f>
        <v/>
      </c>
      <c r="O135" s="160">
        <f>IF(OR(N135="",N134=""),"",N135-N134)</f>
        <v/>
      </c>
      <c r="P135" s="162">
        <f>'Datos_fuente'!M135</f>
        <v/>
      </c>
      <c r="Q135" s="160">
        <f>IF('Datos_fuente'!N135="","",LN('Datos_fuente'!N135))</f>
        <v/>
      </c>
      <c r="R135" s="160">
        <f>IF(OR(Q135="",Q134=""),"",Q135-Q134)</f>
        <v/>
      </c>
      <c r="S135" s="161">
        <f>'Datos_fuente'!P135</f>
        <v/>
      </c>
      <c r="T135" s="161">
        <f>IF(OR(S135="",S134=""),"",S135-S134)</f>
        <v/>
      </c>
      <c r="U135" s="160">
        <f>IF('Datos_fuente'!Q135="","",ASINH('Datos_fuente'!Q135/1000))</f>
        <v/>
      </c>
      <c r="V135" s="160">
        <f>IF(OR(U135="",U134=""),"",U135-U134)</f>
        <v/>
      </c>
      <c r="W135" s="160">
        <f>IF('Datos_fuente'!R135="","",ASINH('Datos_fuente'!R135/1000))</f>
        <v/>
      </c>
      <c r="X135" s="160">
        <f>IF(OR(W135="",W134=""),"",W135-W134)</f>
        <v/>
      </c>
      <c r="Y135" s="161">
        <f>'Datos_fuente'!W135</f>
        <v/>
      </c>
      <c r="Z135" s="161">
        <f>IF(OR(Y135="",Y134=""),"",Y135-Y134)</f>
        <v/>
      </c>
      <c r="AA135" s="160">
        <f>'Datos_fuente'!AB135</f>
        <v/>
      </c>
      <c r="AB135" s="160">
        <f>'Datos_fuente'!AC135</f>
        <v/>
      </c>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f>'Datos_fuente'!A136</f>
        <v/>
      </c>
      <c r="B136" s="160">
        <f>IF('Datos_fuente'!B136="","",LN('Datos_fuente'!B136))</f>
        <v/>
      </c>
      <c r="C136" s="160">
        <f>IF(OR(B136="",B135=""),"",B136-B135)</f>
        <v/>
      </c>
      <c r="D136" s="160">
        <f>IF('Datos_fuente'!C136="","",LN('Datos_fuente'!C136))</f>
        <v/>
      </c>
      <c r="E136" s="160">
        <f>IF(OR(D136="",D135=""),"",D136-D135)</f>
        <v/>
      </c>
      <c r="F136" s="160">
        <f>IF('Datos_fuente'!E136="","",LN('Datos_fuente'!E136))</f>
        <v/>
      </c>
      <c r="G136" s="160">
        <f>IF(OR(F136="",F135=""),"",F136-F135)</f>
        <v/>
      </c>
      <c r="H136" s="161">
        <f>'Datos_fuente'!H136</f>
        <v/>
      </c>
      <c r="I136" s="161">
        <f>IF(OR(H136="",H135=""),"",H136-H135)</f>
        <v/>
      </c>
      <c r="J136" s="161">
        <f>'Datos_fuente'!J136</f>
        <v/>
      </c>
      <c r="K136" s="161">
        <f>IF(OR(J136="",J135=""),"",J136-J135)</f>
        <v/>
      </c>
      <c r="L136" s="160">
        <f>IF('Datos_fuente'!K136="","",LN('Datos_fuente'!K136))</f>
        <v/>
      </c>
      <c r="M136" s="160">
        <f>IF(OR(L136="",L135=""),"",L136-L135)</f>
        <v/>
      </c>
      <c r="N136" s="160">
        <f>IF('Datos_fuente'!L136="","",LN('Datos_fuente'!L136))</f>
        <v/>
      </c>
      <c r="O136" s="160">
        <f>IF(OR(N136="",N135=""),"",N136-N135)</f>
        <v/>
      </c>
      <c r="P136" s="162">
        <f>'Datos_fuente'!M136</f>
        <v/>
      </c>
      <c r="Q136" s="160">
        <f>IF('Datos_fuente'!N136="","",LN('Datos_fuente'!N136))</f>
        <v/>
      </c>
      <c r="R136" s="160">
        <f>IF(OR(Q136="",Q135=""),"",Q136-Q135)</f>
        <v/>
      </c>
      <c r="S136" s="161">
        <f>'Datos_fuente'!P136</f>
        <v/>
      </c>
      <c r="T136" s="161">
        <f>IF(OR(S136="",S135=""),"",S136-S135)</f>
        <v/>
      </c>
      <c r="U136" s="160">
        <f>IF('Datos_fuente'!Q136="","",ASINH('Datos_fuente'!Q136/1000))</f>
        <v/>
      </c>
      <c r="V136" s="160">
        <f>IF(OR(U136="",U135=""),"",U136-U135)</f>
        <v/>
      </c>
      <c r="W136" s="160">
        <f>IF('Datos_fuente'!R136="","",ASINH('Datos_fuente'!R136/1000))</f>
        <v/>
      </c>
      <c r="X136" s="160">
        <f>IF(OR(W136="",W135=""),"",W136-W135)</f>
        <v/>
      </c>
      <c r="Y136" s="161">
        <f>'Datos_fuente'!W136</f>
        <v/>
      </c>
      <c r="Z136" s="161">
        <f>IF(OR(Y136="",Y135=""),"",Y136-Y135)</f>
        <v/>
      </c>
      <c r="AA136" s="160">
        <f>'Datos_fuente'!AB136</f>
        <v/>
      </c>
      <c r="AB136" s="160">
        <f>'Datos_fuente'!AC136</f>
        <v/>
      </c>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f>'Datos_fuente'!A137</f>
        <v/>
      </c>
      <c r="B137" s="160">
        <f>IF('Datos_fuente'!B137="","",LN('Datos_fuente'!B137))</f>
        <v/>
      </c>
      <c r="C137" s="160">
        <f>IF(OR(B137="",B136=""),"",B137-B136)</f>
        <v/>
      </c>
      <c r="D137" s="160">
        <f>IF('Datos_fuente'!C137="","",LN('Datos_fuente'!C137))</f>
        <v/>
      </c>
      <c r="E137" s="160">
        <f>IF(OR(D137="",D136=""),"",D137-D136)</f>
        <v/>
      </c>
      <c r="F137" s="160">
        <f>IF('Datos_fuente'!E137="","",LN('Datos_fuente'!E137))</f>
        <v/>
      </c>
      <c r="G137" s="160">
        <f>IF(OR(F137="",F136=""),"",F137-F136)</f>
        <v/>
      </c>
      <c r="H137" s="161">
        <f>'Datos_fuente'!H137</f>
        <v/>
      </c>
      <c r="I137" s="161">
        <f>IF(OR(H137="",H136=""),"",H137-H136)</f>
        <v/>
      </c>
      <c r="J137" s="161">
        <f>'Datos_fuente'!J137</f>
        <v/>
      </c>
      <c r="K137" s="161">
        <f>IF(OR(J137="",J136=""),"",J137-J136)</f>
        <v/>
      </c>
      <c r="L137" s="160">
        <f>IF('Datos_fuente'!K137="","",LN('Datos_fuente'!K137))</f>
        <v/>
      </c>
      <c r="M137" s="160">
        <f>IF(OR(L137="",L136=""),"",L137-L136)</f>
        <v/>
      </c>
      <c r="N137" s="160">
        <f>IF('Datos_fuente'!L137="","",LN('Datos_fuente'!L137))</f>
        <v/>
      </c>
      <c r="O137" s="160">
        <f>IF(OR(N137="",N136=""),"",N137-N136)</f>
        <v/>
      </c>
      <c r="P137" s="162">
        <f>'Datos_fuente'!M137</f>
        <v/>
      </c>
      <c r="Q137" s="160">
        <f>IF('Datos_fuente'!N137="","",LN('Datos_fuente'!N137))</f>
        <v/>
      </c>
      <c r="R137" s="160">
        <f>IF(OR(Q137="",Q136=""),"",Q137-Q136)</f>
        <v/>
      </c>
      <c r="S137" s="161">
        <f>'Datos_fuente'!P137</f>
        <v/>
      </c>
      <c r="T137" s="161">
        <f>IF(OR(S137="",S136=""),"",S137-S136)</f>
        <v/>
      </c>
      <c r="U137" s="160">
        <f>IF('Datos_fuente'!Q137="","",ASINH('Datos_fuente'!Q137/1000))</f>
        <v/>
      </c>
      <c r="V137" s="160">
        <f>IF(OR(U137="",U136=""),"",U137-U136)</f>
        <v/>
      </c>
      <c r="W137" s="160">
        <f>IF('Datos_fuente'!R137="","",ASINH('Datos_fuente'!R137/1000))</f>
        <v/>
      </c>
      <c r="X137" s="160">
        <f>IF(OR(W137="",W136=""),"",W137-W136)</f>
        <v/>
      </c>
      <c r="Y137" s="161">
        <f>'Datos_fuente'!W137</f>
        <v/>
      </c>
      <c r="Z137" s="161">
        <f>IF(OR(Y137="",Y136=""),"",Y137-Y136)</f>
        <v/>
      </c>
      <c r="AA137" s="160">
        <f>'Datos_fuente'!AB137</f>
        <v/>
      </c>
      <c r="AB137" s="160">
        <f>'Datos_fuente'!AC137</f>
        <v/>
      </c>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f>'Datos_fuente'!A138</f>
        <v/>
      </c>
      <c r="B138" s="160">
        <f>IF('Datos_fuente'!B138="","",LN('Datos_fuente'!B138))</f>
        <v/>
      </c>
      <c r="C138" s="160">
        <f>IF(OR(B138="",B137=""),"",B138-B137)</f>
        <v/>
      </c>
      <c r="D138" s="160">
        <f>IF('Datos_fuente'!C138="","",LN('Datos_fuente'!C138))</f>
        <v/>
      </c>
      <c r="E138" s="160">
        <f>IF(OR(D138="",D137=""),"",D138-D137)</f>
        <v/>
      </c>
      <c r="F138" s="160">
        <f>IF('Datos_fuente'!E138="","",LN('Datos_fuente'!E138))</f>
        <v/>
      </c>
      <c r="G138" s="160">
        <f>IF(OR(F138="",F137=""),"",F138-F137)</f>
        <v/>
      </c>
      <c r="H138" s="161">
        <f>'Datos_fuente'!H138</f>
        <v/>
      </c>
      <c r="I138" s="161">
        <f>IF(OR(H138="",H137=""),"",H138-H137)</f>
        <v/>
      </c>
      <c r="J138" s="161">
        <f>'Datos_fuente'!J138</f>
        <v/>
      </c>
      <c r="K138" s="161">
        <f>IF(OR(J138="",J137=""),"",J138-J137)</f>
        <v/>
      </c>
      <c r="L138" s="160">
        <f>IF('Datos_fuente'!K138="","",LN('Datos_fuente'!K138))</f>
        <v/>
      </c>
      <c r="M138" s="160">
        <f>IF(OR(L138="",L137=""),"",L138-L137)</f>
        <v/>
      </c>
      <c r="N138" s="160">
        <f>IF('Datos_fuente'!L138="","",LN('Datos_fuente'!L138))</f>
        <v/>
      </c>
      <c r="O138" s="160">
        <f>IF(OR(N138="",N137=""),"",N138-N137)</f>
        <v/>
      </c>
      <c r="P138" s="162">
        <f>'Datos_fuente'!M138</f>
        <v/>
      </c>
      <c r="Q138" s="160">
        <f>IF('Datos_fuente'!N138="","",LN('Datos_fuente'!N138))</f>
        <v/>
      </c>
      <c r="R138" s="160">
        <f>IF(OR(Q138="",Q137=""),"",Q138-Q137)</f>
        <v/>
      </c>
      <c r="S138" s="161">
        <f>'Datos_fuente'!P138</f>
        <v/>
      </c>
      <c r="T138" s="161">
        <f>IF(OR(S138="",S137=""),"",S138-S137)</f>
        <v/>
      </c>
      <c r="U138" s="160">
        <f>IF('Datos_fuente'!Q138="","",ASINH('Datos_fuente'!Q138/1000))</f>
        <v/>
      </c>
      <c r="V138" s="160">
        <f>IF(OR(U138="",U137=""),"",U138-U137)</f>
        <v/>
      </c>
      <c r="W138" s="160">
        <f>IF('Datos_fuente'!R138="","",ASINH('Datos_fuente'!R138/1000))</f>
        <v/>
      </c>
      <c r="X138" s="160">
        <f>IF(OR(W138="",W137=""),"",W138-W137)</f>
        <v/>
      </c>
      <c r="Y138" s="161">
        <f>'Datos_fuente'!W138</f>
        <v/>
      </c>
      <c r="Z138" s="161">
        <f>IF(OR(Y138="",Y137=""),"",Y138-Y137)</f>
        <v/>
      </c>
      <c r="AA138" s="160">
        <f>'Datos_fuente'!AB138</f>
        <v/>
      </c>
      <c r="AB138" s="160">
        <f>'Datos_fuente'!AC138</f>
        <v/>
      </c>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f>'Datos_fuente'!A139</f>
        <v/>
      </c>
      <c r="B139" s="160">
        <f>IF('Datos_fuente'!B139="","",LN('Datos_fuente'!B139))</f>
        <v/>
      </c>
      <c r="C139" s="160">
        <f>IF(OR(B139="",B138=""),"",B139-B138)</f>
        <v/>
      </c>
      <c r="D139" s="160">
        <f>IF('Datos_fuente'!C139="","",LN('Datos_fuente'!C139))</f>
        <v/>
      </c>
      <c r="E139" s="160">
        <f>IF(OR(D139="",D138=""),"",D139-D138)</f>
        <v/>
      </c>
      <c r="F139" s="160">
        <f>IF('Datos_fuente'!E139="","",LN('Datos_fuente'!E139))</f>
        <v/>
      </c>
      <c r="G139" s="160">
        <f>IF(OR(F139="",F138=""),"",F139-F138)</f>
        <v/>
      </c>
      <c r="H139" s="161">
        <f>'Datos_fuente'!H139</f>
        <v/>
      </c>
      <c r="I139" s="161">
        <f>IF(OR(H139="",H138=""),"",H139-H138)</f>
        <v/>
      </c>
      <c r="J139" s="161">
        <f>'Datos_fuente'!J139</f>
        <v/>
      </c>
      <c r="K139" s="161">
        <f>IF(OR(J139="",J138=""),"",J139-J138)</f>
        <v/>
      </c>
      <c r="L139" s="160">
        <f>IF('Datos_fuente'!K139="","",LN('Datos_fuente'!K139))</f>
        <v/>
      </c>
      <c r="M139" s="160">
        <f>IF(OR(L139="",L138=""),"",L139-L138)</f>
        <v/>
      </c>
      <c r="N139" s="160">
        <f>IF('Datos_fuente'!L139="","",LN('Datos_fuente'!L139))</f>
        <v/>
      </c>
      <c r="O139" s="160">
        <f>IF(OR(N139="",N138=""),"",N139-N138)</f>
        <v/>
      </c>
      <c r="P139" s="162">
        <f>'Datos_fuente'!M139</f>
        <v/>
      </c>
      <c r="Q139" s="160">
        <f>IF('Datos_fuente'!N139="","",LN('Datos_fuente'!N139))</f>
        <v/>
      </c>
      <c r="R139" s="160">
        <f>IF(OR(Q139="",Q138=""),"",Q139-Q138)</f>
        <v/>
      </c>
      <c r="S139" s="161">
        <f>'Datos_fuente'!P139</f>
        <v/>
      </c>
      <c r="T139" s="161">
        <f>IF(OR(S139="",S138=""),"",S139-S138)</f>
        <v/>
      </c>
      <c r="U139" s="160">
        <f>IF('Datos_fuente'!Q139="","",ASINH('Datos_fuente'!Q139/1000))</f>
        <v/>
      </c>
      <c r="V139" s="160">
        <f>IF(OR(U139="",U138=""),"",U139-U138)</f>
        <v/>
      </c>
      <c r="W139" s="160">
        <f>IF('Datos_fuente'!R139="","",ASINH('Datos_fuente'!R139/1000))</f>
        <v/>
      </c>
      <c r="X139" s="160">
        <f>IF(OR(W139="",W138=""),"",W139-W138)</f>
        <v/>
      </c>
      <c r="Y139" s="161">
        <f>'Datos_fuente'!W139</f>
        <v/>
      </c>
      <c r="Z139" s="161">
        <f>IF(OR(Y139="",Y138=""),"",Y139-Y138)</f>
        <v/>
      </c>
      <c r="AA139" s="160">
        <f>'Datos_fuente'!AB139</f>
        <v/>
      </c>
      <c r="AB139" s="160">
        <f>'Datos_fuente'!AC139</f>
        <v/>
      </c>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f>'Datos_fuente'!A140</f>
        <v/>
      </c>
      <c r="B140" s="160">
        <f>IF('Datos_fuente'!B140="","",LN('Datos_fuente'!B140))</f>
        <v/>
      </c>
      <c r="C140" s="160">
        <f>IF(OR(B140="",B139=""),"",B140-B139)</f>
        <v/>
      </c>
      <c r="D140" s="160">
        <f>IF('Datos_fuente'!C140="","",LN('Datos_fuente'!C140))</f>
        <v/>
      </c>
      <c r="E140" s="160">
        <f>IF(OR(D140="",D139=""),"",D140-D139)</f>
        <v/>
      </c>
      <c r="F140" s="160">
        <f>IF('Datos_fuente'!E140="","",LN('Datos_fuente'!E140))</f>
        <v/>
      </c>
      <c r="G140" s="160">
        <f>IF(OR(F140="",F139=""),"",F140-F139)</f>
        <v/>
      </c>
      <c r="H140" s="161">
        <f>'Datos_fuente'!H140</f>
        <v/>
      </c>
      <c r="I140" s="161">
        <f>IF(OR(H140="",H139=""),"",H140-H139)</f>
        <v/>
      </c>
      <c r="J140" s="161">
        <f>'Datos_fuente'!J140</f>
        <v/>
      </c>
      <c r="K140" s="161">
        <f>IF(OR(J140="",J139=""),"",J140-J139)</f>
        <v/>
      </c>
      <c r="L140" s="160">
        <f>IF('Datos_fuente'!K140="","",LN('Datos_fuente'!K140))</f>
        <v/>
      </c>
      <c r="M140" s="160">
        <f>IF(OR(L140="",L139=""),"",L140-L139)</f>
        <v/>
      </c>
      <c r="N140" s="160">
        <f>IF('Datos_fuente'!L140="","",LN('Datos_fuente'!L140))</f>
        <v/>
      </c>
      <c r="O140" s="160">
        <f>IF(OR(N140="",N139=""),"",N140-N139)</f>
        <v/>
      </c>
      <c r="P140" s="162">
        <f>'Datos_fuente'!M140</f>
        <v/>
      </c>
      <c r="Q140" s="160">
        <f>IF('Datos_fuente'!N140="","",LN('Datos_fuente'!N140))</f>
        <v/>
      </c>
      <c r="R140" s="160">
        <f>IF(OR(Q140="",Q139=""),"",Q140-Q139)</f>
        <v/>
      </c>
      <c r="S140" s="161">
        <f>'Datos_fuente'!P140</f>
        <v/>
      </c>
      <c r="T140" s="161">
        <f>IF(OR(S140="",S139=""),"",S140-S139)</f>
        <v/>
      </c>
      <c r="U140" s="160">
        <f>IF('Datos_fuente'!Q140="","",ASINH('Datos_fuente'!Q140/1000))</f>
        <v/>
      </c>
      <c r="V140" s="160">
        <f>IF(OR(U140="",U139=""),"",U140-U139)</f>
        <v/>
      </c>
      <c r="W140" s="160">
        <f>IF('Datos_fuente'!R140="","",ASINH('Datos_fuente'!R140/1000))</f>
        <v/>
      </c>
      <c r="X140" s="160">
        <f>IF(OR(W140="",W139=""),"",W140-W139)</f>
        <v/>
      </c>
      <c r="Y140" s="161">
        <f>'Datos_fuente'!W140</f>
        <v/>
      </c>
      <c r="Z140" s="161">
        <f>IF(OR(Y140="",Y139=""),"",Y140-Y139)</f>
        <v/>
      </c>
      <c r="AA140" s="160">
        <f>'Datos_fuente'!AB140</f>
        <v/>
      </c>
      <c r="AB140" s="160">
        <f>'Datos_fuente'!AC140</f>
        <v/>
      </c>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f>'Datos_fuente'!A141</f>
        <v/>
      </c>
      <c r="B141" s="160">
        <f>IF('Datos_fuente'!B141="","",LN('Datos_fuente'!B141))</f>
        <v/>
      </c>
      <c r="C141" s="160">
        <f>IF(OR(B141="",B140=""),"",B141-B140)</f>
        <v/>
      </c>
      <c r="D141" s="160">
        <f>IF('Datos_fuente'!C141="","",LN('Datos_fuente'!C141))</f>
        <v/>
      </c>
      <c r="E141" s="160">
        <f>IF(OR(D141="",D140=""),"",D141-D140)</f>
        <v/>
      </c>
      <c r="F141" s="160">
        <f>IF('Datos_fuente'!E141="","",LN('Datos_fuente'!E141))</f>
        <v/>
      </c>
      <c r="G141" s="160">
        <f>IF(OR(F141="",F140=""),"",F141-F140)</f>
        <v/>
      </c>
      <c r="H141" s="161">
        <f>'Datos_fuente'!H141</f>
        <v/>
      </c>
      <c r="I141" s="161">
        <f>IF(OR(H141="",H140=""),"",H141-H140)</f>
        <v/>
      </c>
      <c r="J141" s="161">
        <f>'Datos_fuente'!J141</f>
        <v/>
      </c>
      <c r="K141" s="161">
        <f>IF(OR(J141="",J140=""),"",J141-J140)</f>
        <v/>
      </c>
      <c r="L141" s="160">
        <f>IF('Datos_fuente'!K141="","",LN('Datos_fuente'!K141))</f>
        <v/>
      </c>
      <c r="M141" s="160">
        <f>IF(OR(L141="",L140=""),"",L141-L140)</f>
        <v/>
      </c>
      <c r="N141" s="160">
        <f>IF('Datos_fuente'!L141="","",LN('Datos_fuente'!L141))</f>
        <v/>
      </c>
      <c r="O141" s="160">
        <f>IF(OR(N141="",N140=""),"",N141-N140)</f>
        <v/>
      </c>
      <c r="P141" s="162">
        <f>'Datos_fuente'!M141</f>
        <v/>
      </c>
      <c r="Q141" s="160">
        <f>IF('Datos_fuente'!N141="","",LN('Datos_fuente'!N141))</f>
        <v/>
      </c>
      <c r="R141" s="160">
        <f>IF(OR(Q141="",Q140=""),"",Q141-Q140)</f>
        <v/>
      </c>
      <c r="S141" s="161">
        <f>'Datos_fuente'!P141</f>
        <v/>
      </c>
      <c r="T141" s="161">
        <f>IF(OR(S141="",S140=""),"",S141-S140)</f>
        <v/>
      </c>
      <c r="U141" s="160">
        <f>IF('Datos_fuente'!Q141="","",ASINH('Datos_fuente'!Q141/1000))</f>
        <v/>
      </c>
      <c r="V141" s="160">
        <f>IF(OR(U141="",U140=""),"",U141-U140)</f>
        <v/>
      </c>
      <c r="W141" s="160">
        <f>IF('Datos_fuente'!R141="","",ASINH('Datos_fuente'!R141/1000))</f>
        <v/>
      </c>
      <c r="X141" s="160">
        <f>IF(OR(W141="",W140=""),"",W141-W140)</f>
        <v/>
      </c>
      <c r="Y141" s="161">
        <f>'Datos_fuente'!W141</f>
        <v/>
      </c>
      <c r="Z141" s="161">
        <f>IF(OR(Y141="",Y140=""),"",Y141-Y140)</f>
        <v/>
      </c>
      <c r="AA141" s="160">
        <f>'Datos_fuente'!AB141</f>
        <v/>
      </c>
      <c r="AB141" s="160">
        <f>'Datos_fuente'!AC141</f>
        <v/>
      </c>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f>'Datos_fuente'!A142</f>
        <v/>
      </c>
      <c r="B142" s="160">
        <f>IF('Datos_fuente'!B142="","",LN('Datos_fuente'!B142))</f>
        <v/>
      </c>
      <c r="C142" s="160">
        <f>IF(OR(B142="",B141=""),"",B142-B141)</f>
        <v/>
      </c>
      <c r="D142" s="160">
        <f>IF('Datos_fuente'!C142="","",LN('Datos_fuente'!C142))</f>
        <v/>
      </c>
      <c r="E142" s="160">
        <f>IF(OR(D142="",D141=""),"",D142-D141)</f>
        <v/>
      </c>
      <c r="F142" s="160">
        <f>IF('Datos_fuente'!E142="","",LN('Datos_fuente'!E142))</f>
        <v/>
      </c>
      <c r="G142" s="160">
        <f>IF(OR(F142="",F141=""),"",F142-F141)</f>
        <v/>
      </c>
      <c r="H142" s="161">
        <f>'Datos_fuente'!H142</f>
        <v/>
      </c>
      <c r="I142" s="161">
        <f>IF(OR(H142="",H141=""),"",H142-H141)</f>
        <v/>
      </c>
      <c r="J142" s="161">
        <f>'Datos_fuente'!J142</f>
        <v/>
      </c>
      <c r="K142" s="161">
        <f>IF(OR(J142="",J141=""),"",J142-J141)</f>
        <v/>
      </c>
      <c r="L142" s="160">
        <f>IF('Datos_fuente'!K142="","",LN('Datos_fuente'!K142))</f>
        <v/>
      </c>
      <c r="M142" s="160">
        <f>IF(OR(L142="",L141=""),"",L142-L141)</f>
        <v/>
      </c>
      <c r="N142" s="160">
        <f>IF('Datos_fuente'!L142="","",LN('Datos_fuente'!L142))</f>
        <v/>
      </c>
      <c r="O142" s="160">
        <f>IF(OR(N142="",N141=""),"",N142-N141)</f>
        <v/>
      </c>
      <c r="P142" s="162">
        <f>'Datos_fuente'!M142</f>
        <v/>
      </c>
      <c r="Q142" s="160">
        <f>IF('Datos_fuente'!N142="","",LN('Datos_fuente'!N142))</f>
        <v/>
      </c>
      <c r="R142" s="160">
        <f>IF(OR(Q142="",Q141=""),"",Q142-Q141)</f>
        <v/>
      </c>
      <c r="S142" s="161">
        <f>'Datos_fuente'!P142</f>
        <v/>
      </c>
      <c r="T142" s="161">
        <f>IF(OR(S142="",S141=""),"",S142-S141)</f>
        <v/>
      </c>
      <c r="U142" s="160">
        <f>IF('Datos_fuente'!Q142="","",ASINH('Datos_fuente'!Q142/1000))</f>
        <v/>
      </c>
      <c r="V142" s="160">
        <f>IF(OR(U142="",U141=""),"",U142-U141)</f>
        <v/>
      </c>
      <c r="W142" s="160">
        <f>IF('Datos_fuente'!R142="","",ASINH('Datos_fuente'!R142/1000))</f>
        <v/>
      </c>
      <c r="X142" s="160">
        <f>IF(OR(W142="",W141=""),"",W142-W141)</f>
        <v/>
      </c>
      <c r="Y142" s="161">
        <f>'Datos_fuente'!W142</f>
        <v/>
      </c>
      <c r="Z142" s="161">
        <f>IF(OR(Y142="",Y141=""),"",Y142-Y141)</f>
        <v/>
      </c>
      <c r="AA142" s="160">
        <f>'Datos_fuente'!AB142</f>
        <v/>
      </c>
      <c r="AB142" s="160">
        <f>'Datos_fuente'!AC142</f>
        <v/>
      </c>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f>'Datos_fuente'!A143</f>
        <v/>
      </c>
      <c r="B143" s="160">
        <f>IF('Datos_fuente'!B143="","",LN('Datos_fuente'!B143))</f>
        <v/>
      </c>
      <c r="C143" s="160">
        <f>IF(OR(B143="",B142=""),"",B143-B142)</f>
        <v/>
      </c>
      <c r="D143" s="160">
        <f>IF('Datos_fuente'!C143="","",LN('Datos_fuente'!C143))</f>
        <v/>
      </c>
      <c r="E143" s="160">
        <f>IF(OR(D143="",D142=""),"",D143-D142)</f>
        <v/>
      </c>
      <c r="F143" s="160">
        <f>IF('Datos_fuente'!E143="","",LN('Datos_fuente'!E143))</f>
        <v/>
      </c>
      <c r="G143" s="160">
        <f>IF(OR(F143="",F142=""),"",F143-F142)</f>
        <v/>
      </c>
      <c r="H143" s="161">
        <f>'Datos_fuente'!H143</f>
        <v/>
      </c>
      <c r="I143" s="161">
        <f>IF(OR(H143="",H142=""),"",H143-H142)</f>
        <v/>
      </c>
      <c r="J143" s="161">
        <f>'Datos_fuente'!J143</f>
        <v/>
      </c>
      <c r="K143" s="161">
        <f>IF(OR(J143="",J142=""),"",J143-J142)</f>
        <v/>
      </c>
      <c r="L143" s="160">
        <f>IF('Datos_fuente'!K143="","",LN('Datos_fuente'!K143))</f>
        <v/>
      </c>
      <c r="M143" s="160">
        <f>IF(OR(L143="",L142=""),"",L143-L142)</f>
        <v/>
      </c>
      <c r="N143" s="160">
        <f>IF('Datos_fuente'!L143="","",LN('Datos_fuente'!L143))</f>
        <v/>
      </c>
      <c r="O143" s="160">
        <f>IF(OR(N143="",N142=""),"",N143-N142)</f>
        <v/>
      </c>
      <c r="P143" s="162">
        <f>'Datos_fuente'!M143</f>
        <v/>
      </c>
      <c r="Q143" s="160">
        <f>IF('Datos_fuente'!N143="","",LN('Datos_fuente'!N143))</f>
        <v/>
      </c>
      <c r="R143" s="160">
        <f>IF(OR(Q143="",Q142=""),"",Q143-Q142)</f>
        <v/>
      </c>
      <c r="S143" s="161">
        <f>'Datos_fuente'!P143</f>
        <v/>
      </c>
      <c r="T143" s="161">
        <f>IF(OR(S143="",S142=""),"",S143-S142)</f>
        <v/>
      </c>
      <c r="U143" s="160">
        <f>IF('Datos_fuente'!Q143="","",ASINH('Datos_fuente'!Q143/1000))</f>
        <v/>
      </c>
      <c r="V143" s="160">
        <f>IF(OR(U143="",U142=""),"",U143-U142)</f>
        <v/>
      </c>
      <c r="W143" s="160">
        <f>IF('Datos_fuente'!R143="","",ASINH('Datos_fuente'!R143/1000))</f>
        <v/>
      </c>
      <c r="X143" s="160">
        <f>IF(OR(W143="",W142=""),"",W143-W142)</f>
        <v/>
      </c>
      <c r="Y143" s="161">
        <f>'Datos_fuente'!W143</f>
        <v/>
      </c>
      <c r="Z143" s="161">
        <f>IF(OR(Y143="",Y142=""),"",Y143-Y142)</f>
        <v/>
      </c>
      <c r="AA143" s="160">
        <f>'Datos_fuente'!AB143</f>
        <v/>
      </c>
      <c r="AB143" s="160">
        <f>'Datos_fuente'!AC143</f>
        <v/>
      </c>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f>'Datos_fuente'!A144</f>
        <v/>
      </c>
      <c r="B144" s="160">
        <f>IF('Datos_fuente'!B144="","",LN('Datos_fuente'!B144))</f>
        <v/>
      </c>
      <c r="C144" s="160">
        <f>IF(OR(B144="",B143=""),"",B144-B143)</f>
        <v/>
      </c>
      <c r="D144" s="160">
        <f>IF('Datos_fuente'!C144="","",LN('Datos_fuente'!C144))</f>
        <v/>
      </c>
      <c r="E144" s="160">
        <f>IF(OR(D144="",D143=""),"",D144-D143)</f>
        <v/>
      </c>
      <c r="F144" s="160">
        <f>IF('Datos_fuente'!E144="","",LN('Datos_fuente'!E144))</f>
        <v/>
      </c>
      <c r="G144" s="160">
        <f>IF(OR(F144="",F143=""),"",F144-F143)</f>
        <v/>
      </c>
      <c r="H144" s="161">
        <f>'Datos_fuente'!H144</f>
        <v/>
      </c>
      <c r="I144" s="161">
        <f>IF(OR(H144="",H143=""),"",H144-H143)</f>
        <v/>
      </c>
      <c r="J144" s="161">
        <f>'Datos_fuente'!J144</f>
        <v/>
      </c>
      <c r="K144" s="161">
        <f>IF(OR(J144="",J143=""),"",J144-J143)</f>
        <v/>
      </c>
      <c r="L144" s="160">
        <f>IF('Datos_fuente'!K144="","",LN('Datos_fuente'!K144))</f>
        <v/>
      </c>
      <c r="M144" s="160">
        <f>IF(OR(L144="",L143=""),"",L144-L143)</f>
        <v/>
      </c>
      <c r="N144" s="160">
        <f>IF('Datos_fuente'!L144="","",LN('Datos_fuente'!L144))</f>
        <v/>
      </c>
      <c r="O144" s="160">
        <f>IF(OR(N144="",N143=""),"",N144-N143)</f>
        <v/>
      </c>
      <c r="P144" s="162">
        <f>'Datos_fuente'!M144</f>
        <v/>
      </c>
      <c r="Q144" s="160">
        <f>IF('Datos_fuente'!N144="","",LN('Datos_fuente'!N144))</f>
        <v/>
      </c>
      <c r="R144" s="160">
        <f>IF(OR(Q144="",Q143=""),"",Q144-Q143)</f>
        <v/>
      </c>
      <c r="S144" s="161">
        <f>'Datos_fuente'!P144</f>
        <v/>
      </c>
      <c r="T144" s="161">
        <f>IF(OR(S144="",S143=""),"",S144-S143)</f>
        <v/>
      </c>
      <c r="U144" s="160">
        <f>IF('Datos_fuente'!Q144="","",ASINH('Datos_fuente'!Q144/1000))</f>
        <v/>
      </c>
      <c r="V144" s="160">
        <f>IF(OR(U144="",U143=""),"",U144-U143)</f>
        <v/>
      </c>
      <c r="W144" s="160">
        <f>IF('Datos_fuente'!R144="","",ASINH('Datos_fuente'!R144/1000))</f>
        <v/>
      </c>
      <c r="X144" s="160">
        <f>IF(OR(W144="",W143=""),"",W144-W143)</f>
        <v/>
      </c>
      <c r="Y144" s="161">
        <f>'Datos_fuente'!W144</f>
        <v/>
      </c>
      <c r="Z144" s="161">
        <f>IF(OR(Y144="",Y143=""),"",Y144-Y143)</f>
        <v/>
      </c>
      <c r="AA144" s="160">
        <f>'Datos_fuente'!AB144</f>
        <v/>
      </c>
      <c r="AB144" s="160">
        <f>'Datos_fuente'!AC144</f>
        <v/>
      </c>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f>'Datos_fuente'!A145</f>
        <v/>
      </c>
      <c r="B145" s="160">
        <f>IF('Datos_fuente'!B145="","",LN('Datos_fuente'!B145))</f>
        <v/>
      </c>
      <c r="C145" s="160">
        <f>IF(OR(B145="",B144=""),"",B145-B144)</f>
        <v/>
      </c>
      <c r="D145" s="160">
        <f>IF('Datos_fuente'!C145="","",LN('Datos_fuente'!C145))</f>
        <v/>
      </c>
      <c r="E145" s="160">
        <f>IF(OR(D145="",D144=""),"",D145-D144)</f>
        <v/>
      </c>
      <c r="F145" s="160">
        <f>IF('Datos_fuente'!E145="","",LN('Datos_fuente'!E145))</f>
        <v/>
      </c>
      <c r="G145" s="160">
        <f>IF(OR(F145="",F144=""),"",F145-F144)</f>
        <v/>
      </c>
      <c r="H145" s="161">
        <f>'Datos_fuente'!H145</f>
        <v/>
      </c>
      <c r="I145" s="161">
        <f>IF(OR(H145="",H144=""),"",H145-H144)</f>
        <v/>
      </c>
      <c r="J145" s="161">
        <f>'Datos_fuente'!J145</f>
        <v/>
      </c>
      <c r="K145" s="161">
        <f>IF(OR(J145="",J144=""),"",J145-J144)</f>
        <v/>
      </c>
      <c r="L145" s="160">
        <f>IF('Datos_fuente'!K145="","",LN('Datos_fuente'!K145))</f>
        <v/>
      </c>
      <c r="M145" s="160">
        <f>IF(OR(L145="",L144=""),"",L145-L144)</f>
        <v/>
      </c>
      <c r="N145" s="160">
        <f>IF('Datos_fuente'!L145="","",LN('Datos_fuente'!L145))</f>
        <v/>
      </c>
      <c r="O145" s="160">
        <f>IF(OR(N145="",N144=""),"",N145-N144)</f>
        <v/>
      </c>
      <c r="P145" s="162">
        <f>'Datos_fuente'!M145</f>
        <v/>
      </c>
      <c r="Q145" s="160">
        <f>IF('Datos_fuente'!N145="","",LN('Datos_fuente'!N145))</f>
        <v/>
      </c>
      <c r="R145" s="160">
        <f>IF(OR(Q145="",Q144=""),"",Q145-Q144)</f>
        <v/>
      </c>
      <c r="S145" s="161">
        <f>'Datos_fuente'!P145</f>
        <v/>
      </c>
      <c r="T145" s="161">
        <f>IF(OR(S145="",S144=""),"",S145-S144)</f>
        <v/>
      </c>
      <c r="U145" s="160">
        <f>IF('Datos_fuente'!Q145="","",ASINH('Datos_fuente'!Q145/1000))</f>
        <v/>
      </c>
      <c r="V145" s="160">
        <f>IF(OR(U145="",U144=""),"",U145-U144)</f>
        <v/>
      </c>
      <c r="W145" s="160">
        <f>IF('Datos_fuente'!R145="","",ASINH('Datos_fuente'!R145/1000))</f>
        <v/>
      </c>
      <c r="X145" s="160">
        <f>IF(OR(W145="",W144=""),"",W145-W144)</f>
        <v/>
      </c>
      <c r="Y145" s="161">
        <f>'Datos_fuente'!W145</f>
        <v/>
      </c>
      <c r="Z145" s="161">
        <f>IF(OR(Y145="",Y144=""),"",Y145-Y144)</f>
        <v/>
      </c>
      <c r="AA145" s="160">
        <f>'Datos_fuente'!AB145</f>
        <v/>
      </c>
      <c r="AB145" s="160">
        <f>'Datos_fuente'!AC145</f>
        <v/>
      </c>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f>'Datos_fuente'!A146</f>
        <v/>
      </c>
      <c r="B146" s="160">
        <f>IF('Datos_fuente'!B146="","",LN('Datos_fuente'!B146))</f>
        <v/>
      </c>
      <c r="C146" s="160">
        <f>IF(OR(B146="",B145=""),"",B146-B145)</f>
        <v/>
      </c>
      <c r="D146" s="160">
        <f>IF('Datos_fuente'!C146="","",LN('Datos_fuente'!C146))</f>
        <v/>
      </c>
      <c r="E146" s="160">
        <f>IF(OR(D146="",D145=""),"",D146-D145)</f>
        <v/>
      </c>
      <c r="F146" s="160">
        <f>IF('Datos_fuente'!E146="","",LN('Datos_fuente'!E146))</f>
        <v/>
      </c>
      <c r="G146" s="160">
        <f>IF(OR(F146="",F145=""),"",F146-F145)</f>
        <v/>
      </c>
      <c r="H146" s="161">
        <f>'Datos_fuente'!H146</f>
        <v/>
      </c>
      <c r="I146" s="161">
        <f>IF(OR(H146="",H145=""),"",H146-H145)</f>
        <v/>
      </c>
      <c r="J146" s="161">
        <f>'Datos_fuente'!J146</f>
        <v/>
      </c>
      <c r="K146" s="161">
        <f>IF(OR(J146="",J145=""),"",J146-J145)</f>
        <v/>
      </c>
      <c r="L146" s="160">
        <f>IF('Datos_fuente'!K146="","",LN('Datos_fuente'!K146))</f>
        <v/>
      </c>
      <c r="M146" s="160">
        <f>IF(OR(L146="",L145=""),"",L146-L145)</f>
        <v/>
      </c>
      <c r="N146" s="160">
        <f>IF('Datos_fuente'!L146="","",LN('Datos_fuente'!L146))</f>
        <v/>
      </c>
      <c r="O146" s="160">
        <f>IF(OR(N146="",N145=""),"",N146-N145)</f>
        <v/>
      </c>
      <c r="P146" s="162">
        <f>'Datos_fuente'!M146</f>
        <v/>
      </c>
      <c r="Q146" s="160">
        <f>IF('Datos_fuente'!N146="","",LN('Datos_fuente'!N146))</f>
        <v/>
      </c>
      <c r="R146" s="160">
        <f>IF(OR(Q146="",Q145=""),"",Q146-Q145)</f>
        <v/>
      </c>
      <c r="S146" s="161">
        <f>'Datos_fuente'!P146</f>
        <v/>
      </c>
      <c r="T146" s="161">
        <f>IF(OR(S146="",S145=""),"",S146-S145)</f>
        <v/>
      </c>
      <c r="U146" s="160">
        <f>IF('Datos_fuente'!Q146="","",ASINH('Datos_fuente'!Q146/1000))</f>
        <v/>
      </c>
      <c r="V146" s="160">
        <f>IF(OR(U146="",U145=""),"",U146-U145)</f>
        <v/>
      </c>
      <c r="W146" s="160">
        <f>IF('Datos_fuente'!R146="","",ASINH('Datos_fuente'!R146/1000))</f>
        <v/>
      </c>
      <c r="X146" s="160">
        <f>IF(OR(W146="",W145=""),"",W146-W145)</f>
        <v/>
      </c>
      <c r="Y146" s="161">
        <f>'Datos_fuente'!W146</f>
        <v/>
      </c>
      <c r="Z146" s="161">
        <f>IF(OR(Y146="",Y145=""),"",Y146-Y145)</f>
        <v/>
      </c>
      <c r="AA146" s="160">
        <f>'Datos_fuente'!AB146</f>
        <v/>
      </c>
      <c r="AB146" s="160">
        <f>'Datos_fuente'!AC146</f>
        <v/>
      </c>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f>'Datos_fuente'!A147</f>
        <v/>
      </c>
      <c r="B147" s="160">
        <f>IF('Datos_fuente'!B147="","",LN('Datos_fuente'!B147))</f>
        <v/>
      </c>
      <c r="C147" s="160">
        <f>IF(OR(B147="",B146=""),"",B147-B146)</f>
        <v/>
      </c>
      <c r="D147" s="160">
        <f>IF('Datos_fuente'!C147="","",LN('Datos_fuente'!C147))</f>
        <v/>
      </c>
      <c r="E147" s="160">
        <f>IF(OR(D147="",D146=""),"",D147-D146)</f>
        <v/>
      </c>
      <c r="F147" s="160">
        <f>IF('Datos_fuente'!E147="","",LN('Datos_fuente'!E147))</f>
        <v/>
      </c>
      <c r="G147" s="160">
        <f>IF(OR(F147="",F146=""),"",F147-F146)</f>
        <v/>
      </c>
      <c r="H147" s="161">
        <f>'Datos_fuente'!H147</f>
        <v/>
      </c>
      <c r="I147" s="161">
        <f>IF(OR(H147="",H146=""),"",H147-H146)</f>
        <v/>
      </c>
      <c r="J147" s="161">
        <f>'Datos_fuente'!J147</f>
        <v/>
      </c>
      <c r="K147" s="161">
        <f>IF(OR(J147="",J146=""),"",J147-J146)</f>
        <v/>
      </c>
      <c r="L147" s="160">
        <f>IF('Datos_fuente'!K147="","",LN('Datos_fuente'!K147))</f>
        <v/>
      </c>
      <c r="M147" s="160">
        <f>IF(OR(L147="",L146=""),"",L147-L146)</f>
        <v/>
      </c>
      <c r="N147" s="160">
        <f>IF('Datos_fuente'!L147="","",LN('Datos_fuente'!L147))</f>
        <v/>
      </c>
      <c r="O147" s="160">
        <f>IF(OR(N147="",N146=""),"",N147-N146)</f>
        <v/>
      </c>
      <c r="P147" s="162">
        <f>'Datos_fuente'!M147</f>
        <v/>
      </c>
      <c r="Q147" s="160">
        <f>IF('Datos_fuente'!N147="","",LN('Datos_fuente'!N147))</f>
        <v/>
      </c>
      <c r="R147" s="160">
        <f>IF(OR(Q147="",Q146=""),"",Q147-Q146)</f>
        <v/>
      </c>
      <c r="S147" s="161">
        <f>'Datos_fuente'!P147</f>
        <v/>
      </c>
      <c r="T147" s="161">
        <f>IF(OR(S147="",S146=""),"",S147-S146)</f>
        <v/>
      </c>
      <c r="U147" s="160">
        <f>IF('Datos_fuente'!Q147="","",ASINH('Datos_fuente'!Q147/1000))</f>
        <v/>
      </c>
      <c r="V147" s="160">
        <f>IF(OR(U147="",U146=""),"",U147-U146)</f>
        <v/>
      </c>
      <c r="W147" s="160">
        <f>IF('Datos_fuente'!R147="","",ASINH('Datos_fuente'!R147/1000))</f>
        <v/>
      </c>
      <c r="X147" s="160">
        <f>IF(OR(W147="",W146=""),"",W147-W146)</f>
        <v/>
      </c>
      <c r="Y147" s="161">
        <f>'Datos_fuente'!W147</f>
        <v/>
      </c>
      <c r="Z147" s="161">
        <f>IF(OR(Y147="",Y146=""),"",Y147-Y146)</f>
        <v/>
      </c>
      <c r="AA147" s="160">
        <f>'Datos_fuente'!AB147</f>
        <v/>
      </c>
      <c r="AB147" s="160">
        <f>'Datos_fuente'!AC147</f>
        <v/>
      </c>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f>'Datos_fuente'!A148</f>
        <v/>
      </c>
      <c r="B148" s="160">
        <f>IF('Datos_fuente'!B148="","",LN('Datos_fuente'!B148))</f>
        <v/>
      </c>
      <c r="C148" s="160">
        <f>IF(OR(B148="",B147=""),"",B148-B147)</f>
        <v/>
      </c>
      <c r="D148" s="160">
        <f>IF('Datos_fuente'!C148="","",LN('Datos_fuente'!C148))</f>
        <v/>
      </c>
      <c r="E148" s="160">
        <f>IF(OR(D148="",D147=""),"",D148-D147)</f>
        <v/>
      </c>
      <c r="F148" s="160">
        <f>IF('Datos_fuente'!E148="","",LN('Datos_fuente'!E148))</f>
        <v/>
      </c>
      <c r="G148" s="160">
        <f>IF(OR(F148="",F147=""),"",F148-F147)</f>
        <v/>
      </c>
      <c r="H148" s="161">
        <f>'Datos_fuente'!H148</f>
        <v/>
      </c>
      <c r="I148" s="161">
        <f>IF(OR(H148="",H147=""),"",H148-H147)</f>
        <v/>
      </c>
      <c r="J148" s="161">
        <f>'Datos_fuente'!J148</f>
        <v/>
      </c>
      <c r="K148" s="161">
        <f>IF(OR(J148="",J147=""),"",J148-J147)</f>
        <v/>
      </c>
      <c r="L148" s="160">
        <f>IF('Datos_fuente'!K148="","",LN('Datos_fuente'!K148))</f>
        <v/>
      </c>
      <c r="M148" s="160">
        <f>IF(OR(L148="",L147=""),"",L148-L147)</f>
        <v/>
      </c>
      <c r="N148" s="160">
        <f>IF('Datos_fuente'!L148="","",LN('Datos_fuente'!L148))</f>
        <v/>
      </c>
      <c r="O148" s="160">
        <f>IF(OR(N148="",N147=""),"",N148-N147)</f>
        <v/>
      </c>
      <c r="P148" s="162">
        <f>'Datos_fuente'!M148</f>
        <v/>
      </c>
      <c r="Q148" s="160">
        <f>IF('Datos_fuente'!N148="","",LN('Datos_fuente'!N148))</f>
        <v/>
      </c>
      <c r="R148" s="160">
        <f>IF(OR(Q148="",Q147=""),"",Q148-Q147)</f>
        <v/>
      </c>
      <c r="S148" s="161">
        <f>'Datos_fuente'!P148</f>
        <v/>
      </c>
      <c r="T148" s="161">
        <f>IF(OR(S148="",S147=""),"",S148-S147)</f>
        <v/>
      </c>
      <c r="U148" s="160">
        <f>IF('Datos_fuente'!Q148="","",ASINH('Datos_fuente'!Q148/1000))</f>
        <v/>
      </c>
      <c r="V148" s="160">
        <f>IF(OR(U148="",U147=""),"",U148-U147)</f>
        <v/>
      </c>
      <c r="W148" s="160">
        <f>IF('Datos_fuente'!R148="","",ASINH('Datos_fuente'!R148/1000))</f>
        <v/>
      </c>
      <c r="X148" s="160">
        <f>IF(OR(W148="",W147=""),"",W148-W147)</f>
        <v/>
      </c>
      <c r="Y148" s="161">
        <f>'Datos_fuente'!W148</f>
        <v/>
      </c>
      <c r="Z148" s="161">
        <f>IF(OR(Y148="",Y147=""),"",Y148-Y147)</f>
        <v/>
      </c>
      <c r="AA148" s="160">
        <f>'Datos_fuente'!AB148</f>
        <v/>
      </c>
      <c r="AB148" s="160">
        <f>'Datos_fuente'!AC148</f>
        <v/>
      </c>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f>'Datos_fuente'!A149</f>
        <v/>
      </c>
      <c r="B149" s="160">
        <f>IF('Datos_fuente'!B149="","",LN('Datos_fuente'!B149))</f>
        <v/>
      </c>
      <c r="C149" s="160">
        <f>IF(OR(B149="",B148=""),"",B149-B148)</f>
        <v/>
      </c>
      <c r="D149" s="160">
        <f>IF('Datos_fuente'!C149="","",LN('Datos_fuente'!C149))</f>
        <v/>
      </c>
      <c r="E149" s="160">
        <f>IF(OR(D149="",D148=""),"",D149-D148)</f>
        <v/>
      </c>
      <c r="F149" s="160">
        <f>IF('Datos_fuente'!E149="","",LN('Datos_fuente'!E149))</f>
        <v/>
      </c>
      <c r="G149" s="160">
        <f>IF(OR(F149="",F148=""),"",F149-F148)</f>
        <v/>
      </c>
      <c r="H149" s="161">
        <f>'Datos_fuente'!H149</f>
        <v/>
      </c>
      <c r="I149" s="161">
        <f>IF(OR(H149="",H148=""),"",H149-H148)</f>
        <v/>
      </c>
      <c r="J149" s="161">
        <f>'Datos_fuente'!J149</f>
        <v/>
      </c>
      <c r="K149" s="161">
        <f>IF(OR(J149="",J148=""),"",J149-J148)</f>
        <v/>
      </c>
      <c r="L149" s="160">
        <f>IF('Datos_fuente'!K149="","",LN('Datos_fuente'!K149))</f>
        <v/>
      </c>
      <c r="M149" s="160">
        <f>IF(OR(L149="",L148=""),"",L149-L148)</f>
        <v/>
      </c>
      <c r="N149" s="160">
        <f>IF('Datos_fuente'!L149="","",LN('Datos_fuente'!L149))</f>
        <v/>
      </c>
      <c r="O149" s="160">
        <f>IF(OR(N149="",N148=""),"",N149-N148)</f>
        <v/>
      </c>
      <c r="P149" s="162">
        <f>'Datos_fuente'!M149</f>
        <v/>
      </c>
      <c r="Q149" s="160">
        <f>IF('Datos_fuente'!N149="","",LN('Datos_fuente'!N149))</f>
        <v/>
      </c>
      <c r="R149" s="160">
        <f>IF(OR(Q149="",Q148=""),"",Q149-Q148)</f>
        <v/>
      </c>
      <c r="S149" s="161">
        <f>'Datos_fuente'!P149</f>
        <v/>
      </c>
      <c r="T149" s="161">
        <f>IF(OR(S149="",S148=""),"",S149-S148)</f>
        <v/>
      </c>
      <c r="U149" s="160">
        <f>IF('Datos_fuente'!Q149="","",ASINH('Datos_fuente'!Q149/1000))</f>
        <v/>
      </c>
      <c r="V149" s="160">
        <f>IF(OR(U149="",U148=""),"",U149-U148)</f>
        <v/>
      </c>
      <c r="W149" s="160">
        <f>IF('Datos_fuente'!R149="","",ASINH('Datos_fuente'!R149/1000))</f>
        <v/>
      </c>
      <c r="X149" s="160">
        <f>IF(OR(W149="",W148=""),"",W149-W148)</f>
        <v/>
      </c>
      <c r="Y149" s="161">
        <f>'Datos_fuente'!W149</f>
        <v/>
      </c>
      <c r="Z149" s="161">
        <f>IF(OR(Y149="",Y148=""),"",Y149-Y148)</f>
        <v/>
      </c>
      <c r="AA149" s="160">
        <f>'Datos_fuente'!AB149</f>
        <v/>
      </c>
      <c r="AB149" s="160">
        <f>'Datos_fuente'!AC149</f>
        <v/>
      </c>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f>'Datos_fuente'!A150</f>
        <v/>
      </c>
      <c r="B150" s="160">
        <f>IF('Datos_fuente'!B150="","",LN('Datos_fuente'!B150))</f>
        <v/>
      </c>
      <c r="C150" s="160">
        <f>IF(OR(B150="",B149=""),"",B150-B149)</f>
        <v/>
      </c>
      <c r="D150" s="160">
        <f>IF('Datos_fuente'!C150="","",LN('Datos_fuente'!C150))</f>
        <v/>
      </c>
      <c r="E150" s="160">
        <f>IF(OR(D150="",D149=""),"",D150-D149)</f>
        <v/>
      </c>
      <c r="F150" s="160">
        <f>IF('Datos_fuente'!E150="","",LN('Datos_fuente'!E150))</f>
        <v/>
      </c>
      <c r="G150" s="160">
        <f>IF(OR(F150="",F149=""),"",F150-F149)</f>
        <v/>
      </c>
      <c r="H150" s="161">
        <f>'Datos_fuente'!H150</f>
        <v/>
      </c>
      <c r="I150" s="161">
        <f>IF(OR(H150="",H149=""),"",H150-H149)</f>
        <v/>
      </c>
      <c r="J150" s="161">
        <f>'Datos_fuente'!J150</f>
        <v/>
      </c>
      <c r="K150" s="161">
        <f>IF(OR(J150="",J149=""),"",J150-J149)</f>
        <v/>
      </c>
      <c r="L150" s="160">
        <f>IF('Datos_fuente'!K150="","",LN('Datos_fuente'!K150))</f>
        <v/>
      </c>
      <c r="M150" s="160">
        <f>IF(OR(L150="",L149=""),"",L150-L149)</f>
        <v/>
      </c>
      <c r="N150" s="160">
        <f>IF('Datos_fuente'!L150="","",LN('Datos_fuente'!L150))</f>
        <v/>
      </c>
      <c r="O150" s="160">
        <f>IF(OR(N150="",N149=""),"",N150-N149)</f>
        <v/>
      </c>
      <c r="P150" s="162">
        <f>'Datos_fuente'!M150</f>
        <v/>
      </c>
      <c r="Q150" s="160">
        <f>IF('Datos_fuente'!N150="","",LN('Datos_fuente'!N150))</f>
        <v/>
      </c>
      <c r="R150" s="160">
        <f>IF(OR(Q150="",Q149=""),"",Q150-Q149)</f>
        <v/>
      </c>
      <c r="S150" s="161">
        <f>'Datos_fuente'!P150</f>
        <v/>
      </c>
      <c r="T150" s="161">
        <f>IF(OR(S150="",S149=""),"",S150-S149)</f>
        <v/>
      </c>
      <c r="U150" s="160">
        <f>IF('Datos_fuente'!Q150="","",ASINH('Datos_fuente'!Q150/1000))</f>
        <v/>
      </c>
      <c r="V150" s="160">
        <f>IF(OR(U150="",U149=""),"",U150-U149)</f>
        <v/>
      </c>
      <c r="W150" s="160">
        <f>IF('Datos_fuente'!R150="","",ASINH('Datos_fuente'!R150/1000))</f>
        <v/>
      </c>
      <c r="X150" s="160">
        <f>IF(OR(W150="",W149=""),"",W150-W149)</f>
        <v/>
      </c>
      <c r="Y150" s="161">
        <f>'Datos_fuente'!W150</f>
        <v/>
      </c>
      <c r="Z150" s="161">
        <f>IF(OR(Y150="",Y149=""),"",Y150-Y149)</f>
        <v/>
      </c>
      <c r="AA150" s="160">
        <f>'Datos_fuente'!AB150</f>
        <v/>
      </c>
      <c r="AB150" s="160">
        <f>'Datos_fuente'!AC150</f>
        <v/>
      </c>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f>'Datos_fuente'!A151</f>
        <v/>
      </c>
      <c r="B151" s="160">
        <f>IF('Datos_fuente'!B151="","",LN('Datos_fuente'!B151))</f>
        <v/>
      </c>
      <c r="C151" s="160">
        <f>IF(OR(B151="",B150=""),"",B151-B150)</f>
        <v/>
      </c>
      <c r="D151" s="160">
        <f>IF('Datos_fuente'!C151="","",LN('Datos_fuente'!C151))</f>
        <v/>
      </c>
      <c r="E151" s="160">
        <f>IF(OR(D151="",D150=""),"",D151-D150)</f>
        <v/>
      </c>
      <c r="F151" s="160">
        <f>IF('Datos_fuente'!E151="","",LN('Datos_fuente'!E151))</f>
        <v/>
      </c>
      <c r="G151" s="160">
        <f>IF(OR(F151="",F150=""),"",F151-F150)</f>
        <v/>
      </c>
      <c r="H151" s="161">
        <f>'Datos_fuente'!H151</f>
        <v/>
      </c>
      <c r="I151" s="161">
        <f>IF(OR(H151="",H150=""),"",H151-H150)</f>
        <v/>
      </c>
      <c r="J151" s="161">
        <f>'Datos_fuente'!J151</f>
        <v/>
      </c>
      <c r="K151" s="161">
        <f>IF(OR(J151="",J150=""),"",J151-J150)</f>
        <v/>
      </c>
      <c r="L151" s="160">
        <f>IF('Datos_fuente'!K151="","",LN('Datos_fuente'!K151))</f>
        <v/>
      </c>
      <c r="M151" s="160">
        <f>IF(OR(L151="",L150=""),"",L151-L150)</f>
        <v/>
      </c>
      <c r="N151" s="160">
        <f>IF('Datos_fuente'!L151="","",LN('Datos_fuente'!L151))</f>
        <v/>
      </c>
      <c r="O151" s="160">
        <f>IF(OR(N151="",N150=""),"",N151-N150)</f>
        <v/>
      </c>
      <c r="P151" s="162">
        <f>'Datos_fuente'!M151</f>
        <v/>
      </c>
      <c r="Q151" s="160">
        <f>IF('Datos_fuente'!N151="","",LN('Datos_fuente'!N151))</f>
        <v/>
      </c>
      <c r="R151" s="160">
        <f>IF(OR(Q151="",Q150=""),"",Q151-Q150)</f>
        <v/>
      </c>
      <c r="S151" s="161">
        <f>'Datos_fuente'!P151</f>
        <v/>
      </c>
      <c r="T151" s="161">
        <f>IF(OR(S151="",S150=""),"",S151-S150)</f>
        <v/>
      </c>
      <c r="U151" s="160">
        <f>IF('Datos_fuente'!Q151="","",ASINH('Datos_fuente'!Q151/1000))</f>
        <v/>
      </c>
      <c r="V151" s="160">
        <f>IF(OR(U151="",U150=""),"",U151-U150)</f>
        <v/>
      </c>
      <c r="W151" s="160">
        <f>IF('Datos_fuente'!R151="","",ASINH('Datos_fuente'!R151/1000))</f>
        <v/>
      </c>
      <c r="X151" s="160">
        <f>IF(OR(W151="",W150=""),"",W151-W150)</f>
        <v/>
      </c>
      <c r="Y151" s="161">
        <f>'Datos_fuente'!W151</f>
        <v/>
      </c>
      <c r="Z151" s="161">
        <f>IF(OR(Y151="",Y150=""),"",Y151-Y150)</f>
        <v/>
      </c>
      <c r="AA151" s="160">
        <f>'Datos_fuente'!AB151</f>
        <v/>
      </c>
      <c r="AB151" s="160">
        <f>'Datos_fuente'!AC151</f>
        <v/>
      </c>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f>'Datos_fuente'!A152</f>
        <v/>
      </c>
      <c r="B152" s="160">
        <f>IF('Datos_fuente'!B152="","",LN('Datos_fuente'!B152))</f>
        <v/>
      </c>
      <c r="C152" s="160">
        <f>IF(OR(B152="",B151=""),"",B152-B151)</f>
        <v/>
      </c>
      <c r="D152" s="160">
        <f>IF('Datos_fuente'!C152="","",LN('Datos_fuente'!C152))</f>
        <v/>
      </c>
      <c r="E152" s="160">
        <f>IF(OR(D152="",D151=""),"",D152-D151)</f>
        <v/>
      </c>
      <c r="F152" s="160">
        <f>IF('Datos_fuente'!E152="","",LN('Datos_fuente'!E152))</f>
        <v/>
      </c>
      <c r="G152" s="160">
        <f>IF(OR(F152="",F151=""),"",F152-F151)</f>
        <v/>
      </c>
      <c r="H152" s="161">
        <f>'Datos_fuente'!H152</f>
        <v/>
      </c>
      <c r="I152" s="161">
        <f>IF(OR(H152="",H151=""),"",H152-H151)</f>
        <v/>
      </c>
      <c r="J152" s="161">
        <f>'Datos_fuente'!J152</f>
        <v/>
      </c>
      <c r="K152" s="161">
        <f>IF(OR(J152="",J151=""),"",J152-J151)</f>
        <v/>
      </c>
      <c r="L152" s="160">
        <f>IF('Datos_fuente'!K152="","",LN('Datos_fuente'!K152))</f>
        <v/>
      </c>
      <c r="M152" s="160">
        <f>IF(OR(L152="",L151=""),"",L152-L151)</f>
        <v/>
      </c>
      <c r="N152" s="160">
        <f>IF('Datos_fuente'!L152="","",LN('Datos_fuente'!L152))</f>
        <v/>
      </c>
      <c r="O152" s="160">
        <f>IF(OR(N152="",N151=""),"",N152-N151)</f>
        <v/>
      </c>
      <c r="P152" s="162">
        <f>'Datos_fuente'!M152</f>
        <v/>
      </c>
      <c r="Q152" s="160">
        <f>IF('Datos_fuente'!N152="","",LN('Datos_fuente'!N152))</f>
        <v/>
      </c>
      <c r="R152" s="160">
        <f>IF(OR(Q152="",Q151=""),"",Q152-Q151)</f>
        <v/>
      </c>
      <c r="S152" s="161">
        <f>'Datos_fuente'!P152</f>
        <v/>
      </c>
      <c r="T152" s="161">
        <f>IF(OR(S152="",S151=""),"",S152-S151)</f>
        <v/>
      </c>
      <c r="U152" s="160">
        <f>IF('Datos_fuente'!Q152="","",ASINH('Datos_fuente'!Q152/1000))</f>
        <v/>
      </c>
      <c r="V152" s="160">
        <f>IF(OR(U152="",U151=""),"",U152-U151)</f>
        <v/>
      </c>
      <c r="W152" s="160">
        <f>IF('Datos_fuente'!R152="","",ASINH('Datos_fuente'!R152/1000))</f>
        <v/>
      </c>
      <c r="X152" s="160">
        <f>IF(OR(W152="",W151=""),"",W152-W151)</f>
        <v/>
      </c>
      <c r="Y152" s="161">
        <f>'Datos_fuente'!W152</f>
        <v/>
      </c>
      <c r="Z152" s="161">
        <f>IF(OR(Y152="",Y151=""),"",Y152-Y151)</f>
        <v/>
      </c>
      <c r="AA152" s="160">
        <f>'Datos_fuente'!AB152</f>
        <v/>
      </c>
      <c r="AB152" s="160">
        <f>'Datos_fuente'!AC152</f>
        <v/>
      </c>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f>'Datos_fuente'!A153</f>
        <v/>
      </c>
      <c r="B153" s="160">
        <f>IF('Datos_fuente'!B153="","",LN('Datos_fuente'!B153))</f>
        <v/>
      </c>
      <c r="C153" s="160">
        <f>IF(OR(B153="",B152=""),"",B153-B152)</f>
        <v/>
      </c>
      <c r="D153" s="160">
        <f>IF('Datos_fuente'!C153="","",LN('Datos_fuente'!C153))</f>
        <v/>
      </c>
      <c r="E153" s="160">
        <f>IF(OR(D153="",D152=""),"",D153-D152)</f>
        <v/>
      </c>
      <c r="F153" s="160">
        <f>IF('Datos_fuente'!E153="","",LN('Datos_fuente'!E153))</f>
        <v/>
      </c>
      <c r="G153" s="160">
        <f>IF(OR(F153="",F152=""),"",F153-F152)</f>
        <v/>
      </c>
      <c r="H153" s="161">
        <f>'Datos_fuente'!H153</f>
        <v/>
      </c>
      <c r="I153" s="161">
        <f>IF(OR(H153="",H152=""),"",H153-H152)</f>
        <v/>
      </c>
      <c r="J153" s="161">
        <f>'Datos_fuente'!J153</f>
        <v/>
      </c>
      <c r="K153" s="161">
        <f>IF(OR(J153="",J152=""),"",J153-J152)</f>
        <v/>
      </c>
      <c r="L153" s="160">
        <f>IF('Datos_fuente'!K153="","",LN('Datos_fuente'!K153))</f>
        <v/>
      </c>
      <c r="M153" s="160">
        <f>IF(OR(L153="",L152=""),"",L153-L152)</f>
        <v/>
      </c>
      <c r="N153" s="160">
        <f>IF('Datos_fuente'!L153="","",LN('Datos_fuente'!L153))</f>
        <v/>
      </c>
      <c r="O153" s="160">
        <f>IF(OR(N153="",N152=""),"",N153-N152)</f>
        <v/>
      </c>
      <c r="P153" s="162">
        <f>'Datos_fuente'!M153</f>
        <v/>
      </c>
      <c r="Q153" s="160">
        <f>IF('Datos_fuente'!N153="","",LN('Datos_fuente'!N153))</f>
        <v/>
      </c>
      <c r="R153" s="160">
        <f>IF(OR(Q153="",Q152=""),"",Q153-Q152)</f>
        <v/>
      </c>
      <c r="S153" s="161">
        <f>'Datos_fuente'!P153</f>
        <v/>
      </c>
      <c r="T153" s="161">
        <f>IF(OR(S153="",S152=""),"",S153-S152)</f>
        <v/>
      </c>
      <c r="U153" s="160">
        <f>IF('Datos_fuente'!Q153="","",ASINH('Datos_fuente'!Q153/1000))</f>
        <v/>
      </c>
      <c r="V153" s="160">
        <f>IF(OR(U153="",U152=""),"",U153-U152)</f>
        <v/>
      </c>
      <c r="W153" s="160">
        <f>IF('Datos_fuente'!R153="","",ASINH('Datos_fuente'!R153/1000))</f>
        <v/>
      </c>
      <c r="X153" s="160">
        <f>IF(OR(W153="",W152=""),"",W153-W152)</f>
        <v/>
      </c>
      <c r="Y153" s="161">
        <f>'Datos_fuente'!W153</f>
        <v/>
      </c>
      <c r="Z153" s="161">
        <f>IF(OR(Y153="",Y152=""),"",Y153-Y152)</f>
        <v/>
      </c>
      <c r="AA153" s="160">
        <f>'Datos_fuente'!AB153</f>
        <v/>
      </c>
      <c r="AB153" s="160">
        <f>'Datos_fuente'!AC153</f>
        <v/>
      </c>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f>'Datos_fuente'!A154</f>
        <v/>
      </c>
      <c r="B154" s="160">
        <f>IF('Datos_fuente'!B154="","",LN('Datos_fuente'!B154))</f>
        <v/>
      </c>
      <c r="C154" s="160">
        <f>IF(OR(B154="",B153=""),"",B154-B153)</f>
        <v/>
      </c>
      <c r="D154" s="160">
        <f>IF('Datos_fuente'!C154="","",LN('Datos_fuente'!C154))</f>
        <v/>
      </c>
      <c r="E154" s="160">
        <f>IF(OR(D154="",D153=""),"",D154-D153)</f>
        <v/>
      </c>
      <c r="F154" s="160">
        <f>IF('Datos_fuente'!E154="","",LN('Datos_fuente'!E154))</f>
        <v/>
      </c>
      <c r="G154" s="160">
        <f>IF(OR(F154="",F153=""),"",F154-F153)</f>
        <v/>
      </c>
      <c r="H154" s="161">
        <f>'Datos_fuente'!H154</f>
        <v/>
      </c>
      <c r="I154" s="161">
        <f>IF(OR(H154="",H153=""),"",H154-H153)</f>
        <v/>
      </c>
      <c r="J154" s="161">
        <f>'Datos_fuente'!J154</f>
        <v/>
      </c>
      <c r="K154" s="161">
        <f>IF(OR(J154="",J153=""),"",J154-J153)</f>
        <v/>
      </c>
      <c r="L154" s="160">
        <f>IF('Datos_fuente'!K154="","",LN('Datos_fuente'!K154))</f>
        <v/>
      </c>
      <c r="M154" s="160">
        <f>IF(OR(L154="",L153=""),"",L154-L153)</f>
        <v/>
      </c>
      <c r="N154" s="160">
        <f>IF('Datos_fuente'!L154="","",LN('Datos_fuente'!L154))</f>
        <v/>
      </c>
      <c r="O154" s="160">
        <f>IF(OR(N154="",N153=""),"",N154-N153)</f>
        <v/>
      </c>
      <c r="P154" s="162">
        <f>'Datos_fuente'!M154</f>
        <v/>
      </c>
      <c r="Q154" s="160">
        <f>IF('Datos_fuente'!N154="","",LN('Datos_fuente'!N154))</f>
        <v/>
      </c>
      <c r="R154" s="160">
        <f>IF(OR(Q154="",Q153=""),"",Q154-Q153)</f>
        <v/>
      </c>
      <c r="S154" s="161">
        <f>'Datos_fuente'!P154</f>
        <v/>
      </c>
      <c r="T154" s="161">
        <f>IF(OR(S154="",S153=""),"",S154-S153)</f>
        <v/>
      </c>
      <c r="U154" s="160">
        <f>IF('Datos_fuente'!Q154="","",ASINH('Datos_fuente'!Q154/1000))</f>
        <v/>
      </c>
      <c r="V154" s="160">
        <f>IF(OR(U154="",U153=""),"",U154-U153)</f>
        <v/>
      </c>
      <c r="W154" s="160">
        <f>IF('Datos_fuente'!R154="","",ASINH('Datos_fuente'!R154/1000))</f>
        <v/>
      </c>
      <c r="X154" s="160">
        <f>IF(OR(W154="",W153=""),"",W154-W153)</f>
        <v/>
      </c>
      <c r="Y154" s="161">
        <f>'Datos_fuente'!W154</f>
        <v/>
      </c>
      <c r="Z154" s="161">
        <f>IF(OR(Y154="",Y153=""),"",Y154-Y153)</f>
        <v/>
      </c>
      <c r="AA154" s="160">
        <f>'Datos_fuente'!AB154</f>
        <v/>
      </c>
      <c r="AB154" s="160">
        <f>'Datos_fuente'!AC154</f>
        <v/>
      </c>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f>'Datos_fuente'!A155</f>
        <v/>
      </c>
      <c r="B155" s="160">
        <f>IF('Datos_fuente'!B155="","",LN('Datos_fuente'!B155))</f>
        <v/>
      </c>
      <c r="C155" s="160">
        <f>IF(OR(B155="",B154=""),"",B155-B154)</f>
        <v/>
      </c>
      <c r="D155" s="160">
        <f>IF('Datos_fuente'!C155="","",LN('Datos_fuente'!C155))</f>
        <v/>
      </c>
      <c r="E155" s="160">
        <f>IF(OR(D155="",D154=""),"",D155-D154)</f>
        <v/>
      </c>
      <c r="F155" s="160">
        <f>IF('Datos_fuente'!E155="","",LN('Datos_fuente'!E155))</f>
        <v/>
      </c>
      <c r="G155" s="160">
        <f>IF(OR(F155="",F154=""),"",F155-F154)</f>
        <v/>
      </c>
      <c r="H155" s="161">
        <f>'Datos_fuente'!H155</f>
        <v/>
      </c>
      <c r="I155" s="161">
        <f>IF(OR(H155="",H154=""),"",H155-H154)</f>
        <v/>
      </c>
      <c r="J155" s="161">
        <f>'Datos_fuente'!J155</f>
        <v/>
      </c>
      <c r="K155" s="161">
        <f>IF(OR(J155="",J154=""),"",J155-J154)</f>
        <v/>
      </c>
      <c r="L155" s="160">
        <f>IF('Datos_fuente'!K155="","",LN('Datos_fuente'!K155))</f>
        <v/>
      </c>
      <c r="M155" s="160">
        <f>IF(OR(L155="",L154=""),"",L155-L154)</f>
        <v/>
      </c>
      <c r="N155" s="160">
        <f>IF('Datos_fuente'!L155="","",LN('Datos_fuente'!L155))</f>
        <v/>
      </c>
      <c r="O155" s="160">
        <f>IF(OR(N155="",N154=""),"",N155-N154)</f>
        <v/>
      </c>
      <c r="P155" s="162">
        <f>'Datos_fuente'!M155</f>
        <v/>
      </c>
      <c r="Q155" s="160">
        <f>IF('Datos_fuente'!N155="","",LN('Datos_fuente'!N155))</f>
        <v/>
      </c>
      <c r="R155" s="160">
        <f>IF(OR(Q155="",Q154=""),"",Q155-Q154)</f>
        <v/>
      </c>
      <c r="S155" s="161">
        <f>'Datos_fuente'!P155</f>
        <v/>
      </c>
      <c r="T155" s="161">
        <f>IF(OR(S155="",S154=""),"",S155-S154)</f>
        <v/>
      </c>
      <c r="U155" s="160">
        <f>IF('Datos_fuente'!Q155="","",ASINH('Datos_fuente'!Q155/1000))</f>
        <v/>
      </c>
      <c r="V155" s="160">
        <f>IF(OR(U155="",U154=""),"",U155-U154)</f>
        <v/>
      </c>
      <c r="W155" s="160">
        <f>IF('Datos_fuente'!R155="","",ASINH('Datos_fuente'!R155/1000))</f>
        <v/>
      </c>
      <c r="X155" s="160">
        <f>IF(OR(W155="",W154=""),"",W155-W154)</f>
        <v/>
      </c>
      <c r="Y155" s="161">
        <f>'Datos_fuente'!W155</f>
        <v/>
      </c>
      <c r="Z155" s="161">
        <f>IF(OR(Y155="",Y154=""),"",Y155-Y154)</f>
        <v/>
      </c>
      <c r="AA155" s="160">
        <f>'Datos_fuente'!AB155</f>
        <v/>
      </c>
      <c r="AB155" s="160">
        <f>'Datos_fuente'!AC155</f>
        <v/>
      </c>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f>'Datos_fuente'!A156</f>
        <v/>
      </c>
      <c r="B156" s="160">
        <f>IF('Datos_fuente'!B156="","",LN('Datos_fuente'!B156))</f>
        <v/>
      </c>
      <c r="C156" s="160">
        <f>IF(OR(B156="",B155=""),"",B156-B155)</f>
        <v/>
      </c>
      <c r="D156" s="160">
        <f>IF('Datos_fuente'!C156="","",LN('Datos_fuente'!C156))</f>
        <v/>
      </c>
      <c r="E156" s="160">
        <f>IF(OR(D156="",D155=""),"",D156-D155)</f>
        <v/>
      </c>
      <c r="F156" s="160">
        <f>IF('Datos_fuente'!E156="","",LN('Datos_fuente'!E156))</f>
        <v/>
      </c>
      <c r="G156" s="160">
        <f>IF(OR(F156="",F155=""),"",F156-F155)</f>
        <v/>
      </c>
      <c r="H156" s="161">
        <f>'Datos_fuente'!H156</f>
        <v/>
      </c>
      <c r="I156" s="161">
        <f>IF(OR(H156="",H155=""),"",H156-H155)</f>
        <v/>
      </c>
      <c r="J156" s="161">
        <f>'Datos_fuente'!J156</f>
        <v/>
      </c>
      <c r="K156" s="161">
        <f>IF(OR(J156="",J155=""),"",J156-J155)</f>
        <v/>
      </c>
      <c r="L156" s="160">
        <f>IF('Datos_fuente'!K156="","",LN('Datos_fuente'!K156))</f>
        <v/>
      </c>
      <c r="M156" s="160">
        <f>IF(OR(L156="",L155=""),"",L156-L155)</f>
        <v/>
      </c>
      <c r="N156" s="160">
        <f>IF('Datos_fuente'!L156="","",LN('Datos_fuente'!L156))</f>
        <v/>
      </c>
      <c r="O156" s="160">
        <f>IF(OR(N156="",N155=""),"",N156-N155)</f>
        <v/>
      </c>
      <c r="P156" s="162">
        <f>'Datos_fuente'!M156</f>
        <v/>
      </c>
      <c r="Q156" s="160">
        <f>IF('Datos_fuente'!N156="","",LN('Datos_fuente'!N156))</f>
        <v/>
      </c>
      <c r="R156" s="160">
        <f>IF(OR(Q156="",Q155=""),"",Q156-Q155)</f>
        <v/>
      </c>
      <c r="S156" s="161">
        <f>'Datos_fuente'!P156</f>
        <v/>
      </c>
      <c r="T156" s="161">
        <f>IF(OR(S156="",S155=""),"",S156-S155)</f>
        <v/>
      </c>
      <c r="U156" s="160">
        <f>IF('Datos_fuente'!Q156="","",ASINH('Datos_fuente'!Q156/1000))</f>
        <v/>
      </c>
      <c r="V156" s="160">
        <f>IF(OR(U156="",U155=""),"",U156-U155)</f>
        <v/>
      </c>
      <c r="W156" s="160">
        <f>IF('Datos_fuente'!R156="","",ASINH('Datos_fuente'!R156/1000))</f>
        <v/>
      </c>
      <c r="X156" s="160">
        <f>IF(OR(W156="",W155=""),"",W156-W155)</f>
        <v/>
      </c>
      <c r="Y156" s="161">
        <f>'Datos_fuente'!W156</f>
        <v/>
      </c>
      <c r="Z156" s="161">
        <f>IF(OR(Y156="",Y155=""),"",Y156-Y155)</f>
        <v/>
      </c>
      <c r="AA156" s="160">
        <f>'Datos_fuente'!AB156</f>
        <v/>
      </c>
      <c r="AB156" s="160">
        <f>'Datos_fuente'!AC156</f>
        <v/>
      </c>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f>'Datos_fuente'!A157</f>
        <v/>
      </c>
      <c r="B157" s="160">
        <f>IF('Datos_fuente'!B157="","",LN('Datos_fuente'!B157))</f>
        <v/>
      </c>
      <c r="C157" s="160">
        <f>IF(OR(B157="",B156=""),"",B157-B156)</f>
        <v/>
      </c>
      <c r="D157" s="160">
        <f>IF('Datos_fuente'!C157="","",LN('Datos_fuente'!C157))</f>
        <v/>
      </c>
      <c r="E157" s="160">
        <f>IF(OR(D157="",D156=""),"",D157-D156)</f>
        <v/>
      </c>
      <c r="F157" s="160">
        <f>IF('Datos_fuente'!E157="","",LN('Datos_fuente'!E157))</f>
        <v/>
      </c>
      <c r="G157" s="160">
        <f>IF(OR(F157="",F156=""),"",F157-F156)</f>
        <v/>
      </c>
      <c r="H157" s="161">
        <f>'Datos_fuente'!H157</f>
        <v/>
      </c>
      <c r="I157" s="161">
        <f>IF(OR(H157="",H156=""),"",H157-H156)</f>
        <v/>
      </c>
      <c r="J157" s="161">
        <f>'Datos_fuente'!J157</f>
        <v/>
      </c>
      <c r="K157" s="161">
        <f>IF(OR(J157="",J156=""),"",J157-J156)</f>
        <v/>
      </c>
      <c r="L157" s="160">
        <f>IF('Datos_fuente'!K157="","",LN('Datos_fuente'!K157))</f>
        <v/>
      </c>
      <c r="M157" s="160">
        <f>IF(OR(L157="",L156=""),"",L157-L156)</f>
        <v/>
      </c>
      <c r="N157" s="160">
        <f>IF('Datos_fuente'!L157="","",LN('Datos_fuente'!L157))</f>
        <v/>
      </c>
      <c r="O157" s="160">
        <f>IF(OR(N157="",N156=""),"",N157-N156)</f>
        <v/>
      </c>
      <c r="P157" s="162">
        <f>'Datos_fuente'!M157</f>
        <v/>
      </c>
      <c r="Q157" s="160">
        <f>IF('Datos_fuente'!N157="","",LN('Datos_fuente'!N157))</f>
        <v/>
      </c>
      <c r="R157" s="160">
        <f>IF(OR(Q157="",Q156=""),"",Q157-Q156)</f>
        <v/>
      </c>
      <c r="S157" s="161">
        <f>'Datos_fuente'!P157</f>
        <v/>
      </c>
      <c r="T157" s="161">
        <f>IF(OR(S157="",S156=""),"",S157-S156)</f>
        <v/>
      </c>
      <c r="U157" s="160">
        <f>IF('Datos_fuente'!Q157="","",ASINH('Datos_fuente'!Q157/1000))</f>
        <v/>
      </c>
      <c r="V157" s="160">
        <f>IF(OR(U157="",U156=""),"",U157-U156)</f>
        <v/>
      </c>
      <c r="W157" s="160">
        <f>IF('Datos_fuente'!R157="","",ASINH('Datos_fuente'!R157/1000))</f>
        <v/>
      </c>
      <c r="X157" s="160">
        <f>IF(OR(W157="",W156=""),"",W157-W156)</f>
        <v/>
      </c>
      <c r="Y157" s="161">
        <f>'Datos_fuente'!W157</f>
        <v/>
      </c>
      <c r="Z157" s="161">
        <f>IF(OR(Y157="",Y156=""),"",Y157-Y156)</f>
        <v/>
      </c>
      <c r="AA157" s="160">
        <f>'Datos_fuente'!AB157</f>
        <v/>
      </c>
      <c r="AB157" s="160">
        <f>'Datos_fuente'!AC157</f>
        <v/>
      </c>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f>'Datos_fuente'!A158</f>
        <v/>
      </c>
      <c r="B158" s="160">
        <f>IF('Datos_fuente'!B158="","",LN('Datos_fuente'!B158))</f>
        <v/>
      </c>
      <c r="C158" s="160">
        <f>IF(OR(B158="",B157=""),"",B158-B157)</f>
        <v/>
      </c>
      <c r="D158" s="160">
        <f>IF('Datos_fuente'!C158="","",LN('Datos_fuente'!C158))</f>
        <v/>
      </c>
      <c r="E158" s="160">
        <f>IF(OR(D158="",D157=""),"",D158-D157)</f>
        <v/>
      </c>
      <c r="F158" s="160">
        <f>IF('Datos_fuente'!E158="","",LN('Datos_fuente'!E158))</f>
        <v/>
      </c>
      <c r="G158" s="160">
        <f>IF(OR(F158="",F157=""),"",F158-F157)</f>
        <v/>
      </c>
      <c r="H158" s="161">
        <f>'Datos_fuente'!H158</f>
        <v/>
      </c>
      <c r="I158" s="161">
        <f>IF(OR(H158="",H157=""),"",H158-H157)</f>
        <v/>
      </c>
      <c r="J158" s="161">
        <f>'Datos_fuente'!J158</f>
        <v/>
      </c>
      <c r="K158" s="161">
        <f>IF(OR(J158="",J157=""),"",J158-J157)</f>
        <v/>
      </c>
      <c r="L158" s="160">
        <f>IF('Datos_fuente'!K158="","",LN('Datos_fuente'!K158))</f>
        <v/>
      </c>
      <c r="M158" s="160">
        <f>IF(OR(L158="",L157=""),"",L158-L157)</f>
        <v/>
      </c>
      <c r="N158" s="160">
        <f>IF('Datos_fuente'!L158="","",LN('Datos_fuente'!L158))</f>
        <v/>
      </c>
      <c r="O158" s="160">
        <f>IF(OR(N158="",N157=""),"",N158-N157)</f>
        <v/>
      </c>
      <c r="P158" s="162">
        <f>'Datos_fuente'!M158</f>
        <v/>
      </c>
      <c r="Q158" s="160">
        <f>IF('Datos_fuente'!N158="","",LN('Datos_fuente'!N158))</f>
        <v/>
      </c>
      <c r="R158" s="160">
        <f>IF(OR(Q158="",Q157=""),"",Q158-Q157)</f>
        <v/>
      </c>
      <c r="S158" s="161">
        <f>'Datos_fuente'!P158</f>
        <v/>
      </c>
      <c r="T158" s="161">
        <f>IF(OR(S158="",S157=""),"",S158-S157)</f>
        <v/>
      </c>
      <c r="U158" s="160">
        <f>IF('Datos_fuente'!Q158="","",ASINH('Datos_fuente'!Q158/1000))</f>
        <v/>
      </c>
      <c r="V158" s="160">
        <f>IF(OR(U158="",U157=""),"",U158-U157)</f>
        <v/>
      </c>
      <c r="W158" s="160">
        <f>IF('Datos_fuente'!R158="","",ASINH('Datos_fuente'!R158/1000))</f>
        <v/>
      </c>
      <c r="X158" s="160">
        <f>IF(OR(W158="",W157=""),"",W158-W157)</f>
        <v/>
      </c>
      <c r="Y158" s="161">
        <f>'Datos_fuente'!W158</f>
        <v/>
      </c>
      <c r="Z158" s="161">
        <f>IF(OR(Y158="",Y157=""),"",Y158-Y157)</f>
        <v/>
      </c>
      <c r="AA158" s="160">
        <f>'Datos_fuente'!AB158</f>
        <v/>
      </c>
      <c r="AB158" s="160">
        <f>'Datos_fuente'!AC158</f>
        <v/>
      </c>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f>'Datos_fuente'!A159</f>
        <v/>
      </c>
      <c r="B159" s="160">
        <f>IF('Datos_fuente'!B159="","",LN('Datos_fuente'!B159))</f>
        <v/>
      </c>
      <c r="C159" s="160">
        <f>IF(OR(B159="",B158=""),"",B159-B158)</f>
        <v/>
      </c>
      <c r="D159" s="160">
        <f>IF('Datos_fuente'!C159="","",LN('Datos_fuente'!C159))</f>
        <v/>
      </c>
      <c r="E159" s="160">
        <f>IF(OR(D159="",D158=""),"",D159-D158)</f>
        <v/>
      </c>
      <c r="F159" s="160">
        <f>IF('Datos_fuente'!E159="","",LN('Datos_fuente'!E159))</f>
        <v/>
      </c>
      <c r="G159" s="160">
        <f>IF(OR(F159="",F158=""),"",F159-F158)</f>
        <v/>
      </c>
      <c r="H159" s="161">
        <f>'Datos_fuente'!H159</f>
        <v/>
      </c>
      <c r="I159" s="161">
        <f>IF(OR(H159="",H158=""),"",H159-H158)</f>
        <v/>
      </c>
      <c r="J159" s="161">
        <f>'Datos_fuente'!J159</f>
        <v/>
      </c>
      <c r="K159" s="161">
        <f>IF(OR(J159="",J158=""),"",J159-J158)</f>
        <v/>
      </c>
      <c r="L159" s="160">
        <f>IF('Datos_fuente'!K159="","",LN('Datos_fuente'!K159))</f>
        <v/>
      </c>
      <c r="M159" s="160">
        <f>IF(OR(L159="",L158=""),"",L159-L158)</f>
        <v/>
      </c>
      <c r="N159" s="160">
        <f>IF('Datos_fuente'!L159="","",LN('Datos_fuente'!L159))</f>
        <v/>
      </c>
      <c r="O159" s="160">
        <f>IF(OR(N159="",N158=""),"",N159-N158)</f>
        <v/>
      </c>
      <c r="P159" s="162">
        <f>'Datos_fuente'!M159</f>
        <v/>
      </c>
      <c r="Q159" s="160">
        <f>IF('Datos_fuente'!N159="","",LN('Datos_fuente'!N159))</f>
        <v/>
      </c>
      <c r="R159" s="160">
        <f>IF(OR(Q159="",Q158=""),"",Q159-Q158)</f>
        <v/>
      </c>
      <c r="S159" s="161">
        <f>'Datos_fuente'!P159</f>
        <v/>
      </c>
      <c r="T159" s="161">
        <f>IF(OR(S159="",S158=""),"",S159-S158)</f>
        <v/>
      </c>
      <c r="U159" s="160">
        <f>IF('Datos_fuente'!Q159="","",ASINH('Datos_fuente'!Q159/1000))</f>
        <v/>
      </c>
      <c r="V159" s="160">
        <f>IF(OR(U159="",U158=""),"",U159-U158)</f>
        <v/>
      </c>
      <c r="W159" s="160">
        <f>IF('Datos_fuente'!R159="","",ASINH('Datos_fuente'!R159/1000))</f>
        <v/>
      </c>
      <c r="X159" s="160">
        <f>IF(OR(W159="",W158=""),"",W159-W158)</f>
        <v/>
      </c>
      <c r="Y159" s="161">
        <f>'Datos_fuente'!W159</f>
        <v/>
      </c>
      <c r="Z159" s="161">
        <f>IF(OR(Y159="",Y158=""),"",Y159-Y158)</f>
        <v/>
      </c>
      <c r="AA159" s="160">
        <f>'Datos_fuente'!AB159</f>
        <v/>
      </c>
      <c r="AB159" s="160">
        <f>'Datos_fuente'!AC159</f>
        <v/>
      </c>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f>'Datos_fuente'!A160</f>
        <v/>
      </c>
      <c r="B160" s="160">
        <f>IF('Datos_fuente'!B160="","",LN('Datos_fuente'!B160))</f>
        <v/>
      </c>
      <c r="C160" s="160">
        <f>IF(OR(B160="",B159=""),"",B160-B159)</f>
        <v/>
      </c>
      <c r="D160" s="160">
        <f>IF('Datos_fuente'!C160="","",LN('Datos_fuente'!C160))</f>
        <v/>
      </c>
      <c r="E160" s="160">
        <f>IF(OR(D160="",D159=""),"",D160-D159)</f>
        <v/>
      </c>
      <c r="F160" s="160">
        <f>IF('Datos_fuente'!E160="","",LN('Datos_fuente'!E160))</f>
        <v/>
      </c>
      <c r="G160" s="160">
        <f>IF(OR(F160="",F159=""),"",F160-F159)</f>
        <v/>
      </c>
      <c r="H160" s="161">
        <f>'Datos_fuente'!H160</f>
        <v/>
      </c>
      <c r="I160" s="161">
        <f>IF(OR(H160="",H159=""),"",H160-H159)</f>
        <v/>
      </c>
      <c r="J160" s="161">
        <f>'Datos_fuente'!J160</f>
        <v/>
      </c>
      <c r="K160" s="161">
        <f>IF(OR(J160="",J159=""),"",J160-J159)</f>
        <v/>
      </c>
      <c r="L160" s="160">
        <f>IF('Datos_fuente'!K160="","",LN('Datos_fuente'!K160))</f>
        <v/>
      </c>
      <c r="M160" s="160">
        <f>IF(OR(L160="",L159=""),"",L160-L159)</f>
        <v/>
      </c>
      <c r="N160" s="160">
        <f>IF('Datos_fuente'!L160="","",LN('Datos_fuente'!L160))</f>
        <v/>
      </c>
      <c r="O160" s="160">
        <f>IF(OR(N160="",N159=""),"",N160-N159)</f>
        <v/>
      </c>
      <c r="P160" s="162">
        <f>'Datos_fuente'!M160</f>
        <v/>
      </c>
      <c r="Q160" s="160">
        <f>IF('Datos_fuente'!N160="","",LN('Datos_fuente'!N160))</f>
        <v/>
      </c>
      <c r="R160" s="160">
        <f>IF(OR(Q160="",Q159=""),"",Q160-Q159)</f>
        <v/>
      </c>
      <c r="S160" s="161">
        <f>'Datos_fuente'!P160</f>
        <v/>
      </c>
      <c r="T160" s="161">
        <f>IF(OR(S160="",S159=""),"",S160-S159)</f>
        <v/>
      </c>
      <c r="U160" s="160">
        <f>IF('Datos_fuente'!Q160="","",ASINH('Datos_fuente'!Q160/1000))</f>
        <v/>
      </c>
      <c r="V160" s="160">
        <f>IF(OR(U160="",U159=""),"",U160-U159)</f>
        <v/>
      </c>
      <c r="W160" s="160">
        <f>IF('Datos_fuente'!R160="","",ASINH('Datos_fuente'!R160/1000))</f>
        <v/>
      </c>
      <c r="X160" s="160">
        <f>IF(OR(W160="",W159=""),"",W160-W159)</f>
        <v/>
      </c>
      <c r="Y160" s="161">
        <f>'Datos_fuente'!W160</f>
        <v/>
      </c>
      <c r="Z160" s="161">
        <f>IF(OR(Y160="",Y159=""),"",Y160-Y159)</f>
        <v/>
      </c>
      <c r="AA160" s="160">
        <f>'Datos_fuente'!AB160</f>
        <v/>
      </c>
      <c r="AB160" s="160">
        <f>'Datos_fuente'!AC160</f>
        <v/>
      </c>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f>'Datos_fuente'!A161</f>
        <v/>
      </c>
      <c r="B161" s="160">
        <f>IF('Datos_fuente'!B161="","",LN('Datos_fuente'!B161))</f>
        <v/>
      </c>
      <c r="C161" s="160">
        <f>IF(OR(B161="",B160=""),"",B161-B160)</f>
        <v/>
      </c>
      <c r="D161" s="160">
        <f>IF('Datos_fuente'!C161="","",LN('Datos_fuente'!C161))</f>
        <v/>
      </c>
      <c r="E161" s="160">
        <f>IF(OR(D161="",D160=""),"",D161-D160)</f>
        <v/>
      </c>
      <c r="F161" s="160">
        <f>IF('Datos_fuente'!E161="","",LN('Datos_fuente'!E161))</f>
        <v/>
      </c>
      <c r="G161" s="160">
        <f>IF(OR(F161="",F160=""),"",F161-F160)</f>
        <v/>
      </c>
      <c r="H161" s="161">
        <f>'Datos_fuente'!H161</f>
        <v/>
      </c>
      <c r="I161" s="161">
        <f>IF(OR(H161="",H160=""),"",H161-H160)</f>
        <v/>
      </c>
      <c r="J161" s="161">
        <f>'Datos_fuente'!J161</f>
        <v/>
      </c>
      <c r="K161" s="161">
        <f>IF(OR(J161="",J160=""),"",J161-J160)</f>
        <v/>
      </c>
      <c r="L161" s="160">
        <f>IF('Datos_fuente'!K161="","",LN('Datos_fuente'!K161))</f>
        <v/>
      </c>
      <c r="M161" s="160">
        <f>IF(OR(L161="",L160=""),"",L161-L160)</f>
        <v/>
      </c>
      <c r="N161" s="160">
        <f>IF('Datos_fuente'!L161="","",LN('Datos_fuente'!L161))</f>
        <v/>
      </c>
      <c r="O161" s="160">
        <f>IF(OR(N161="",N160=""),"",N161-N160)</f>
        <v/>
      </c>
      <c r="P161" s="162">
        <f>'Datos_fuente'!M161</f>
        <v/>
      </c>
      <c r="Q161" s="160">
        <f>IF('Datos_fuente'!N161="","",LN('Datos_fuente'!N161))</f>
        <v/>
      </c>
      <c r="R161" s="160">
        <f>IF(OR(Q161="",Q160=""),"",Q161-Q160)</f>
        <v/>
      </c>
      <c r="S161" s="161">
        <f>'Datos_fuente'!P161</f>
        <v/>
      </c>
      <c r="T161" s="161">
        <f>IF(OR(S161="",S160=""),"",S161-S160)</f>
        <v/>
      </c>
      <c r="U161" s="160">
        <f>IF('Datos_fuente'!Q161="","",ASINH('Datos_fuente'!Q161/1000))</f>
        <v/>
      </c>
      <c r="V161" s="160">
        <f>IF(OR(U161="",U160=""),"",U161-U160)</f>
        <v/>
      </c>
      <c r="W161" s="160">
        <f>IF('Datos_fuente'!R161="","",ASINH('Datos_fuente'!R161/1000))</f>
        <v/>
      </c>
      <c r="X161" s="160">
        <f>IF(OR(W161="",W160=""),"",W161-W160)</f>
        <v/>
      </c>
      <c r="Y161" s="161">
        <f>'Datos_fuente'!W161</f>
        <v/>
      </c>
      <c r="Z161" s="161">
        <f>IF(OR(Y161="",Y160=""),"",Y161-Y160)</f>
        <v/>
      </c>
      <c r="AA161" s="160">
        <f>'Datos_fuente'!AB161</f>
        <v/>
      </c>
      <c r="AB161" s="160">
        <f>'Datos_fuente'!AC161</f>
        <v/>
      </c>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f>'Datos_fuente'!A162</f>
        <v/>
      </c>
      <c r="B162" s="160">
        <f>IF('Datos_fuente'!B162="","",LN('Datos_fuente'!B162))</f>
        <v/>
      </c>
      <c r="C162" s="160">
        <f>IF(OR(B162="",B161=""),"",B162-B161)</f>
        <v/>
      </c>
      <c r="D162" s="160">
        <f>IF('Datos_fuente'!C162="","",LN('Datos_fuente'!C162))</f>
        <v/>
      </c>
      <c r="E162" s="160">
        <f>IF(OR(D162="",D161=""),"",D162-D161)</f>
        <v/>
      </c>
      <c r="F162" s="160">
        <f>IF('Datos_fuente'!E162="","",LN('Datos_fuente'!E162))</f>
        <v/>
      </c>
      <c r="G162" s="160">
        <f>IF(OR(F162="",F161=""),"",F162-F161)</f>
        <v/>
      </c>
      <c r="H162" s="161">
        <f>'Datos_fuente'!H162</f>
        <v/>
      </c>
      <c r="I162" s="161">
        <f>IF(OR(H162="",H161=""),"",H162-H161)</f>
        <v/>
      </c>
      <c r="J162" s="161">
        <f>'Datos_fuente'!J162</f>
        <v/>
      </c>
      <c r="K162" s="161">
        <f>IF(OR(J162="",J161=""),"",J162-J161)</f>
        <v/>
      </c>
      <c r="L162" s="160">
        <f>IF('Datos_fuente'!K162="","",LN('Datos_fuente'!K162))</f>
        <v/>
      </c>
      <c r="M162" s="160">
        <f>IF(OR(L162="",L161=""),"",L162-L161)</f>
        <v/>
      </c>
      <c r="N162" s="160">
        <f>IF('Datos_fuente'!L162="","",LN('Datos_fuente'!L162))</f>
        <v/>
      </c>
      <c r="O162" s="160">
        <f>IF(OR(N162="",N161=""),"",N162-N161)</f>
        <v/>
      </c>
      <c r="P162" s="162">
        <f>'Datos_fuente'!M162</f>
        <v/>
      </c>
      <c r="Q162" s="160">
        <f>IF('Datos_fuente'!N162="","",LN('Datos_fuente'!N162))</f>
        <v/>
      </c>
      <c r="R162" s="160">
        <f>IF(OR(Q162="",Q161=""),"",Q162-Q161)</f>
        <v/>
      </c>
      <c r="S162" s="161">
        <f>'Datos_fuente'!P162</f>
        <v/>
      </c>
      <c r="T162" s="161">
        <f>IF(OR(S162="",S161=""),"",S162-S161)</f>
        <v/>
      </c>
      <c r="U162" s="160">
        <f>IF('Datos_fuente'!Q162="","",ASINH('Datos_fuente'!Q162/1000))</f>
        <v/>
      </c>
      <c r="V162" s="160">
        <f>IF(OR(U162="",U161=""),"",U162-U161)</f>
        <v/>
      </c>
      <c r="W162" s="160">
        <f>IF('Datos_fuente'!R162="","",ASINH('Datos_fuente'!R162/1000))</f>
        <v/>
      </c>
      <c r="X162" s="160">
        <f>IF(OR(W162="",W161=""),"",W162-W161)</f>
        <v/>
      </c>
      <c r="Y162" s="161">
        <f>'Datos_fuente'!W162</f>
        <v/>
      </c>
      <c r="Z162" s="161">
        <f>IF(OR(Y162="",Y161=""),"",Y162-Y161)</f>
        <v/>
      </c>
      <c r="AA162" s="160">
        <f>'Datos_fuente'!AB162</f>
        <v/>
      </c>
      <c r="AB162" s="160">
        <f>'Datos_fuente'!AC162</f>
        <v/>
      </c>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f>'Datos_fuente'!A163</f>
        <v/>
      </c>
      <c r="B163" s="160">
        <f>IF('Datos_fuente'!B163="","",LN('Datos_fuente'!B163))</f>
        <v/>
      </c>
      <c r="C163" s="160">
        <f>IF(OR(B163="",B162=""),"",B163-B162)</f>
        <v/>
      </c>
      <c r="D163" s="160">
        <f>IF('Datos_fuente'!C163="","",LN('Datos_fuente'!C163))</f>
        <v/>
      </c>
      <c r="E163" s="160">
        <f>IF(OR(D163="",D162=""),"",D163-D162)</f>
        <v/>
      </c>
      <c r="F163" s="160">
        <f>IF('Datos_fuente'!E163="","",LN('Datos_fuente'!E163))</f>
        <v/>
      </c>
      <c r="G163" s="160">
        <f>IF(OR(F163="",F162=""),"",F163-F162)</f>
        <v/>
      </c>
      <c r="H163" s="161">
        <f>'Datos_fuente'!H163</f>
        <v/>
      </c>
      <c r="I163" s="161">
        <f>IF(OR(H163="",H162=""),"",H163-H162)</f>
        <v/>
      </c>
      <c r="J163" s="161">
        <f>'Datos_fuente'!J163</f>
        <v/>
      </c>
      <c r="K163" s="161">
        <f>IF(OR(J163="",J162=""),"",J163-J162)</f>
        <v/>
      </c>
      <c r="L163" s="160">
        <f>IF('Datos_fuente'!K163="","",LN('Datos_fuente'!K163))</f>
        <v/>
      </c>
      <c r="M163" s="160">
        <f>IF(OR(L163="",L162=""),"",L163-L162)</f>
        <v/>
      </c>
      <c r="N163" s="160">
        <f>IF('Datos_fuente'!L163="","",LN('Datos_fuente'!L163))</f>
        <v/>
      </c>
      <c r="O163" s="160">
        <f>IF(OR(N163="",N162=""),"",N163-N162)</f>
        <v/>
      </c>
      <c r="P163" s="162">
        <f>'Datos_fuente'!M163</f>
        <v/>
      </c>
      <c r="Q163" s="160">
        <f>IF('Datos_fuente'!N163="","",LN('Datos_fuente'!N163))</f>
        <v/>
      </c>
      <c r="R163" s="160">
        <f>IF(OR(Q163="",Q162=""),"",Q163-Q162)</f>
        <v/>
      </c>
      <c r="S163" s="161">
        <f>'Datos_fuente'!P163</f>
        <v/>
      </c>
      <c r="T163" s="161">
        <f>IF(OR(S163="",S162=""),"",S163-S162)</f>
        <v/>
      </c>
      <c r="U163" s="160">
        <f>IF('Datos_fuente'!Q163="","",ASINH('Datos_fuente'!Q163/1000))</f>
        <v/>
      </c>
      <c r="V163" s="160">
        <f>IF(OR(U163="",U162=""),"",U163-U162)</f>
        <v/>
      </c>
      <c r="W163" s="160">
        <f>IF('Datos_fuente'!R163="","",ASINH('Datos_fuente'!R163/1000))</f>
        <v/>
      </c>
      <c r="X163" s="160">
        <f>IF(OR(W163="",W162=""),"",W163-W162)</f>
        <v/>
      </c>
      <c r="Y163" s="161">
        <f>'Datos_fuente'!W163</f>
        <v/>
      </c>
      <c r="Z163" s="161">
        <f>IF(OR(Y163="",Y162=""),"",Y163-Y162)</f>
        <v/>
      </c>
      <c r="AA163" s="160">
        <f>'Datos_fuente'!AB163</f>
        <v/>
      </c>
      <c r="AB163" s="160">
        <f>'Datos_fuente'!AC163</f>
        <v/>
      </c>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f>'Datos_fuente'!A164</f>
        <v/>
      </c>
      <c r="B164" s="160">
        <f>IF('Datos_fuente'!B164="","",LN('Datos_fuente'!B164))</f>
        <v/>
      </c>
      <c r="C164" s="160">
        <f>IF(OR(B164="",B163=""),"",B164-B163)</f>
        <v/>
      </c>
      <c r="D164" s="160">
        <f>IF('Datos_fuente'!C164="","",LN('Datos_fuente'!C164))</f>
        <v/>
      </c>
      <c r="E164" s="160">
        <f>IF(OR(D164="",D163=""),"",D164-D163)</f>
        <v/>
      </c>
      <c r="F164" s="160">
        <f>IF('Datos_fuente'!E164="","",LN('Datos_fuente'!E164))</f>
        <v/>
      </c>
      <c r="G164" s="160">
        <f>IF(OR(F164="",F163=""),"",F164-F163)</f>
        <v/>
      </c>
      <c r="H164" s="161">
        <f>'Datos_fuente'!H164</f>
        <v/>
      </c>
      <c r="I164" s="161">
        <f>IF(OR(H164="",H163=""),"",H164-H163)</f>
        <v/>
      </c>
      <c r="J164" s="161">
        <f>'Datos_fuente'!J164</f>
        <v/>
      </c>
      <c r="K164" s="161">
        <f>IF(OR(J164="",J163=""),"",J164-J163)</f>
        <v/>
      </c>
      <c r="L164" s="160">
        <f>IF('Datos_fuente'!K164="","",LN('Datos_fuente'!K164))</f>
        <v/>
      </c>
      <c r="M164" s="160">
        <f>IF(OR(L164="",L163=""),"",L164-L163)</f>
        <v/>
      </c>
      <c r="N164" s="160">
        <f>IF('Datos_fuente'!L164="","",LN('Datos_fuente'!L164))</f>
        <v/>
      </c>
      <c r="O164" s="160">
        <f>IF(OR(N164="",N163=""),"",N164-N163)</f>
        <v/>
      </c>
      <c r="P164" s="162">
        <f>'Datos_fuente'!M164</f>
        <v/>
      </c>
      <c r="Q164" s="160">
        <f>IF('Datos_fuente'!N164="","",LN('Datos_fuente'!N164))</f>
        <v/>
      </c>
      <c r="R164" s="160">
        <f>IF(OR(Q164="",Q163=""),"",Q164-Q163)</f>
        <v/>
      </c>
      <c r="S164" s="161">
        <f>'Datos_fuente'!P164</f>
        <v/>
      </c>
      <c r="T164" s="161">
        <f>IF(OR(S164="",S163=""),"",S164-S163)</f>
        <v/>
      </c>
      <c r="U164" s="160">
        <f>IF('Datos_fuente'!Q164="","",ASINH('Datos_fuente'!Q164/1000))</f>
        <v/>
      </c>
      <c r="V164" s="160">
        <f>IF(OR(U164="",U163=""),"",U164-U163)</f>
        <v/>
      </c>
      <c r="W164" s="160">
        <f>IF('Datos_fuente'!R164="","",ASINH('Datos_fuente'!R164/1000))</f>
        <v/>
      </c>
      <c r="X164" s="160">
        <f>IF(OR(W164="",W163=""),"",W164-W163)</f>
        <v/>
      </c>
      <c r="Y164" s="161">
        <f>'Datos_fuente'!W164</f>
        <v/>
      </c>
      <c r="Z164" s="161">
        <f>IF(OR(Y164="",Y163=""),"",Y164-Y163)</f>
        <v/>
      </c>
      <c r="AA164" s="160">
        <f>'Datos_fuente'!AB164</f>
        <v/>
      </c>
      <c r="AB164" s="160">
        <f>'Datos_fuente'!AC164</f>
        <v/>
      </c>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f>'Datos_fuente'!A165</f>
        <v/>
      </c>
      <c r="B165" s="160">
        <f>IF('Datos_fuente'!B165="","",LN('Datos_fuente'!B165))</f>
        <v/>
      </c>
      <c r="C165" s="160">
        <f>IF(OR(B165="",B164=""),"",B165-B164)</f>
        <v/>
      </c>
      <c r="D165" s="160">
        <f>IF('Datos_fuente'!C165="","",LN('Datos_fuente'!C165))</f>
        <v/>
      </c>
      <c r="E165" s="160">
        <f>IF(OR(D165="",D164=""),"",D165-D164)</f>
        <v/>
      </c>
      <c r="F165" s="160">
        <f>IF('Datos_fuente'!E165="","",LN('Datos_fuente'!E165))</f>
        <v/>
      </c>
      <c r="G165" s="160">
        <f>IF(OR(F165="",F164=""),"",F165-F164)</f>
        <v/>
      </c>
      <c r="H165" s="161">
        <f>'Datos_fuente'!H165</f>
        <v/>
      </c>
      <c r="I165" s="161">
        <f>IF(OR(H165="",H164=""),"",H165-H164)</f>
        <v/>
      </c>
      <c r="J165" s="161">
        <f>'Datos_fuente'!J165</f>
        <v/>
      </c>
      <c r="K165" s="161">
        <f>IF(OR(J165="",J164=""),"",J165-J164)</f>
        <v/>
      </c>
      <c r="L165" s="160">
        <f>IF('Datos_fuente'!K165="","",LN('Datos_fuente'!K165))</f>
        <v/>
      </c>
      <c r="M165" s="160">
        <f>IF(OR(L165="",L164=""),"",L165-L164)</f>
        <v/>
      </c>
      <c r="N165" s="160">
        <f>IF('Datos_fuente'!L165="","",LN('Datos_fuente'!L165))</f>
        <v/>
      </c>
      <c r="O165" s="160">
        <f>IF(OR(N165="",N164=""),"",N165-N164)</f>
        <v/>
      </c>
      <c r="P165" s="162">
        <f>'Datos_fuente'!M165</f>
        <v/>
      </c>
      <c r="Q165" s="160">
        <f>IF('Datos_fuente'!N165="","",LN('Datos_fuente'!N165))</f>
        <v/>
      </c>
      <c r="R165" s="160">
        <f>IF(OR(Q165="",Q164=""),"",Q165-Q164)</f>
        <v/>
      </c>
      <c r="S165" s="161">
        <f>'Datos_fuente'!P165</f>
        <v/>
      </c>
      <c r="T165" s="161">
        <f>IF(OR(S165="",S164=""),"",S165-S164)</f>
        <v/>
      </c>
      <c r="U165" s="160">
        <f>IF('Datos_fuente'!Q165="","",ASINH('Datos_fuente'!Q165/1000))</f>
        <v/>
      </c>
      <c r="V165" s="160">
        <f>IF(OR(U165="",U164=""),"",U165-U164)</f>
        <v/>
      </c>
      <c r="W165" s="160">
        <f>IF('Datos_fuente'!R165="","",ASINH('Datos_fuente'!R165/1000))</f>
        <v/>
      </c>
      <c r="X165" s="160">
        <f>IF(OR(W165="",W164=""),"",W165-W164)</f>
        <v/>
      </c>
      <c r="Y165" s="161">
        <f>'Datos_fuente'!W165</f>
        <v/>
      </c>
      <c r="Z165" s="161">
        <f>IF(OR(Y165="",Y164=""),"",Y165-Y164)</f>
        <v/>
      </c>
      <c r="AA165" s="160">
        <f>'Datos_fuente'!AB165</f>
        <v/>
      </c>
      <c r="AB165" s="160">
        <f>'Datos_fuente'!AC165</f>
        <v/>
      </c>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f>'Datos_fuente'!A166</f>
        <v/>
      </c>
      <c r="B166" s="160">
        <f>IF('Datos_fuente'!B166="","",LN('Datos_fuente'!B166))</f>
        <v/>
      </c>
      <c r="C166" s="160">
        <f>IF(OR(B166="",B165=""),"",B166-B165)</f>
        <v/>
      </c>
      <c r="D166" s="160">
        <f>IF('Datos_fuente'!C166="","",LN('Datos_fuente'!C166))</f>
        <v/>
      </c>
      <c r="E166" s="160">
        <f>IF(OR(D166="",D165=""),"",D166-D165)</f>
        <v/>
      </c>
      <c r="F166" s="160">
        <f>IF('Datos_fuente'!E166="","",LN('Datos_fuente'!E166))</f>
        <v/>
      </c>
      <c r="G166" s="160">
        <f>IF(OR(F166="",F165=""),"",F166-F165)</f>
        <v/>
      </c>
      <c r="H166" s="161">
        <f>'Datos_fuente'!H166</f>
        <v/>
      </c>
      <c r="I166" s="161">
        <f>IF(OR(H166="",H165=""),"",H166-H165)</f>
        <v/>
      </c>
      <c r="J166" s="161">
        <f>'Datos_fuente'!J166</f>
        <v/>
      </c>
      <c r="K166" s="161">
        <f>IF(OR(J166="",J165=""),"",J166-J165)</f>
        <v/>
      </c>
      <c r="L166" s="160">
        <f>IF('Datos_fuente'!K166="","",LN('Datos_fuente'!K166))</f>
        <v/>
      </c>
      <c r="M166" s="160">
        <f>IF(OR(L166="",L165=""),"",L166-L165)</f>
        <v/>
      </c>
      <c r="N166" s="160">
        <f>IF('Datos_fuente'!L166="","",LN('Datos_fuente'!L166))</f>
        <v/>
      </c>
      <c r="O166" s="160">
        <f>IF(OR(N166="",N165=""),"",N166-N165)</f>
        <v/>
      </c>
      <c r="P166" s="162">
        <f>'Datos_fuente'!M166</f>
        <v/>
      </c>
      <c r="Q166" s="160">
        <f>IF('Datos_fuente'!N166="","",LN('Datos_fuente'!N166))</f>
        <v/>
      </c>
      <c r="R166" s="160">
        <f>IF(OR(Q166="",Q165=""),"",Q166-Q165)</f>
        <v/>
      </c>
      <c r="S166" s="161">
        <f>'Datos_fuente'!P166</f>
        <v/>
      </c>
      <c r="T166" s="161">
        <f>IF(OR(S166="",S165=""),"",S166-S165)</f>
        <v/>
      </c>
      <c r="U166" s="160">
        <f>IF('Datos_fuente'!Q166="","",ASINH('Datos_fuente'!Q166/1000))</f>
        <v/>
      </c>
      <c r="V166" s="160">
        <f>IF(OR(U166="",U165=""),"",U166-U165)</f>
        <v/>
      </c>
      <c r="W166" s="160">
        <f>IF('Datos_fuente'!R166="","",ASINH('Datos_fuente'!R166/1000))</f>
        <v/>
      </c>
      <c r="X166" s="160">
        <f>IF(OR(W166="",W165=""),"",W166-W165)</f>
        <v/>
      </c>
      <c r="Y166" s="161">
        <f>'Datos_fuente'!W166</f>
        <v/>
      </c>
      <c r="Z166" s="161">
        <f>IF(OR(Y166="",Y165=""),"",Y166-Y165)</f>
        <v/>
      </c>
      <c r="AA166" s="160">
        <f>'Datos_fuente'!AB166</f>
        <v/>
      </c>
      <c r="AB166" s="160">
        <f>'Datos_fuente'!AC166</f>
        <v/>
      </c>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f>'Datos_fuente'!A167</f>
        <v/>
      </c>
      <c r="B167" s="160">
        <f>IF('Datos_fuente'!B167="","",LN('Datos_fuente'!B167))</f>
        <v/>
      </c>
      <c r="C167" s="160">
        <f>IF(OR(B167="",B166=""),"",B167-B166)</f>
        <v/>
      </c>
      <c r="D167" s="160">
        <f>IF('Datos_fuente'!C167="","",LN('Datos_fuente'!C167))</f>
        <v/>
      </c>
      <c r="E167" s="160">
        <f>IF(OR(D167="",D166=""),"",D167-D166)</f>
        <v/>
      </c>
      <c r="F167" s="160">
        <f>IF('Datos_fuente'!E167="","",LN('Datos_fuente'!E167))</f>
        <v/>
      </c>
      <c r="G167" s="160">
        <f>IF(OR(F167="",F166=""),"",F167-F166)</f>
        <v/>
      </c>
      <c r="H167" s="161">
        <f>'Datos_fuente'!H167</f>
        <v/>
      </c>
      <c r="I167" s="161">
        <f>IF(OR(H167="",H166=""),"",H167-H166)</f>
        <v/>
      </c>
      <c r="J167" s="161">
        <f>'Datos_fuente'!J167</f>
        <v/>
      </c>
      <c r="K167" s="161">
        <f>IF(OR(J167="",J166=""),"",J167-J166)</f>
        <v/>
      </c>
      <c r="L167" s="160">
        <f>IF('Datos_fuente'!K167="","",LN('Datos_fuente'!K167))</f>
        <v/>
      </c>
      <c r="M167" s="160">
        <f>IF(OR(L167="",L166=""),"",L167-L166)</f>
        <v/>
      </c>
      <c r="N167" s="160">
        <f>IF('Datos_fuente'!L167="","",LN('Datos_fuente'!L167))</f>
        <v/>
      </c>
      <c r="O167" s="160">
        <f>IF(OR(N167="",N166=""),"",N167-N166)</f>
        <v/>
      </c>
      <c r="P167" s="162">
        <f>'Datos_fuente'!M167</f>
        <v/>
      </c>
      <c r="Q167" s="160">
        <f>IF('Datos_fuente'!N167="","",LN('Datos_fuente'!N167))</f>
        <v/>
      </c>
      <c r="R167" s="160">
        <f>IF(OR(Q167="",Q166=""),"",Q167-Q166)</f>
        <v/>
      </c>
      <c r="S167" s="161">
        <f>'Datos_fuente'!P167</f>
        <v/>
      </c>
      <c r="T167" s="161">
        <f>IF(OR(S167="",S166=""),"",S167-S166)</f>
        <v/>
      </c>
      <c r="U167" s="160">
        <f>IF('Datos_fuente'!Q167="","",ASINH('Datos_fuente'!Q167/1000))</f>
        <v/>
      </c>
      <c r="V167" s="160">
        <f>IF(OR(U167="",U166=""),"",U167-U166)</f>
        <v/>
      </c>
      <c r="W167" s="160">
        <f>IF('Datos_fuente'!R167="","",ASINH('Datos_fuente'!R167/1000))</f>
        <v/>
      </c>
      <c r="X167" s="160">
        <f>IF(OR(W167="",W166=""),"",W167-W166)</f>
        <v/>
      </c>
      <c r="Y167" s="161">
        <f>'Datos_fuente'!W167</f>
        <v/>
      </c>
      <c r="Z167" s="161">
        <f>IF(OR(Y167="",Y166=""),"",Y167-Y166)</f>
        <v/>
      </c>
      <c r="AA167" s="160">
        <f>'Datos_fuente'!AB167</f>
        <v/>
      </c>
      <c r="AB167" s="160">
        <f>'Datos_fuente'!AC167</f>
        <v/>
      </c>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f>'Datos_fuente'!A168</f>
        <v/>
      </c>
      <c r="B168" s="160">
        <f>IF('Datos_fuente'!B168="","",LN('Datos_fuente'!B168))</f>
        <v/>
      </c>
      <c r="C168" s="160">
        <f>IF(OR(B168="",B167=""),"",B168-B167)</f>
        <v/>
      </c>
      <c r="D168" s="160">
        <f>IF('Datos_fuente'!C168="","",LN('Datos_fuente'!C168))</f>
        <v/>
      </c>
      <c r="E168" s="160">
        <f>IF(OR(D168="",D167=""),"",D168-D167)</f>
        <v/>
      </c>
      <c r="F168" s="160">
        <f>IF('Datos_fuente'!E168="","",LN('Datos_fuente'!E168))</f>
        <v/>
      </c>
      <c r="G168" s="160">
        <f>IF(OR(F168="",F167=""),"",F168-F167)</f>
        <v/>
      </c>
      <c r="H168" s="161">
        <f>'Datos_fuente'!H168</f>
        <v/>
      </c>
      <c r="I168" s="161">
        <f>IF(OR(H168="",H167=""),"",H168-H167)</f>
        <v/>
      </c>
      <c r="J168" s="161">
        <f>'Datos_fuente'!J168</f>
        <v/>
      </c>
      <c r="K168" s="161">
        <f>IF(OR(J168="",J167=""),"",J168-J167)</f>
        <v/>
      </c>
      <c r="L168" s="160">
        <f>IF('Datos_fuente'!K168="","",LN('Datos_fuente'!K168))</f>
        <v/>
      </c>
      <c r="M168" s="160">
        <f>IF(OR(L168="",L167=""),"",L168-L167)</f>
        <v/>
      </c>
      <c r="N168" s="160">
        <f>IF('Datos_fuente'!L168="","",LN('Datos_fuente'!L168))</f>
        <v/>
      </c>
      <c r="O168" s="160">
        <f>IF(OR(N168="",N167=""),"",N168-N167)</f>
        <v/>
      </c>
      <c r="P168" s="162">
        <f>'Datos_fuente'!M168</f>
        <v/>
      </c>
      <c r="Q168" s="160">
        <f>IF('Datos_fuente'!N168="","",LN('Datos_fuente'!N168))</f>
        <v/>
      </c>
      <c r="R168" s="160">
        <f>IF(OR(Q168="",Q167=""),"",Q168-Q167)</f>
        <v/>
      </c>
      <c r="S168" s="161">
        <f>'Datos_fuente'!P168</f>
        <v/>
      </c>
      <c r="T168" s="161">
        <f>IF(OR(S168="",S167=""),"",S168-S167)</f>
        <v/>
      </c>
      <c r="U168" s="160">
        <f>IF('Datos_fuente'!Q168="","",ASINH('Datos_fuente'!Q168/1000))</f>
        <v/>
      </c>
      <c r="V168" s="160">
        <f>IF(OR(U168="",U167=""),"",U168-U167)</f>
        <v/>
      </c>
      <c r="W168" s="160">
        <f>IF('Datos_fuente'!R168="","",ASINH('Datos_fuente'!R168/1000))</f>
        <v/>
      </c>
      <c r="X168" s="160">
        <f>IF(OR(W168="",W167=""),"",W168-W167)</f>
        <v/>
      </c>
      <c r="Y168" s="161">
        <f>'Datos_fuente'!W168</f>
        <v/>
      </c>
      <c r="Z168" s="161">
        <f>IF(OR(Y168="",Y167=""),"",Y168-Y167)</f>
        <v/>
      </c>
      <c r="AA168" s="160">
        <f>'Datos_fuente'!AB168</f>
        <v/>
      </c>
      <c r="AB168" s="160">
        <f>'Datos_fuente'!AC168</f>
        <v/>
      </c>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f>'Datos_fuente'!A169</f>
        <v/>
      </c>
      <c r="B169" s="160">
        <f>IF('Datos_fuente'!B169="","",LN('Datos_fuente'!B169))</f>
        <v/>
      </c>
      <c r="C169" s="160">
        <f>IF(OR(B169="",B168=""),"",B169-B168)</f>
        <v/>
      </c>
      <c r="D169" s="160">
        <f>IF('Datos_fuente'!C169="","",LN('Datos_fuente'!C169))</f>
        <v/>
      </c>
      <c r="E169" s="160">
        <f>IF(OR(D169="",D168=""),"",D169-D168)</f>
        <v/>
      </c>
      <c r="F169" s="160">
        <f>IF('Datos_fuente'!E169="","",LN('Datos_fuente'!E169))</f>
        <v/>
      </c>
      <c r="G169" s="160">
        <f>IF(OR(F169="",F168=""),"",F169-F168)</f>
        <v/>
      </c>
      <c r="H169" s="161">
        <f>'Datos_fuente'!H169</f>
        <v/>
      </c>
      <c r="I169" s="161">
        <f>IF(OR(H169="",H168=""),"",H169-H168)</f>
        <v/>
      </c>
      <c r="J169" s="161">
        <f>'Datos_fuente'!J169</f>
        <v/>
      </c>
      <c r="K169" s="161">
        <f>IF(OR(J169="",J168=""),"",J169-J168)</f>
        <v/>
      </c>
      <c r="L169" s="160">
        <f>IF('Datos_fuente'!K169="","",LN('Datos_fuente'!K169))</f>
        <v/>
      </c>
      <c r="M169" s="160">
        <f>IF(OR(L169="",L168=""),"",L169-L168)</f>
        <v/>
      </c>
      <c r="N169" s="160">
        <f>IF('Datos_fuente'!L169="","",LN('Datos_fuente'!L169))</f>
        <v/>
      </c>
      <c r="O169" s="160">
        <f>IF(OR(N169="",N168=""),"",N169-N168)</f>
        <v/>
      </c>
      <c r="P169" s="162">
        <f>'Datos_fuente'!M169</f>
        <v/>
      </c>
      <c r="Q169" s="160">
        <f>IF('Datos_fuente'!N169="","",LN('Datos_fuente'!N169))</f>
        <v/>
      </c>
      <c r="R169" s="160">
        <f>IF(OR(Q169="",Q168=""),"",Q169-Q168)</f>
        <v/>
      </c>
      <c r="S169" s="161">
        <f>'Datos_fuente'!P169</f>
        <v/>
      </c>
      <c r="T169" s="161">
        <f>IF(OR(S169="",S168=""),"",S169-S168)</f>
        <v/>
      </c>
      <c r="U169" s="160">
        <f>IF('Datos_fuente'!Q169="","",ASINH('Datos_fuente'!Q169/1000))</f>
        <v/>
      </c>
      <c r="V169" s="160">
        <f>IF(OR(U169="",U168=""),"",U169-U168)</f>
        <v/>
      </c>
      <c r="W169" s="160">
        <f>IF('Datos_fuente'!R169="","",ASINH('Datos_fuente'!R169/1000))</f>
        <v/>
      </c>
      <c r="X169" s="160">
        <f>IF(OR(W169="",W168=""),"",W169-W168)</f>
        <v/>
      </c>
      <c r="Y169" s="161">
        <f>'Datos_fuente'!W169</f>
        <v/>
      </c>
      <c r="Z169" s="161">
        <f>IF(OR(Y169="",Y168=""),"",Y169-Y168)</f>
        <v/>
      </c>
      <c r="AA169" s="160">
        <f>'Datos_fuente'!AB169</f>
        <v/>
      </c>
      <c r="AB169" s="160">
        <f>'Datos_fuente'!AC169</f>
        <v/>
      </c>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f>'Datos_fuente'!A170</f>
        <v/>
      </c>
      <c r="B170" s="160">
        <f>IF('Datos_fuente'!B170="","",LN('Datos_fuente'!B170))</f>
        <v/>
      </c>
      <c r="C170" s="160">
        <f>IF(OR(B170="",B169=""),"",B170-B169)</f>
        <v/>
      </c>
      <c r="D170" s="160">
        <f>IF('Datos_fuente'!C170="","",LN('Datos_fuente'!C170))</f>
        <v/>
      </c>
      <c r="E170" s="160">
        <f>IF(OR(D170="",D169=""),"",D170-D169)</f>
        <v/>
      </c>
      <c r="F170" s="160">
        <f>IF('Datos_fuente'!E170="","",LN('Datos_fuente'!E170))</f>
        <v/>
      </c>
      <c r="G170" s="160">
        <f>IF(OR(F170="",F169=""),"",F170-F169)</f>
        <v/>
      </c>
      <c r="H170" s="161">
        <f>'Datos_fuente'!H170</f>
        <v/>
      </c>
      <c r="I170" s="161">
        <f>IF(OR(H170="",H169=""),"",H170-H169)</f>
        <v/>
      </c>
      <c r="J170" s="161">
        <f>'Datos_fuente'!J170</f>
        <v/>
      </c>
      <c r="K170" s="161">
        <f>IF(OR(J170="",J169=""),"",J170-J169)</f>
        <v/>
      </c>
      <c r="L170" s="160">
        <f>IF('Datos_fuente'!K170="","",LN('Datos_fuente'!K170))</f>
        <v/>
      </c>
      <c r="M170" s="160">
        <f>IF(OR(L170="",L169=""),"",L170-L169)</f>
        <v/>
      </c>
      <c r="N170" s="160">
        <f>IF('Datos_fuente'!L170="","",LN('Datos_fuente'!L170))</f>
        <v/>
      </c>
      <c r="O170" s="160">
        <f>IF(OR(N170="",N169=""),"",N170-N169)</f>
        <v/>
      </c>
      <c r="P170" s="162">
        <f>'Datos_fuente'!M170</f>
        <v/>
      </c>
      <c r="Q170" s="160">
        <f>IF('Datos_fuente'!N170="","",LN('Datos_fuente'!N170))</f>
        <v/>
      </c>
      <c r="R170" s="160">
        <f>IF(OR(Q170="",Q169=""),"",Q170-Q169)</f>
        <v/>
      </c>
      <c r="S170" s="161">
        <f>'Datos_fuente'!P170</f>
        <v/>
      </c>
      <c r="T170" s="161">
        <f>IF(OR(S170="",S169=""),"",S170-S169)</f>
        <v/>
      </c>
      <c r="U170" s="160">
        <f>IF('Datos_fuente'!Q170="","",ASINH('Datos_fuente'!Q170/1000))</f>
        <v/>
      </c>
      <c r="V170" s="160">
        <f>IF(OR(U170="",U169=""),"",U170-U169)</f>
        <v/>
      </c>
      <c r="W170" s="160">
        <f>IF('Datos_fuente'!R170="","",ASINH('Datos_fuente'!R170/1000))</f>
        <v/>
      </c>
      <c r="X170" s="160">
        <f>IF(OR(W170="",W169=""),"",W170-W169)</f>
        <v/>
      </c>
      <c r="Y170" s="161">
        <f>'Datos_fuente'!W170</f>
        <v/>
      </c>
      <c r="Z170" s="161">
        <f>IF(OR(Y170="",Y169=""),"",Y170-Y169)</f>
        <v/>
      </c>
      <c r="AA170" s="160">
        <f>'Datos_fuente'!AB170</f>
        <v/>
      </c>
      <c r="AB170" s="160">
        <f>'Datos_fuente'!AC170</f>
        <v/>
      </c>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f>'Datos_fuente'!A171</f>
        <v/>
      </c>
      <c r="B171" s="160">
        <f>IF('Datos_fuente'!B171="","",LN('Datos_fuente'!B171))</f>
        <v/>
      </c>
      <c r="C171" s="160">
        <f>IF(OR(B171="",B170=""),"",B171-B170)</f>
        <v/>
      </c>
      <c r="D171" s="160">
        <f>IF('Datos_fuente'!C171="","",LN('Datos_fuente'!C171))</f>
        <v/>
      </c>
      <c r="E171" s="160">
        <f>IF(OR(D171="",D170=""),"",D171-D170)</f>
        <v/>
      </c>
      <c r="F171" s="160">
        <f>IF('Datos_fuente'!E171="","",LN('Datos_fuente'!E171))</f>
        <v/>
      </c>
      <c r="G171" s="160">
        <f>IF(OR(F171="",F170=""),"",F171-F170)</f>
        <v/>
      </c>
      <c r="H171" s="161">
        <f>'Datos_fuente'!H171</f>
        <v/>
      </c>
      <c r="I171" s="161">
        <f>IF(OR(H171="",H170=""),"",H171-H170)</f>
        <v/>
      </c>
      <c r="J171" s="161">
        <f>'Datos_fuente'!J171</f>
        <v/>
      </c>
      <c r="K171" s="161">
        <f>IF(OR(J171="",J170=""),"",J171-J170)</f>
        <v/>
      </c>
      <c r="L171" s="160">
        <f>IF('Datos_fuente'!K171="","",LN('Datos_fuente'!K171))</f>
        <v/>
      </c>
      <c r="M171" s="160">
        <f>IF(OR(L171="",L170=""),"",L171-L170)</f>
        <v/>
      </c>
      <c r="N171" s="160">
        <f>IF('Datos_fuente'!L171="","",LN('Datos_fuente'!L171))</f>
        <v/>
      </c>
      <c r="O171" s="160">
        <f>IF(OR(N171="",N170=""),"",N171-N170)</f>
        <v/>
      </c>
      <c r="P171" s="162">
        <f>'Datos_fuente'!M171</f>
        <v/>
      </c>
      <c r="Q171" s="160">
        <f>IF('Datos_fuente'!N171="","",LN('Datos_fuente'!N171))</f>
        <v/>
      </c>
      <c r="R171" s="160">
        <f>IF(OR(Q171="",Q170=""),"",Q171-Q170)</f>
        <v/>
      </c>
      <c r="S171" s="161">
        <f>'Datos_fuente'!P171</f>
        <v/>
      </c>
      <c r="T171" s="161">
        <f>IF(OR(S171="",S170=""),"",S171-S170)</f>
        <v/>
      </c>
      <c r="U171" s="160">
        <f>IF('Datos_fuente'!Q171="","",ASINH('Datos_fuente'!Q171/1000))</f>
        <v/>
      </c>
      <c r="V171" s="160">
        <f>IF(OR(U171="",U170=""),"",U171-U170)</f>
        <v/>
      </c>
      <c r="W171" s="160">
        <f>IF('Datos_fuente'!R171="","",ASINH('Datos_fuente'!R171/1000))</f>
        <v/>
      </c>
      <c r="X171" s="160">
        <f>IF(OR(W171="",W170=""),"",W171-W170)</f>
        <v/>
      </c>
      <c r="Y171" s="161">
        <f>'Datos_fuente'!W171</f>
        <v/>
      </c>
      <c r="Z171" s="161">
        <f>IF(OR(Y171="",Y170=""),"",Y171-Y170)</f>
        <v/>
      </c>
      <c r="AA171" s="160">
        <f>'Datos_fuente'!AB171</f>
        <v/>
      </c>
      <c r="AB171" s="160">
        <f>'Datos_fuente'!AC171</f>
        <v/>
      </c>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f>'Datos_fuente'!A172</f>
        <v/>
      </c>
      <c r="B172" s="160">
        <f>IF('Datos_fuente'!B172="","",LN('Datos_fuente'!B172))</f>
        <v/>
      </c>
      <c r="C172" s="160">
        <f>IF(OR(B172="",B171=""),"",B172-B171)</f>
        <v/>
      </c>
      <c r="D172" s="160">
        <f>IF('Datos_fuente'!C172="","",LN('Datos_fuente'!C172))</f>
        <v/>
      </c>
      <c r="E172" s="160">
        <f>IF(OR(D172="",D171=""),"",D172-D171)</f>
        <v/>
      </c>
      <c r="F172" s="160">
        <f>IF('Datos_fuente'!E172="","",LN('Datos_fuente'!E172))</f>
        <v/>
      </c>
      <c r="G172" s="160">
        <f>IF(OR(F172="",F171=""),"",F172-F171)</f>
        <v/>
      </c>
      <c r="H172" s="161">
        <f>'Datos_fuente'!H172</f>
        <v/>
      </c>
      <c r="I172" s="161">
        <f>IF(OR(H172="",H171=""),"",H172-H171)</f>
        <v/>
      </c>
      <c r="J172" s="161">
        <f>'Datos_fuente'!J172</f>
        <v/>
      </c>
      <c r="K172" s="161">
        <f>IF(OR(J172="",J171=""),"",J172-J171)</f>
        <v/>
      </c>
      <c r="L172" s="160">
        <f>IF('Datos_fuente'!K172="","",LN('Datos_fuente'!K172))</f>
        <v/>
      </c>
      <c r="M172" s="160">
        <f>IF(OR(L172="",L171=""),"",L172-L171)</f>
        <v/>
      </c>
      <c r="N172" s="160">
        <f>IF('Datos_fuente'!L172="","",LN('Datos_fuente'!L172))</f>
        <v/>
      </c>
      <c r="O172" s="160">
        <f>IF(OR(N172="",N171=""),"",N172-N171)</f>
        <v/>
      </c>
      <c r="P172" s="162">
        <f>'Datos_fuente'!M172</f>
        <v/>
      </c>
      <c r="Q172" s="160">
        <f>IF('Datos_fuente'!N172="","",LN('Datos_fuente'!N172))</f>
        <v/>
      </c>
      <c r="R172" s="160">
        <f>IF(OR(Q172="",Q171=""),"",Q172-Q171)</f>
        <v/>
      </c>
      <c r="S172" s="161">
        <f>'Datos_fuente'!P172</f>
        <v/>
      </c>
      <c r="T172" s="161">
        <f>IF(OR(S172="",S171=""),"",S172-S171)</f>
        <v/>
      </c>
      <c r="U172" s="160">
        <f>IF('Datos_fuente'!Q172="","",ASINH('Datos_fuente'!Q172/1000))</f>
        <v/>
      </c>
      <c r="V172" s="160">
        <f>IF(OR(U172="",U171=""),"",U172-U171)</f>
        <v/>
      </c>
      <c r="W172" s="160">
        <f>IF('Datos_fuente'!R172="","",ASINH('Datos_fuente'!R172/1000))</f>
        <v/>
      </c>
      <c r="X172" s="160">
        <f>IF(OR(W172="",W171=""),"",W172-W171)</f>
        <v/>
      </c>
      <c r="Y172" s="161">
        <f>'Datos_fuente'!W172</f>
        <v/>
      </c>
      <c r="Z172" s="161">
        <f>IF(OR(Y172="",Y171=""),"",Y172-Y171)</f>
        <v/>
      </c>
      <c r="AA172" s="160">
        <f>'Datos_fuente'!AB172</f>
        <v/>
      </c>
      <c r="AB172" s="160">
        <f>'Datos_fuente'!AC172</f>
        <v/>
      </c>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f>'Datos_fuente'!A173</f>
        <v/>
      </c>
      <c r="B173" s="160">
        <f>IF('Datos_fuente'!B173="","",LN('Datos_fuente'!B173))</f>
        <v/>
      </c>
      <c r="C173" s="160">
        <f>IF(OR(B173="",B172=""),"",B173-B172)</f>
        <v/>
      </c>
      <c r="D173" s="160">
        <f>IF('Datos_fuente'!C173="","",LN('Datos_fuente'!C173))</f>
        <v/>
      </c>
      <c r="E173" s="160">
        <f>IF(OR(D173="",D172=""),"",D173-D172)</f>
        <v/>
      </c>
      <c r="F173" s="160">
        <f>IF('Datos_fuente'!E173="","",LN('Datos_fuente'!E173))</f>
        <v/>
      </c>
      <c r="G173" s="160">
        <f>IF(OR(F173="",F172=""),"",F173-F172)</f>
        <v/>
      </c>
      <c r="H173" s="161">
        <f>'Datos_fuente'!H173</f>
        <v/>
      </c>
      <c r="I173" s="161">
        <f>IF(OR(H173="",H172=""),"",H173-H172)</f>
        <v/>
      </c>
      <c r="J173" s="161">
        <f>'Datos_fuente'!J173</f>
        <v/>
      </c>
      <c r="K173" s="161">
        <f>IF(OR(J173="",J172=""),"",J173-J172)</f>
        <v/>
      </c>
      <c r="L173" s="160">
        <f>IF('Datos_fuente'!K173="","",LN('Datos_fuente'!K173))</f>
        <v/>
      </c>
      <c r="M173" s="160">
        <f>IF(OR(L173="",L172=""),"",L173-L172)</f>
        <v/>
      </c>
      <c r="N173" s="160">
        <f>IF('Datos_fuente'!L173="","",LN('Datos_fuente'!L173))</f>
        <v/>
      </c>
      <c r="O173" s="160">
        <f>IF(OR(N173="",N172=""),"",N173-N172)</f>
        <v/>
      </c>
      <c r="P173" s="162">
        <f>'Datos_fuente'!M173</f>
        <v/>
      </c>
      <c r="Q173" s="160">
        <f>IF('Datos_fuente'!N173="","",LN('Datos_fuente'!N173))</f>
        <v/>
      </c>
      <c r="R173" s="160">
        <f>IF(OR(Q173="",Q172=""),"",Q173-Q172)</f>
        <v/>
      </c>
      <c r="S173" s="161">
        <f>'Datos_fuente'!P173</f>
        <v/>
      </c>
      <c r="T173" s="161">
        <f>IF(OR(S173="",S172=""),"",S173-S172)</f>
        <v/>
      </c>
      <c r="U173" s="160">
        <f>IF('Datos_fuente'!Q173="","",ASINH('Datos_fuente'!Q173/1000))</f>
        <v/>
      </c>
      <c r="V173" s="160">
        <f>IF(OR(U173="",U172=""),"",U173-U172)</f>
        <v/>
      </c>
      <c r="W173" s="160">
        <f>IF('Datos_fuente'!R173="","",ASINH('Datos_fuente'!R173/1000))</f>
        <v/>
      </c>
      <c r="X173" s="160">
        <f>IF(OR(W173="",W172=""),"",W173-W172)</f>
        <v/>
      </c>
      <c r="Y173" s="161">
        <f>'Datos_fuente'!W173</f>
        <v/>
      </c>
      <c r="Z173" s="161">
        <f>IF(OR(Y173="",Y172=""),"",Y173-Y172)</f>
        <v/>
      </c>
      <c r="AA173" s="160">
        <f>'Datos_fuente'!AB173</f>
        <v/>
      </c>
      <c r="AB173" s="160">
        <f>'Datos_fuente'!AC173</f>
        <v/>
      </c>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f>'Datos_fuente'!A174</f>
        <v/>
      </c>
      <c r="B174" s="160">
        <f>IF('Datos_fuente'!B174="","",LN('Datos_fuente'!B174))</f>
        <v/>
      </c>
      <c r="C174" s="160">
        <f>IF(OR(B174="",B173=""),"",B174-B173)</f>
        <v/>
      </c>
      <c r="D174" s="160">
        <f>IF('Datos_fuente'!C174="","",LN('Datos_fuente'!C174))</f>
        <v/>
      </c>
      <c r="E174" s="160">
        <f>IF(OR(D174="",D173=""),"",D174-D173)</f>
        <v/>
      </c>
      <c r="F174" s="160">
        <f>IF('Datos_fuente'!E174="","",LN('Datos_fuente'!E174))</f>
        <v/>
      </c>
      <c r="G174" s="160">
        <f>IF(OR(F174="",F173=""),"",F174-F173)</f>
        <v/>
      </c>
      <c r="H174" s="161">
        <f>'Datos_fuente'!H174</f>
        <v/>
      </c>
      <c r="I174" s="161">
        <f>IF(OR(H174="",H173=""),"",H174-H173)</f>
        <v/>
      </c>
      <c r="J174" s="161">
        <f>'Datos_fuente'!J174</f>
        <v/>
      </c>
      <c r="K174" s="161">
        <f>IF(OR(J174="",J173=""),"",J174-J173)</f>
        <v/>
      </c>
      <c r="L174" s="160">
        <f>IF('Datos_fuente'!K174="","",LN('Datos_fuente'!K174))</f>
        <v/>
      </c>
      <c r="M174" s="160">
        <f>IF(OR(L174="",L173=""),"",L174-L173)</f>
        <v/>
      </c>
      <c r="N174" s="160">
        <f>IF('Datos_fuente'!L174="","",LN('Datos_fuente'!L174))</f>
        <v/>
      </c>
      <c r="O174" s="160">
        <f>IF(OR(N174="",N173=""),"",N174-N173)</f>
        <v/>
      </c>
      <c r="P174" s="162">
        <f>'Datos_fuente'!M174</f>
        <v/>
      </c>
      <c r="Q174" s="160">
        <f>IF('Datos_fuente'!N174="","",LN('Datos_fuente'!N174))</f>
        <v/>
      </c>
      <c r="R174" s="160">
        <f>IF(OR(Q174="",Q173=""),"",Q174-Q173)</f>
        <v/>
      </c>
      <c r="S174" s="161">
        <f>'Datos_fuente'!P174</f>
        <v/>
      </c>
      <c r="T174" s="161">
        <f>IF(OR(S174="",S173=""),"",S174-S173)</f>
        <v/>
      </c>
      <c r="U174" s="160">
        <f>IF('Datos_fuente'!Q174="","",ASINH('Datos_fuente'!Q174/1000))</f>
        <v/>
      </c>
      <c r="V174" s="160">
        <f>IF(OR(U174="",U173=""),"",U174-U173)</f>
        <v/>
      </c>
      <c r="W174" s="160">
        <f>IF('Datos_fuente'!R174="","",ASINH('Datos_fuente'!R174/1000))</f>
        <v/>
      </c>
      <c r="X174" s="160">
        <f>IF(OR(W174="",W173=""),"",W174-W173)</f>
        <v/>
      </c>
      <c r="Y174" s="161">
        <f>'Datos_fuente'!W174</f>
        <v/>
      </c>
      <c r="Z174" s="161">
        <f>IF(OR(Y174="",Y173=""),"",Y174-Y173)</f>
        <v/>
      </c>
      <c r="AA174" s="160">
        <f>'Datos_fuente'!AB174</f>
        <v/>
      </c>
      <c r="AB174" s="160">
        <f>'Datos_fuente'!AC174</f>
        <v/>
      </c>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f>'Datos_fuente'!A175</f>
        <v/>
      </c>
      <c r="B175" s="160">
        <f>IF('Datos_fuente'!B175="","",LN('Datos_fuente'!B175))</f>
        <v/>
      </c>
      <c r="C175" s="160">
        <f>IF(OR(B175="",B174=""),"",B175-B174)</f>
        <v/>
      </c>
      <c r="D175" s="160">
        <f>IF('Datos_fuente'!C175="","",LN('Datos_fuente'!C175))</f>
        <v/>
      </c>
      <c r="E175" s="160">
        <f>IF(OR(D175="",D174=""),"",D175-D174)</f>
        <v/>
      </c>
      <c r="F175" s="160">
        <f>IF('Datos_fuente'!E175="","",LN('Datos_fuente'!E175))</f>
        <v/>
      </c>
      <c r="G175" s="160">
        <f>IF(OR(F175="",F174=""),"",F175-F174)</f>
        <v/>
      </c>
      <c r="H175" s="161">
        <f>'Datos_fuente'!H175</f>
        <v/>
      </c>
      <c r="I175" s="161">
        <f>IF(OR(H175="",H174=""),"",H175-H174)</f>
        <v/>
      </c>
      <c r="J175" s="161">
        <f>'Datos_fuente'!J175</f>
        <v/>
      </c>
      <c r="K175" s="161">
        <f>IF(OR(J175="",J174=""),"",J175-J174)</f>
        <v/>
      </c>
      <c r="L175" s="160">
        <f>IF('Datos_fuente'!K175="","",LN('Datos_fuente'!K175))</f>
        <v/>
      </c>
      <c r="M175" s="160">
        <f>IF(OR(L175="",L174=""),"",L175-L174)</f>
        <v/>
      </c>
      <c r="N175" s="160">
        <f>IF('Datos_fuente'!L175="","",LN('Datos_fuente'!L175))</f>
        <v/>
      </c>
      <c r="O175" s="160">
        <f>IF(OR(N175="",N174=""),"",N175-N174)</f>
        <v/>
      </c>
      <c r="P175" s="162">
        <f>'Datos_fuente'!M175</f>
        <v/>
      </c>
      <c r="Q175" s="160">
        <f>IF('Datos_fuente'!N175="","",LN('Datos_fuente'!N175))</f>
        <v/>
      </c>
      <c r="R175" s="160">
        <f>IF(OR(Q175="",Q174=""),"",Q175-Q174)</f>
        <v/>
      </c>
      <c r="S175" s="161">
        <f>'Datos_fuente'!P175</f>
        <v/>
      </c>
      <c r="T175" s="161">
        <f>IF(OR(S175="",S174=""),"",S175-S174)</f>
        <v/>
      </c>
      <c r="U175" s="160">
        <f>IF('Datos_fuente'!Q175="","",ASINH('Datos_fuente'!Q175/1000))</f>
        <v/>
      </c>
      <c r="V175" s="160">
        <f>IF(OR(U175="",U174=""),"",U175-U174)</f>
        <v/>
      </c>
      <c r="W175" s="160">
        <f>IF('Datos_fuente'!R175="","",ASINH('Datos_fuente'!R175/1000))</f>
        <v/>
      </c>
      <c r="X175" s="160">
        <f>IF(OR(W175="",W174=""),"",W175-W174)</f>
        <v/>
      </c>
      <c r="Y175" s="161">
        <f>'Datos_fuente'!W175</f>
        <v/>
      </c>
      <c r="Z175" s="161">
        <f>IF(OR(Y175="",Y174=""),"",Y175-Y174)</f>
        <v/>
      </c>
      <c r="AA175" s="160">
        <f>'Datos_fuente'!AB175</f>
        <v/>
      </c>
      <c r="AB175" s="160">
        <f>'Datos_fuente'!AC175</f>
        <v/>
      </c>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f>'Datos_fuente'!A176</f>
        <v/>
      </c>
      <c r="B176" s="160">
        <f>IF('Datos_fuente'!B176="","",LN('Datos_fuente'!B176))</f>
        <v/>
      </c>
      <c r="C176" s="160">
        <f>IF(OR(B176="",B175=""),"",B176-B175)</f>
        <v/>
      </c>
      <c r="D176" s="160">
        <f>IF('Datos_fuente'!C176="","",LN('Datos_fuente'!C176))</f>
        <v/>
      </c>
      <c r="E176" s="160">
        <f>IF(OR(D176="",D175=""),"",D176-D175)</f>
        <v/>
      </c>
      <c r="F176" s="160">
        <f>IF('Datos_fuente'!E176="","",LN('Datos_fuente'!E176))</f>
        <v/>
      </c>
      <c r="G176" s="160">
        <f>IF(OR(F176="",F175=""),"",F176-F175)</f>
        <v/>
      </c>
      <c r="H176" s="161">
        <f>'Datos_fuente'!H176</f>
        <v/>
      </c>
      <c r="I176" s="161">
        <f>IF(OR(H176="",H175=""),"",H176-H175)</f>
        <v/>
      </c>
      <c r="J176" s="161">
        <f>'Datos_fuente'!J176</f>
        <v/>
      </c>
      <c r="K176" s="161">
        <f>IF(OR(J176="",J175=""),"",J176-J175)</f>
        <v/>
      </c>
      <c r="L176" s="160">
        <f>IF('Datos_fuente'!K176="","",LN('Datos_fuente'!K176))</f>
        <v/>
      </c>
      <c r="M176" s="160">
        <f>IF(OR(L176="",L175=""),"",L176-L175)</f>
        <v/>
      </c>
      <c r="N176" s="160">
        <f>IF('Datos_fuente'!L176="","",LN('Datos_fuente'!L176))</f>
        <v/>
      </c>
      <c r="O176" s="160">
        <f>IF(OR(N176="",N175=""),"",N176-N175)</f>
        <v/>
      </c>
      <c r="P176" s="162">
        <f>'Datos_fuente'!M176</f>
        <v/>
      </c>
      <c r="Q176" s="160">
        <f>IF('Datos_fuente'!N176="","",LN('Datos_fuente'!N176))</f>
        <v/>
      </c>
      <c r="R176" s="160">
        <f>IF(OR(Q176="",Q175=""),"",Q176-Q175)</f>
        <v/>
      </c>
      <c r="S176" s="161">
        <f>'Datos_fuente'!P176</f>
        <v/>
      </c>
      <c r="T176" s="161">
        <f>IF(OR(S176="",S175=""),"",S176-S175)</f>
        <v/>
      </c>
      <c r="U176" s="160">
        <f>IF('Datos_fuente'!Q176="","",ASINH('Datos_fuente'!Q176/1000))</f>
        <v/>
      </c>
      <c r="V176" s="160">
        <f>IF(OR(U176="",U175=""),"",U176-U175)</f>
        <v/>
      </c>
      <c r="W176" s="160">
        <f>IF('Datos_fuente'!R176="","",ASINH('Datos_fuente'!R176/1000))</f>
        <v/>
      </c>
      <c r="X176" s="160">
        <f>IF(OR(W176="",W175=""),"",W176-W175)</f>
        <v/>
      </c>
      <c r="Y176" s="161">
        <f>'Datos_fuente'!W176</f>
        <v/>
      </c>
      <c r="Z176" s="161">
        <f>IF(OR(Y176="",Y175=""),"",Y176-Y175)</f>
        <v/>
      </c>
      <c r="AA176" s="160">
        <f>'Datos_fuente'!AB176</f>
        <v/>
      </c>
      <c r="AB176" s="160">
        <f>'Datos_fuente'!AC176</f>
        <v/>
      </c>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f>'Datos_fuente'!A177</f>
        <v/>
      </c>
      <c r="B177" s="160">
        <f>IF('Datos_fuente'!B177="","",LN('Datos_fuente'!B177))</f>
        <v/>
      </c>
      <c r="C177" s="160">
        <f>IF(OR(B177="",B176=""),"",B177-B176)</f>
        <v/>
      </c>
      <c r="D177" s="160">
        <f>IF('Datos_fuente'!C177="","",LN('Datos_fuente'!C177))</f>
        <v/>
      </c>
      <c r="E177" s="160">
        <f>IF(OR(D177="",D176=""),"",D177-D176)</f>
        <v/>
      </c>
      <c r="F177" s="160">
        <f>IF('Datos_fuente'!E177="","",LN('Datos_fuente'!E177))</f>
        <v/>
      </c>
      <c r="G177" s="160">
        <f>IF(OR(F177="",F176=""),"",F177-F176)</f>
        <v/>
      </c>
      <c r="H177" s="161">
        <f>'Datos_fuente'!H177</f>
        <v/>
      </c>
      <c r="I177" s="161">
        <f>IF(OR(H177="",H176=""),"",H177-H176)</f>
        <v/>
      </c>
      <c r="J177" s="161">
        <f>'Datos_fuente'!J177</f>
        <v/>
      </c>
      <c r="K177" s="161">
        <f>IF(OR(J177="",J176=""),"",J177-J176)</f>
        <v/>
      </c>
      <c r="L177" s="160">
        <f>IF('Datos_fuente'!K177="","",LN('Datos_fuente'!K177))</f>
        <v/>
      </c>
      <c r="M177" s="160">
        <f>IF(OR(L177="",L176=""),"",L177-L176)</f>
        <v/>
      </c>
      <c r="N177" s="160">
        <f>IF('Datos_fuente'!L177="","",LN('Datos_fuente'!L177))</f>
        <v/>
      </c>
      <c r="O177" s="160">
        <f>IF(OR(N177="",N176=""),"",N177-N176)</f>
        <v/>
      </c>
      <c r="P177" s="162">
        <f>'Datos_fuente'!M177</f>
        <v/>
      </c>
      <c r="Q177" s="160">
        <f>IF('Datos_fuente'!N177="","",LN('Datos_fuente'!N177))</f>
        <v/>
      </c>
      <c r="R177" s="160">
        <f>IF(OR(Q177="",Q176=""),"",Q177-Q176)</f>
        <v/>
      </c>
      <c r="S177" s="161">
        <f>'Datos_fuente'!P177</f>
        <v/>
      </c>
      <c r="T177" s="161">
        <f>IF(OR(S177="",S176=""),"",S177-S176)</f>
        <v/>
      </c>
      <c r="U177" s="160">
        <f>IF('Datos_fuente'!Q177="","",ASINH('Datos_fuente'!Q177/1000))</f>
        <v/>
      </c>
      <c r="V177" s="160">
        <f>IF(OR(U177="",U176=""),"",U177-U176)</f>
        <v/>
      </c>
      <c r="W177" s="160">
        <f>IF('Datos_fuente'!R177="","",ASINH('Datos_fuente'!R177/1000))</f>
        <v/>
      </c>
      <c r="X177" s="160">
        <f>IF(OR(W177="",W176=""),"",W177-W176)</f>
        <v/>
      </c>
      <c r="Y177" s="161">
        <f>'Datos_fuente'!W177</f>
        <v/>
      </c>
      <c r="Z177" s="161">
        <f>IF(OR(Y177="",Y176=""),"",Y177-Y176)</f>
        <v/>
      </c>
      <c r="AA177" s="160">
        <f>'Datos_fuente'!AB177</f>
        <v/>
      </c>
      <c r="AB177" s="160">
        <f>'Datos_fuente'!AC177</f>
        <v/>
      </c>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f>'Datos_fuente'!A178</f>
        <v/>
      </c>
      <c r="B178" s="160">
        <f>IF('Datos_fuente'!B178="","",LN('Datos_fuente'!B178))</f>
        <v/>
      </c>
      <c r="C178" s="160">
        <f>IF(OR(B178="",B177=""),"",B178-B177)</f>
        <v/>
      </c>
      <c r="D178" s="160">
        <f>IF('Datos_fuente'!C178="","",LN('Datos_fuente'!C178))</f>
        <v/>
      </c>
      <c r="E178" s="160">
        <f>IF(OR(D178="",D177=""),"",D178-D177)</f>
        <v/>
      </c>
      <c r="F178" s="160">
        <f>IF('Datos_fuente'!E178="","",LN('Datos_fuente'!E178))</f>
        <v/>
      </c>
      <c r="G178" s="160">
        <f>IF(OR(F178="",F177=""),"",F178-F177)</f>
        <v/>
      </c>
      <c r="H178" s="161">
        <f>'Datos_fuente'!H178</f>
        <v/>
      </c>
      <c r="I178" s="161">
        <f>IF(OR(H178="",H177=""),"",H178-H177)</f>
        <v/>
      </c>
      <c r="J178" s="161">
        <f>'Datos_fuente'!J178</f>
        <v/>
      </c>
      <c r="K178" s="161">
        <f>IF(OR(J178="",J177=""),"",J178-J177)</f>
        <v/>
      </c>
      <c r="L178" s="160">
        <f>IF('Datos_fuente'!K178="","",LN('Datos_fuente'!K178))</f>
        <v/>
      </c>
      <c r="M178" s="160">
        <f>IF(OR(L178="",L177=""),"",L178-L177)</f>
        <v/>
      </c>
      <c r="N178" s="160">
        <f>IF('Datos_fuente'!L178="","",LN('Datos_fuente'!L178))</f>
        <v/>
      </c>
      <c r="O178" s="160">
        <f>IF(OR(N178="",N177=""),"",N178-N177)</f>
        <v/>
      </c>
      <c r="P178" s="162">
        <f>'Datos_fuente'!M178</f>
        <v/>
      </c>
      <c r="Q178" s="160">
        <f>IF('Datos_fuente'!N178="","",LN('Datos_fuente'!N178))</f>
        <v/>
      </c>
      <c r="R178" s="160">
        <f>IF(OR(Q178="",Q177=""),"",Q178-Q177)</f>
        <v/>
      </c>
      <c r="S178" s="161">
        <f>'Datos_fuente'!P178</f>
        <v/>
      </c>
      <c r="T178" s="161">
        <f>IF(OR(S178="",S177=""),"",S178-S177)</f>
        <v/>
      </c>
      <c r="U178" s="160">
        <f>IF('Datos_fuente'!Q178="","",ASINH('Datos_fuente'!Q178/1000))</f>
        <v/>
      </c>
      <c r="V178" s="160">
        <f>IF(OR(U178="",U177=""),"",U178-U177)</f>
        <v/>
      </c>
      <c r="W178" s="160">
        <f>IF('Datos_fuente'!R178="","",ASINH('Datos_fuente'!R178/1000))</f>
        <v/>
      </c>
      <c r="X178" s="160">
        <f>IF(OR(W178="",W177=""),"",W178-W177)</f>
        <v/>
      </c>
      <c r="Y178" s="161">
        <f>'Datos_fuente'!W178</f>
        <v/>
      </c>
      <c r="Z178" s="161">
        <f>IF(OR(Y178="",Y177=""),"",Y178-Y177)</f>
        <v/>
      </c>
      <c r="AA178" s="160">
        <f>'Datos_fuente'!AB178</f>
        <v/>
      </c>
      <c r="AB178" s="160">
        <f>'Datos_fuente'!AC178</f>
        <v/>
      </c>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f>'Datos_fuente'!A179</f>
        <v/>
      </c>
      <c r="B179" s="160">
        <f>IF('Datos_fuente'!B179="","",LN('Datos_fuente'!B179))</f>
        <v/>
      </c>
      <c r="C179" s="160">
        <f>IF(OR(B179="",B178=""),"",B179-B178)</f>
        <v/>
      </c>
      <c r="D179" s="160">
        <f>IF('Datos_fuente'!C179="","",LN('Datos_fuente'!C179))</f>
        <v/>
      </c>
      <c r="E179" s="160">
        <f>IF(OR(D179="",D178=""),"",D179-D178)</f>
        <v/>
      </c>
      <c r="F179" s="160">
        <f>IF('Datos_fuente'!E179="","",LN('Datos_fuente'!E179))</f>
        <v/>
      </c>
      <c r="G179" s="160">
        <f>IF(OR(F179="",F178=""),"",F179-F178)</f>
        <v/>
      </c>
      <c r="H179" s="161">
        <f>'Datos_fuente'!H179</f>
        <v/>
      </c>
      <c r="I179" s="161">
        <f>IF(OR(H179="",H178=""),"",H179-H178)</f>
        <v/>
      </c>
      <c r="J179" s="161">
        <f>'Datos_fuente'!J179</f>
        <v/>
      </c>
      <c r="K179" s="161">
        <f>IF(OR(J179="",J178=""),"",J179-J178)</f>
        <v/>
      </c>
      <c r="L179" s="160">
        <f>IF('Datos_fuente'!K179="","",LN('Datos_fuente'!K179))</f>
        <v/>
      </c>
      <c r="M179" s="160">
        <f>IF(OR(L179="",L178=""),"",L179-L178)</f>
        <v/>
      </c>
      <c r="N179" s="160">
        <f>IF('Datos_fuente'!L179="","",LN('Datos_fuente'!L179))</f>
        <v/>
      </c>
      <c r="O179" s="160">
        <f>IF(OR(N179="",N178=""),"",N179-N178)</f>
        <v/>
      </c>
      <c r="P179" s="162">
        <f>'Datos_fuente'!M179</f>
        <v/>
      </c>
      <c r="Q179" s="160">
        <f>IF('Datos_fuente'!N179="","",LN('Datos_fuente'!N179))</f>
        <v/>
      </c>
      <c r="R179" s="160">
        <f>IF(OR(Q179="",Q178=""),"",Q179-Q178)</f>
        <v/>
      </c>
      <c r="S179" s="161">
        <f>'Datos_fuente'!P179</f>
        <v/>
      </c>
      <c r="T179" s="161">
        <f>IF(OR(S179="",S178=""),"",S179-S178)</f>
        <v/>
      </c>
      <c r="U179" s="160">
        <f>IF('Datos_fuente'!Q179="","",ASINH('Datos_fuente'!Q179/1000))</f>
        <v/>
      </c>
      <c r="V179" s="160">
        <f>IF(OR(U179="",U178=""),"",U179-U178)</f>
        <v/>
      </c>
      <c r="W179" s="160">
        <f>IF('Datos_fuente'!R179="","",ASINH('Datos_fuente'!R179/1000))</f>
        <v/>
      </c>
      <c r="X179" s="160">
        <f>IF(OR(W179="",W178=""),"",W179-W178)</f>
        <v/>
      </c>
      <c r="Y179" s="161">
        <f>'Datos_fuente'!W179</f>
        <v/>
      </c>
      <c r="Z179" s="161">
        <f>IF(OR(Y179="",Y178=""),"",Y179-Y178)</f>
        <v/>
      </c>
      <c r="AA179" s="160">
        <f>'Datos_fuente'!AB179</f>
        <v/>
      </c>
      <c r="AB179" s="160">
        <f>'Datos_fuente'!AC179</f>
        <v/>
      </c>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f>'Datos_fuente'!A180</f>
        <v/>
      </c>
      <c r="B180" s="160">
        <f>IF('Datos_fuente'!B180="","",LN('Datos_fuente'!B180))</f>
        <v/>
      </c>
      <c r="C180" s="160">
        <f>IF(OR(B180="",B179=""),"",B180-B179)</f>
        <v/>
      </c>
      <c r="D180" s="160">
        <f>IF('Datos_fuente'!C180="","",LN('Datos_fuente'!C180))</f>
        <v/>
      </c>
      <c r="E180" s="160">
        <f>IF(OR(D180="",D179=""),"",D180-D179)</f>
        <v/>
      </c>
      <c r="F180" s="160">
        <f>IF('Datos_fuente'!E180="","",LN('Datos_fuente'!E180))</f>
        <v/>
      </c>
      <c r="G180" s="160">
        <f>IF(OR(F180="",F179=""),"",F180-F179)</f>
        <v/>
      </c>
      <c r="H180" s="161">
        <f>'Datos_fuente'!H180</f>
        <v/>
      </c>
      <c r="I180" s="161">
        <f>IF(OR(H180="",H179=""),"",H180-H179)</f>
        <v/>
      </c>
      <c r="J180" s="161">
        <f>'Datos_fuente'!J180</f>
        <v/>
      </c>
      <c r="K180" s="161">
        <f>IF(OR(J180="",J179=""),"",J180-J179)</f>
        <v/>
      </c>
      <c r="L180" s="160">
        <f>IF('Datos_fuente'!K180="","",LN('Datos_fuente'!K180))</f>
        <v/>
      </c>
      <c r="M180" s="160">
        <f>IF(OR(L180="",L179=""),"",L180-L179)</f>
        <v/>
      </c>
      <c r="N180" s="160">
        <f>IF('Datos_fuente'!L180="","",LN('Datos_fuente'!L180))</f>
        <v/>
      </c>
      <c r="O180" s="160">
        <f>IF(OR(N180="",N179=""),"",N180-N179)</f>
        <v/>
      </c>
      <c r="P180" s="162">
        <f>'Datos_fuente'!M180</f>
        <v/>
      </c>
      <c r="Q180" s="160">
        <f>IF('Datos_fuente'!N180="","",LN('Datos_fuente'!N180))</f>
        <v/>
      </c>
      <c r="R180" s="160">
        <f>IF(OR(Q180="",Q179=""),"",Q180-Q179)</f>
        <v/>
      </c>
      <c r="S180" s="161">
        <f>'Datos_fuente'!P180</f>
        <v/>
      </c>
      <c r="T180" s="161">
        <f>IF(OR(S180="",S179=""),"",S180-S179)</f>
        <v/>
      </c>
      <c r="U180" s="160">
        <f>IF('Datos_fuente'!Q180="","",ASINH('Datos_fuente'!Q180/1000))</f>
        <v/>
      </c>
      <c r="V180" s="160">
        <f>IF(OR(U180="",U179=""),"",U180-U179)</f>
        <v/>
      </c>
      <c r="W180" s="160">
        <f>IF('Datos_fuente'!R180="","",ASINH('Datos_fuente'!R180/1000))</f>
        <v/>
      </c>
      <c r="X180" s="160">
        <f>IF(OR(W180="",W179=""),"",W180-W179)</f>
        <v/>
      </c>
      <c r="Y180" s="161">
        <f>'Datos_fuente'!W180</f>
        <v/>
      </c>
      <c r="Z180" s="161">
        <f>IF(OR(Y180="",Y179=""),"",Y180-Y179)</f>
        <v/>
      </c>
      <c r="AA180" s="160">
        <f>'Datos_fuente'!AB180</f>
        <v/>
      </c>
      <c r="AB180" s="160">
        <f>'Datos_fuente'!AC180</f>
        <v/>
      </c>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f>'Datos_fuente'!A181</f>
        <v/>
      </c>
      <c r="B181" s="160">
        <f>IF('Datos_fuente'!B181="","",LN('Datos_fuente'!B181))</f>
        <v/>
      </c>
      <c r="C181" s="160">
        <f>IF(OR(B181="",B180=""),"",B181-B180)</f>
        <v/>
      </c>
      <c r="D181" s="160">
        <f>IF('Datos_fuente'!C181="","",LN('Datos_fuente'!C181))</f>
        <v/>
      </c>
      <c r="E181" s="160">
        <f>IF(OR(D181="",D180=""),"",D181-D180)</f>
        <v/>
      </c>
      <c r="F181" s="160">
        <f>IF('Datos_fuente'!E181="","",LN('Datos_fuente'!E181))</f>
        <v/>
      </c>
      <c r="G181" s="160">
        <f>IF(OR(F181="",F180=""),"",F181-F180)</f>
        <v/>
      </c>
      <c r="H181" s="161">
        <f>'Datos_fuente'!H181</f>
        <v/>
      </c>
      <c r="I181" s="161">
        <f>IF(OR(H181="",H180=""),"",H181-H180)</f>
        <v/>
      </c>
      <c r="J181" s="161">
        <f>'Datos_fuente'!J181</f>
        <v/>
      </c>
      <c r="K181" s="161">
        <f>IF(OR(J181="",J180=""),"",J181-J180)</f>
        <v/>
      </c>
      <c r="L181" s="160">
        <f>IF('Datos_fuente'!K181="","",LN('Datos_fuente'!K181))</f>
        <v/>
      </c>
      <c r="M181" s="160">
        <f>IF(OR(L181="",L180=""),"",L181-L180)</f>
        <v/>
      </c>
      <c r="N181" s="160">
        <f>IF('Datos_fuente'!L181="","",LN('Datos_fuente'!L181))</f>
        <v/>
      </c>
      <c r="O181" s="160">
        <f>IF(OR(N181="",N180=""),"",N181-N180)</f>
        <v/>
      </c>
      <c r="P181" s="162">
        <f>'Datos_fuente'!M181</f>
        <v/>
      </c>
      <c r="Q181" s="160">
        <f>IF('Datos_fuente'!N181="","",LN('Datos_fuente'!N181))</f>
        <v/>
      </c>
      <c r="R181" s="160">
        <f>IF(OR(Q181="",Q180=""),"",Q181-Q180)</f>
        <v/>
      </c>
      <c r="S181" s="161">
        <f>'Datos_fuente'!P181</f>
        <v/>
      </c>
      <c r="T181" s="161">
        <f>IF(OR(S181="",S180=""),"",S181-S180)</f>
        <v/>
      </c>
      <c r="U181" s="160">
        <f>IF('Datos_fuente'!Q181="","",ASINH('Datos_fuente'!Q181/1000))</f>
        <v/>
      </c>
      <c r="V181" s="160">
        <f>IF(OR(U181="",U180=""),"",U181-U180)</f>
        <v/>
      </c>
      <c r="W181" s="160">
        <f>IF('Datos_fuente'!R181="","",ASINH('Datos_fuente'!R181/1000))</f>
        <v/>
      </c>
      <c r="X181" s="160">
        <f>IF(OR(W181="",W180=""),"",W181-W180)</f>
        <v/>
      </c>
      <c r="Y181" s="161">
        <f>'Datos_fuente'!W181</f>
        <v/>
      </c>
      <c r="Z181" s="161">
        <f>IF(OR(Y181="",Y180=""),"",Y181-Y180)</f>
        <v/>
      </c>
      <c r="AA181" s="160">
        <f>'Datos_fuente'!AB181</f>
        <v/>
      </c>
      <c r="AB181" s="160">
        <f>'Datos_fuente'!AC181</f>
        <v/>
      </c>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f>'Datos_fuente'!A182</f>
        <v/>
      </c>
      <c r="B182" s="160">
        <f>IF('Datos_fuente'!B182="","",LN('Datos_fuente'!B182))</f>
        <v/>
      </c>
      <c r="C182" s="160">
        <f>IF(OR(B182="",B181=""),"",B182-B181)</f>
        <v/>
      </c>
      <c r="D182" s="160">
        <f>IF('Datos_fuente'!C182="","",LN('Datos_fuente'!C182))</f>
        <v/>
      </c>
      <c r="E182" s="160">
        <f>IF(OR(D182="",D181=""),"",D182-D181)</f>
        <v/>
      </c>
      <c r="F182" s="160">
        <f>IF('Datos_fuente'!E182="","",LN('Datos_fuente'!E182))</f>
        <v/>
      </c>
      <c r="G182" s="160">
        <f>IF(OR(F182="",F181=""),"",F182-F181)</f>
        <v/>
      </c>
      <c r="H182" s="161">
        <f>'Datos_fuente'!H182</f>
        <v/>
      </c>
      <c r="I182" s="161">
        <f>IF(OR(H182="",H181=""),"",H182-H181)</f>
        <v/>
      </c>
      <c r="J182" s="161">
        <f>'Datos_fuente'!J182</f>
        <v/>
      </c>
      <c r="K182" s="161">
        <f>IF(OR(J182="",J181=""),"",J182-J181)</f>
        <v/>
      </c>
      <c r="L182" s="160">
        <f>IF('Datos_fuente'!K182="","",LN('Datos_fuente'!K182))</f>
        <v/>
      </c>
      <c r="M182" s="160">
        <f>IF(OR(L182="",L181=""),"",L182-L181)</f>
        <v/>
      </c>
      <c r="N182" s="160">
        <f>IF('Datos_fuente'!L182="","",LN('Datos_fuente'!L182))</f>
        <v/>
      </c>
      <c r="O182" s="160">
        <f>IF(OR(N182="",N181=""),"",N182-N181)</f>
        <v/>
      </c>
      <c r="P182" s="162">
        <f>'Datos_fuente'!M182</f>
        <v/>
      </c>
      <c r="Q182" s="160">
        <f>IF('Datos_fuente'!N182="","",LN('Datos_fuente'!N182))</f>
        <v/>
      </c>
      <c r="R182" s="160">
        <f>IF(OR(Q182="",Q181=""),"",Q182-Q181)</f>
        <v/>
      </c>
      <c r="S182" s="161">
        <f>'Datos_fuente'!P182</f>
        <v/>
      </c>
      <c r="T182" s="161">
        <f>IF(OR(S182="",S181=""),"",S182-S181)</f>
        <v/>
      </c>
      <c r="U182" s="160">
        <f>IF('Datos_fuente'!Q182="","",ASINH('Datos_fuente'!Q182/1000))</f>
        <v/>
      </c>
      <c r="V182" s="160">
        <f>IF(OR(U182="",U181=""),"",U182-U181)</f>
        <v/>
      </c>
      <c r="W182" s="160">
        <f>IF('Datos_fuente'!R182="","",ASINH('Datos_fuente'!R182/1000))</f>
        <v/>
      </c>
      <c r="X182" s="160">
        <f>IF(OR(W182="",W181=""),"",W182-W181)</f>
        <v/>
      </c>
      <c r="Y182" s="161">
        <f>'Datos_fuente'!W182</f>
        <v/>
      </c>
      <c r="Z182" s="161">
        <f>IF(OR(Y182="",Y181=""),"",Y182-Y181)</f>
        <v/>
      </c>
      <c r="AA182" s="160">
        <f>'Datos_fuente'!AB182</f>
        <v/>
      </c>
      <c r="AB182" s="160">
        <f>'Datos_fuente'!AC182</f>
        <v/>
      </c>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f>'Datos_fuente'!A183</f>
        <v/>
      </c>
      <c r="B183" s="160">
        <f>IF('Datos_fuente'!B183="","",LN('Datos_fuente'!B183))</f>
        <v/>
      </c>
      <c r="C183" s="160">
        <f>IF(OR(B183="",B182=""),"",B183-B182)</f>
        <v/>
      </c>
      <c r="D183" s="160">
        <f>IF('Datos_fuente'!C183="","",LN('Datos_fuente'!C183))</f>
        <v/>
      </c>
      <c r="E183" s="160">
        <f>IF(OR(D183="",D182=""),"",D183-D182)</f>
        <v/>
      </c>
      <c r="F183" s="160">
        <f>IF('Datos_fuente'!E183="","",LN('Datos_fuente'!E183))</f>
        <v/>
      </c>
      <c r="G183" s="160">
        <f>IF(OR(F183="",F182=""),"",F183-F182)</f>
        <v/>
      </c>
      <c r="H183" s="161">
        <f>'Datos_fuente'!H183</f>
        <v/>
      </c>
      <c r="I183" s="161">
        <f>IF(OR(H183="",H182=""),"",H183-H182)</f>
        <v/>
      </c>
      <c r="J183" s="161">
        <f>'Datos_fuente'!J183</f>
        <v/>
      </c>
      <c r="K183" s="161">
        <f>IF(OR(J183="",J182=""),"",J183-J182)</f>
        <v/>
      </c>
      <c r="L183" s="160">
        <f>IF('Datos_fuente'!K183="","",LN('Datos_fuente'!K183))</f>
        <v/>
      </c>
      <c r="M183" s="160">
        <f>IF(OR(L183="",L182=""),"",L183-L182)</f>
        <v/>
      </c>
      <c r="N183" s="160">
        <f>IF('Datos_fuente'!L183="","",LN('Datos_fuente'!L183))</f>
        <v/>
      </c>
      <c r="O183" s="160">
        <f>IF(OR(N183="",N182=""),"",N183-N182)</f>
        <v/>
      </c>
      <c r="P183" s="162">
        <f>'Datos_fuente'!M183</f>
        <v/>
      </c>
      <c r="Q183" s="160">
        <f>IF('Datos_fuente'!N183="","",LN('Datos_fuente'!N183))</f>
        <v/>
      </c>
      <c r="R183" s="160">
        <f>IF(OR(Q183="",Q182=""),"",Q183-Q182)</f>
        <v/>
      </c>
      <c r="S183" s="161">
        <f>'Datos_fuente'!P183</f>
        <v/>
      </c>
      <c r="T183" s="161">
        <f>IF(OR(S183="",S182=""),"",S183-S182)</f>
        <v/>
      </c>
      <c r="U183" s="160">
        <f>IF('Datos_fuente'!Q183="","",ASINH('Datos_fuente'!Q183/1000))</f>
        <v/>
      </c>
      <c r="V183" s="160">
        <f>IF(OR(U183="",U182=""),"",U183-U182)</f>
        <v/>
      </c>
      <c r="W183" s="160">
        <f>IF('Datos_fuente'!R183="","",ASINH('Datos_fuente'!R183/1000))</f>
        <v/>
      </c>
      <c r="X183" s="160">
        <f>IF(OR(W183="",W182=""),"",W183-W182)</f>
        <v/>
      </c>
      <c r="Y183" s="161">
        <f>'Datos_fuente'!W183</f>
        <v/>
      </c>
      <c r="Z183" s="161">
        <f>IF(OR(Y183="",Y182=""),"",Y183-Y182)</f>
        <v/>
      </c>
      <c r="AA183" s="160">
        <f>'Datos_fuente'!AB183</f>
        <v/>
      </c>
      <c r="AB183" s="160">
        <f>'Datos_fuente'!AC183</f>
        <v/>
      </c>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f>'Datos_fuente'!A184</f>
        <v/>
      </c>
      <c r="B184" s="160">
        <f>IF('Datos_fuente'!B184="","",LN('Datos_fuente'!B184))</f>
        <v/>
      </c>
      <c r="C184" s="160">
        <f>IF(OR(B184="",B183=""),"",B184-B183)</f>
        <v/>
      </c>
      <c r="D184" s="160">
        <f>IF('Datos_fuente'!C184="","",LN('Datos_fuente'!C184))</f>
        <v/>
      </c>
      <c r="E184" s="160">
        <f>IF(OR(D184="",D183=""),"",D184-D183)</f>
        <v/>
      </c>
      <c r="F184" s="160">
        <f>IF('Datos_fuente'!E184="","",LN('Datos_fuente'!E184))</f>
        <v/>
      </c>
      <c r="G184" s="160">
        <f>IF(OR(F184="",F183=""),"",F184-F183)</f>
        <v/>
      </c>
      <c r="H184" s="161">
        <f>'Datos_fuente'!H184</f>
        <v/>
      </c>
      <c r="I184" s="161">
        <f>IF(OR(H184="",H183=""),"",H184-H183)</f>
        <v/>
      </c>
      <c r="J184" s="161">
        <f>'Datos_fuente'!J184</f>
        <v/>
      </c>
      <c r="K184" s="161">
        <f>IF(OR(J184="",J183=""),"",J184-J183)</f>
        <v/>
      </c>
      <c r="L184" s="160">
        <f>IF('Datos_fuente'!K184="","",LN('Datos_fuente'!K184))</f>
        <v/>
      </c>
      <c r="M184" s="160">
        <f>IF(OR(L184="",L183=""),"",L184-L183)</f>
        <v/>
      </c>
      <c r="N184" s="160">
        <f>IF('Datos_fuente'!L184="","",LN('Datos_fuente'!L184))</f>
        <v/>
      </c>
      <c r="O184" s="160">
        <f>IF(OR(N184="",N183=""),"",N184-N183)</f>
        <v/>
      </c>
      <c r="P184" s="162">
        <f>'Datos_fuente'!M184</f>
        <v/>
      </c>
      <c r="Q184" s="160">
        <f>IF('Datos_fuente'!N184="","",LN('Datos_fuente'!N184))</f>
        <v/>
      </c>
      <c r="R184" s="160">
        <f>IF(OR(Q184="",Q183=""),"",Q184-Q183)</f>
        <v/>
      </c>
      <c r="S184" s="161">
        <f>'Datos_fuente'!P184</f>
        <v/>
      </c>
      <c r="T184" s="161">
        <f>IF(OR(S184="",S183=""),"",S184-S183)</f>
        <v/>
      </c>
      <c r="U184" s="160">
        <f>IF('Datos_fuente'!Q184="","",ASINH('Datos_fuente'!Q184/1000))</f>
        <v/>
      </c>
      <c r="V184" s="160">
        <f>IF(OR(U184="",U183=""),"",U184-U183)</f>
        <v/>
      </c>
      <c r="W184" s="160">
        <f>IF('Datos_fuente'!R184="","",ASINH('Datos_fuente'!R184/1000))</f>
        <v/>
      </c>
      <c r="X184" s="160">
        <f>IF(OR(W184="",W183=""),"",W184-W183)</f>
        <v/>
      </c>
      <c r="Y184" s="161">
        <f>'Datos_fuente'!W184</f>
        <v/>
      </c>
      <c r="Z184" s="161">
        <f>IF(OR(Y184="",Y183=""),"",Y184-Y183)</f>
        <v/>
      </c>
      <c r="AA184" s="160">
        <f>'Datos_fuente'!AB184</f>
        <v/>
      </c>
      <c r="AB184" s="160">
        <f>'Datos_fuente'!AC184</f>
        <v/>
      </c>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f>'Datos_fuente'!A185</f>
        <v/>
      </c>
      <c r="B185" s="160">
        <f>IF('Datos_fuente'!B185="","",LN('Datos_fuente'!B185))</f>
        <v/>
      </c>
      <c r="C185" s="160">
        <f>IF(OR(B185="",B184=""),"",B185-B184)</f>
        <v/>
      </c>
      <c r="D185" s="160">
        <f>IF('Datos_fuente'!C185="","",LN('Datos_fuente'!C185))</f>
        <v/>
      </c>
      <c r="E185" s="160">
        <f>IF(OR(D185="",D184=""),"",D185-D184)</f>
        <v/>
      </c>
      <c r="F185" s="160">
        <f>IF('Datos_fuente'!E185="","",LN('Datos_fuente'!E185))</f>
        <v/>
      </c>
      <c r="G185" s="160">
        <f>IF(OR(F185="",F184=""),"",F185-F184)</f>
        <v/>
      </c>
      <c r="H185" s="161">
        <f>'Datos_fuente'!H185</f>
        <v/>
      </c>
      <c r="I185" s="161">
        <f>IF(OR(H185="",H184=""),"",H185-H184)</f>
        <v/>
      </c>
      <c r="J185" s="161">
        <f>'Datos_fuente'!J185</f>
        <v/>
      </c>
      <c r="K185" s="161">
        <f>IF(OR(J185="",J184=""),"",J185-J184)</f>
        <v/>
      </c>
      <c r="L185" s="160">
        <f>IF('Datos_fuente'!K185="","",LN('Datos_fuente'!K185))</f>
        <v/>
      </c>
      <c r="M185" s="160">
        <f>IF(OR(L185="",L184=""),"",L185-L184)</f>
        <v/>
      </c>
      <c r="N185" s="160">
        <f>IF('Datos_fuente'!L185="","",LN('Datos_fuente'!L185))</f>
        <v/>
      </c>
      <c r="O185" s="160">
        <f>IF(OR(N185="",N184=""),"",N185-N184)</f>
        <v/>
      </c>
      <c r="P185" s="162">
        <f>'Datos_fuente'!M185</f>
        <v/>
      </c>
      <c r="Q185" s="160">
        <f>IF('Datos_fuente'!N185="","",LN('Datos_fuente'!N185))</f>
        <v/>
      </c>
      <c r="R185" s="160">
        <f>IF(OR(Q185="",Q184=""),"",Q185-Q184)</f>
        <v/>
      </c>
      <c r="S185" s="161">
        <f>'Datos_fuente'!P185</f>
        <v/>
      </c>
      <c r="T185" s="161">
        <f>IF(OR(S185="",S184=""),"",S185-S184)</f>
        <v/>
      </c>
      <c r="U185" s="160">
        <f>IF('Datos_fuente'!Q185="","",ASINH('Datos_fuente'!Q185/1000))</f>
        <v/>
      </c>
      <c r="V185" s="160">
        <f>IF(OR(U185="",U184=""),"",U185-U184)</f>
        <v/>
      </c>
      <c r="W185" s="160">
        <f>IF('Datos_fuente'!R185="","",ASINH('Datos_fuente'!R185/1000))</f>
        <v/>
      </c>
      <c r="X185" s="160">
        <f>IF(OR(W185="",W184=""),"",W185-W184)</f>
        <v/>
      </c>
      <c r="Y185" s="161">
        <f>'Datos_fuente'!W185</f>
        <v/>
      </c>
      <c r="Z185" s="161">
        <f>IF(OR(Y185="",Y184=""),"",Y185-Y184)</f>
        <v/>
      </c>
      <c r="AA185" s="160">
        <f>'Datos_fuente'!AB185</f>
        <v/>
      </c>
      <c r="AB185" s="160">
        <f>'Datos_fuente'!AC185</f>
        <v/>
      </c>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f>'Datos_fuente'!A186</f>
        <v/>
      </c>
      <c r="B186" s="160">
        <f>IF('Datos_fuente'!B186="","",LN('Datos_fuente'!B186))</f>
        <v/>
      </c>
      <c r="C186" s="160">
        <f>IF(OR(B186="",B185=""),"",B186-B185)</f>
        <v/>
      </c>
      <c r="D186" s="160">
        <f>IF('Datos_fuente'!C186="","",LN('Datos_fuente'!C186))</f>
        <v/>
      </c>
      <c r="E186" s="160">
        <f>IF(OR(D186="",D185=""),"",D186-D185)</f>
        <v/>
      </c>
      <c r="F186" s="160">
        <f>IF('Datos_fuente'!E186="","",LN('Datos_fuente'!E186))</f>
        <v/>
      </c>
      <c r="G186" s="160">
        <f>IF(OR(F186="",F185=""),"",F186-F185)</f>
        <v/>
      </c>
      <c r="H186" s="161">
        <f>'Datos_fuente'!H186</f>
        <v/>
      </c>
      <c r="I186" s="161">
        <f>IF(OR(H186="",H185=""),"",H186-H185)</f>
        <v/>
      </c>
      <c r="J186" s="161">
        <f>'Datos_fuente'!J186</f>
        <v/>
      </c>
      <c r="K186" s="161">
        <f>IF(OR(J186="",J185=""),"",J186-J185)</f>
        <v/>
      </c>
      <c r="L186" s="160">
        <f>IF('Datos_fuente'!K186="","",LN('Datos_fuente'!K186))</f>
        <v/>
      </c>
      <c r="M186" s="160">
        <f>IF(OR(L186="",L185=""),"",L186-L185)</f>
        <v/>
      </c>
      <c r="N186" s="160">
        <f>IF('Datos_fuente'!L186="","",LN('Datos_fuente'!L186))</f>
        <v/>
      </c>
      <c r="O186" s="160">
        <f>IF(OR(N186="",N185=""),"",N186-N185)</f>
        <v/>
      </c>
      <c r="P186" s="162">
        <f>'Datos_fuente'!M186</f>
        <v/>
      </c>
      <c r="Q186" s="160">
        <f>IF('Datos_fuente'!N186="","",LN('Datos_fuente'!N186))</f>
        <v/>
      </c>
      <c r="R186" s="160">
        <f>IF(OR(Q186="",Q185=""),"",Q186-Q185)</f>
        <v/>
      </c>
      <c r="S186" s="161">
        <f>'Datos_fuente'!P186</f>
        <v/>
      </c>
      <c r="T186" s="161">
        <f>IF(OR(S186="",S185=""),"",S186-S185)</f>
        <v/>
      </c>
      <c r="U186" s="160">
        <f>IF('Datos_fuente'!Q186="","",ASINH('Datos_fuente'!Q186/1000))</f>
        <v/>
      </c>
      <c r="V186" s="160">
        <f>IF(OR(U186="",U185=""),"",U186-U185)</f>
        <v/>
      </c>
      <c r="W186" s="160">
        <f>IF('Datos_fuente'!R186="","",ASINH('Datos_fuente'!R186/1000))</f>
        <v/>
      </c>
      <c r="X186" s="160">
        <f>IF(OR(W186="",W185=""),"",W186-W185)</f>
        <v/>
      </c>
      <c r="Y186" s="161">
        <f>'Datos_fuente'!W186</f>
        <v/>
      </c>
      <c r="Z186" s="161">
        <f>IF(OR(Y186="",Y185=""),"",Y186-Y185)</f>
        <v/>
      </c>
      <c r="AA186" s="160">
        <f>'Datos_fuente'!AB186</f>
        <v/>
      </c>
      <c r="AB186" s="160">
        <f>'Datos_fuente'!AC186</f>
        <v/>
      </c>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f>'Datos_fuente'!A187</f>
        <v/>
      </c>
      <c r="B187" s="160">
        <f>IF('Datos_fuente'!B187="","",LN('Datos_fuente'!B187))</f>
        <v/>
      </c>
      <c r="C187" s="160">
        <f>IF(OR(B187="",B186=""),"",B187-B186)</f>
        <v/>
      </c>
      <c r="D187" s="160">
        <f>IF('Datos_fuente'!C187="","",LN('Datos_fuente'!C187))</f>
        <v/>
      </c>
      <c r="E187" s="160">
        <f>IF(OR(D187="",D186=""),"",D187-D186)</f>
        <v/>
      </c>
      <c r="F187" s="160">
        <f>IF('Datos_fuente'!E187="","",LN('Datos_fuente'!E187))</f>
        <v/>
      </c>
      <c r="G187" s="160">
        <f>IF(OR(F187="",F186=""),"",F187-F186)</f>
        <v/>
      </c>
      <c r="H187" s="161">
        <f>'Datos_fuente'!H187</f>
        <v/>
      </c>
      <c r="I187" s="161">
        <f>IF(OR(H187="",H186=""),"",H187-H186)</f>
        <v/>
      </c>
      <c r="J187" s="161">
        <f>'Datos_fuente'!J187</f>
        <v/>
      </c>
      <c r="K187" s="161">
        <f>IF(OR(J187="",J186=""),"",J187-J186)</f>
        <v/>
      </c>
      <c r="L187" s="160">
        <f>IF('Datos_fuente'!K187="","",LN('Datos_fuente'!K187))</f>
        <v/>
      </c>
      <c r="M187" s="160">
        <f>IF(OR(L187="",L186=""),"",L187-L186)</f>
        <v/>
      </c>
      <c r="N187" s="160">
        <f>IF('Datos_fuente'!L187="","",LN('Datos_fuente'!L187))</f>
        <v/>
      </c>
      <c r="O187" s="160">
        <f>IF(OR(N187="",N186=""),"",N187-N186)</f>
        <v/>
      </c>
      <c r="P187" s="162">
        <f>'Datos_fuente'!M187</f>
        <v/>
      </c>
      <c r="Q187" s="160">
        <f>IF('Datos_fuente'!N187="","",LN('Datos_fuente'!N187))</f>
        <v/>
      </c>
      <c r="R187" s="160">
        <f>IF(OR(Q187="",Q186=""),"",Q187-Q186)</f>
        <v/>
      </c>
      <c r="S187" s="161">
        <f>'Datos_fuente'!P187</f>
        <v/>
      </c>
      <c r="T187" s="161">
        <f>IF(OR(S187="",S186=""),"",S187-S186)</f>
        <v/>
      </c>
      <c r="U187" s="160">
        <f>IF('Datos_fuente'!Q187="","",ASINH('Datos_fuente'!Q187/1000))</f>
        <v/>
      </c>
      <c r="V187" s="160">
        <f>IF(OR(U187="",U186=""),"",U187-U186)</f>
        <v/>
      </c>
      <c r="W187" s="160">
        <f>IF('Datos_fuente'!R187="","",ASINH('Datos_fuente'!R187/1000))</f>
        <v/>
      </c>
      <c r="X187" s="160">
        <f>IF(OR(W187="",W186=""),"",W187-W186)</f>
        <v/>
      </c>
      <c r="Y187" s="161">
        <f>'Datos_fuente'!W187</f>
        <v/>
      </c>
      <c r="Z187" s="161">
        <f>IF(OR(Y187="",Y186=""),"",Y187-Y186)</f>
        <v/>
      </c>
      <c r="AA187" s="160">
        <f>'Datos_fuente'!AB187</f>
        <v/>
      </c>
      <c r="AB187" s="160">
        <f>'Datos_fuente'!AC187</f>
        <v/>
      </c>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f>'Datos_fuente'!A188</f>
        <v/>
      </c>
      <c r="B188" s="160">
        <f>IF('Datos_fuente'!B188="","",LN('Datos_fuente'!B188))</f>
        <v/>
      </c>
      <c r="C188" s="160">
        <f>IF(OR(B188="",B187=""),"",B188-B187)</f>
        <v/>
      </c>
      <c r="D188" s="160">
        <f>IF('Datos_fuente'!C188="","",LN('Datos_fuente'!C188))</f>
        <v/>
      </c>
      <c r="E188" s="160">
        <f>IF(OR(D188="",D187=""),"",D188-D187)</f>
        <v/>
      </c>
      <c r="F188" s="160">
        <f>IF('Datos_fuente'!E188="","",LN('Datos_fuente'!E188))</f>
        <v/>
      </c>
      <c r="G188" s="160">
        <f>IF(OR(F188="",F187=""),"",F188-F187)</f>
        <v/>
      </c>
      <c r="H188" s="161">
        <f>'Datos_fuente'!H188</f>
        <v/>
      </c>
      <c r="I188" s="161">
        <f>IF(OR(H188="",H187=""),"",H188-H187)</f>
        <v/>
      </c>
      <c r="J188" s="161">
        <f>'Datos_fuente'!J188</f>
        <v/>
      </c>
      <c r="K188" s="161">
        <f>IF(OR(J188="",J187=""),"",J188-J187)</f>
        <v/>
      </c>
      <c r="L188" s="160">
        <f>IF('Datos_fuente'!K188="","",LN('Datos_fuente'!K188))</f>
        <v/>
      </c>
      <c r="M188" s="160">
        <f>IF(OR(L188="",L187=""),"",L188-L187)</f>
        <v/>
      </c>
      <c r="N188" s="160">
        <f>IF('Datos_fuente'!L188="","",LN('Datos_fuente'!L188))</f>
        <v/>
      </c>
      <c r="O188" s="160">
        <f>IF(OR(N188="",N187=""),"",N188-N187)</f>
        <v/>
      </c>
      <c r="P188" s="162">
        <f>'Datos_fuente'!M188</f>
        <v/>
      </c>
      <c r="Q188" s="160">
        <f>IF('Datos_fuente'!N188="","",LN('Datos_fuente'!N188))</f>
        <v/>
      </c>
      <c r="R188" s="160">
        <f>IF(OR(Q188="",Q187=""),"",Q188-Q187)</f>
        <v/>
      </c>
      <c r="S188" s="161">
        <f>'Datos_fuente'!P188</f>
        <v/>
      </c>
      <c r="T188" s="161">
        <f>IF(OR(S188="",S187=""),"",S188-S187)</f>
        <v/>
      </c>
      <c r="U188" s="160">
        <f>IF('Datos_fuente'!Q188="","",ASINH('Datos_fuente'!Q188/1000))</f>
        <v/>
      </c>
      <c r="V188" s="160">
        <f>IF(OR(U188="",U187=""),"",U188-U187)</f>
        <v/>
      </c>
      <c r="W188" s="160">
        <f>IF('Datos_fuente'!R188="","",ASINH('Datos_fuente'!R188/1000))</f>
        <v/>
      </c>
      <c r="X188" s="160">
        <f>IF(OR(W188="",W187=""),"",W188-W187)</f>
        <v/>
      </c>
      <c r="Y188" s="161">
        <f>'Datos_fuente'!W188</f>
        <v/>
      </c>
      <c r="Z188" s="161">
        <f>IF(OR(Y188="",Y187=""),"",Y188-Y187)</f>
        <v/>
      </c>
      <c r="AA188" s="160">
        <f>'Datos_fuente'!AB188</f>
        <v/>
      </c>
      <c r="AB188" s="160">
        <f>'Datos_fuente'!AC188</f>
        <v/>
      </c>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f>'Datos_fuente'!A189</f>
        <v/>
      </c>
      <c r="B189" s="160">
        <f>IF('Datos_fuente'!B189="","",LN('Datos_fuente'!B189))</f>
        <v/>
      </c>
      <c r="C189" s="160">
        <f>IF(OR(B189="",B188=""),"",B189-B188)</f>
        <v/>
      </c>
      <c r="D189" s="160">
        <f>IF('Datos_fuente'!C189="","",LN('Datos_fuente'!C189))</f>
        <v/>
      </c>
      <c r="E189" s="160">
        <f>IF(OR(D189="",D188=""),"",D189-D188)</f>
        <v/>
      </c>
      <c r="F189" s="160">
        <f>IF('Datos_fuente'!E189="","",LN('Datos_fuente'!E189))</f>
        <v/>
      </c>
      <c r="G189" s="160">
        <f>IF(OR(F189="",F188=""),"",F189-F188)</f>
        <v/>
      </c>
      <c r="H189" s="161">
        <f>'Datos_fuente'!H189</f>
        <v/>
      </c>
      <c r="I189" s="161">
        <f>IF(OR(H189="",H188=""),"",H189-H188)</f>
        <v/>
      </c>
      <c r="J189" s="161">
        <f>'Datos_fuente'!J189</f>
        <v/>
      </c>
      <c r="K189" s="161">
        <f>IF(OR(J189="",J188=""),"",J189-J188)</f>
        <v/>
      </c>
      <c r="L189" s="160">
        <f>IF('Datos_fuente'!K189="","",LN('Datos_fuente'!K189))</f>
        <v/>
      </c>
      <c r="M189" s="160">
        <f>IF(OR(L189="",L188=""),"",L189-L188)</f>
        <v/>
      </c>
      <c r="N189" s="160">
        <f>IF('Datos_fuente'!L189="","",LN('Datos_fuente'!L189))</f>
        <v/>
      </c>
      <c r="O189" s="160">
        <f>IF(OR(N189="",N188=""),"",N189-N188)</f>
        <v/>
      </c>
      <c r="P189" s="162">
        <f>'Datos_fuente'!M189</f>
        <v/>
      </c>
      <c r="Q189" s="160">
        <f>IF('Datos_fuente'!N189="","",LN('Datos_fuente'!N189))</f>
        <v/>
      </c>
      <c r="R189" s="160">
        <f>IF(OR(Q189="",Q188=""),"",Q189-Q188)</f>
        <v/>
      </c>
      <c r="S189" s="161">
        <f>'Datos_fuente'!P189</f>
        <v/>
      </c>
      <c r="T189" s="161">
        <f>IF(OR(S189="",S188=""),"",S189-S188)</f>
        <v/>
      </c>
      <c r="U189" s="160">
        <f>IF('Datos_fuente'!Q189="","",ASINH('Datos_fuente'!Q189/1000))</f>
        <v/>
      </c>
      <c r="V189" s="160">
        <f>IF(OR(U189="",U188=""),"",U189-U188)</f>
        <v/>
      </c>
      <c r="W189" s="160">
        <f>IF('Datos_fuente'!R189="","",ASINH('Datos_fuente'!R189/1000))</f>
        <v/>
      </c>
      <c r="X189" s="160">
        <f>IF(OR(W189="",W188=""),"",W189-W188)</f>
        <v/>
      </c>
      <c r="Y189" s="161">
        <f>'Datos_fuente'!W189</f>
        <v/>
      </c>
      <c r="Z189" s="161">
        <f>IF(OR(Y189="",Y188=""),"",Y189-Y188)</f>
        <v/>
      </c>
      <c r="AA189" s="160">
        <f>'Datos_fuente'!AB189</f>
        <v/>
      </c>
      <c r="AB189" s="160">
        <f>'Datos_fuente'!AC189</f>
        <v/>
      </c>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f>'Datos_fuente'!A190</f>
        <v/>
      </c>
      <c r="B190" s="160">
        <f>IF('Datos_fuente'!B190="","",LN('Datos_fuente'!B190))</f>
        <v/>
      </c>
      <c r="C190" s="160">
        <f>IF(OR(B190="",B189=""),"",B190-B189)</f>
        <v/>
      </c>
      <c r="D190" s="160">
        <f>IF('Datos_fuente'!C190="","",LN('Datos_fuente'!C190))</f>
        <v/>
      </c>
      <c r="E190" s="160">
        <f>IF(OR(D190="",D189=""),"",D190-D189)</f>
        <v/>
      </c>
      <c r="F190" s="160">
        <f>IF('Datos_fuente'!E190="","",LN('Datos_fuente'!E190))</f>
        <v/>
      </c>
      <c r="G190" s="160">
        <f>IF(OR(F190="",F189=""),"",F190-F189)</f>
        <v/>
      </c>
      <c r="H190" s="161">
        <f>'Datos_fuente'!H190</f>
        <v/>
      </c>
      <c r="I190" s="161">
        <f>IF(OR(H190="",H189=""),"",H190-H189)</f>
        <v/>
      </c>
      <c r="J190" s="161">
        <f>'Datos_fuente'!J190</f>
        <v/>
      </c>
      <c r="K190" s="161">
        <f>IF(OR(J190="",J189=""),"",J190-J189)</f>
        <v/>
      </c>
      <c r="L190" s="160">
        <f>IF('Datos_fuente'!K190="","",LN('Datos_fuente'!K190))</f>
        <v/>
      </c>
      <c r="M190" s="160">
        <f>IF(OR(L190="",L189=""),"",L190-L189)</f>
        <v/>
      </c>
      <c r="N190" s="160">
        <f>IF('Datos_fuente'!L190="","",LN('Datos_fuente'!L190))</f>
        <v/>
      </c>
      <c r="O190" s="160">
        <f>IF(OR(N190="",N189=""),"",N190-N189)</f>
        <v/>
      </c>
      <c r="P190" s="162">
        <f>'Datos_fuente'!M190</f>
        <v/>
      </c>
      <c r="Q190" s="160">
        <f>IF('Datos_fuente'!N190="","",LN('Datos_fuente'!N190))</f>
        <v/>
      </c>
      <c r="R190" s="160">
        <f>IF(OR(Q190="",Q189=""),"",Q190-Q189)</f>
        <v/>
      </c>
      <c r="S190" s="161">
        <f>'Datos_fuente'!P190</f>
        <v/>
      </c>
      <c r="T190" s="161">
        <f>IF(OR(S190="",S189=""),"",S190-S189)</f>
        <v/>
      </c>
      <c r="U190" s="160">
        <f>IF('Datos_fuente'!Q190="","",ASINH('Datos_fuente'!Q190/1000))</f>
        <v/>
      </c>
      <c r="V190" s="160">
        <f>IF(OR(U190="",U189=""),"",U190-U189)</f>
        <v/>
      </c>
      <c r="W190" s="160">
        <f>IF('Datos_fuente'!R190="","",ASINH('Datos_fuente'!R190/1000))</f>
        <v/>
      </c>
      <c r="X190" s="160">
        <f>IF(OR(W190="",W189=""),"",W190-W189)</f>
        <v/>
      </c>
      <c r="Y190" s="161">
        <f>'Datos_fuente'!W190</f>
        <v/>
      </c>
      <c r="Z190" s="161">
        <f>IF(OR(Y190="",Y189=""),"",Y190-Y189)</f>
        <v/>
      </c>
      <c r="AA190" s="160">
        <f>'Datos_fuente'!AB190</f>
        <v/>
      </c>
      <c r="AB190" s="160">
        <f>'Datos_fuente'!AC190</f>
        <v/>
      </c>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f>'Datos_fuente'!A191</f>
        <v/>
      </c>
      <c r="B191" s="160">
        <f>IF('Datos_fuente'!B191="","",LN('Datos_fuente'!B191))</f>
        <v/>
      </c>
      <c r="C191" s="160">
        <f>IF(OR(B191="",B190=""),"",B191-B190)</f>
        <v/>
      </c>
      <c r="D191" s="160">
        <f>IF('Datos_fuente'!C191="","",LN('Datos_fuente'!C191))</f>
        <v/>
      </c>
      <c r="E191" s="160">
        <f>IF(OR(D191="",D190=""),"",D191-D190)</f>
        <v/>
      </c>
      <c r="F191" s="160">
        <f>IF('Datos_fuente'!E191="","",LN('Datos_fuente'!E191))</f>
        <v/>
      </c>
      <c r="G191" s="160">
        <f>IF(OR(F191="",F190=""),"",F191-F190)</f>
        <v/>
      </c>
      <c r="H191" s="161">
        <f>'Datos_fuente'!H191</f>
        <v/>
      </c>
      <c r="I191" s="161">
        <f>IF(OR(H191="",H190=""),"",H191-H190)</f>
        <v/>
      </c>
      <c r="J191" s="161">
        <f>'Datos_fuente'!J191</f>
        <v/>
      </c>
      <c r="K191" s="161">
        <f>IF(OR(J191="",J190=""),"",J191-J190)</f>
        <v/>
      </c>
      <c r="L191" s="160">
        <f>IF('Datos_fuente'!K191="","",LN('Datos_fuente'!K191))</f>
        <v/>
      </c>
      <c r="M191" s="160">
        <f>IF(OR(L191="",L190=""),"",L191-L190)</f>
        <v/>
      </c>
      <c r="N191" s="160">
        <f>IF('Datos_fuente'!L191="","",LN('Datos_fuente'!L191))</f>
        <v/>
      </c>
      <c r="O191" s="160">
        <f>IF(OR(N191="",N190=""),"",N191-N190)</f>
        <v/>
      </c>
      <c r="P191" s="162">
        <f>'Datos_fuente'!M191</f>
        <v/>
      </c>
      <c r="Q191" s="160">
        <f>IF('Datos_fuente'!N191="","",LN('Datos_fuente'!N191))</f>
        <v/>
      </c>
      <c r="R191" s="160">
        <f>IF(OR(Q191="",Q190=""),"",Q191-Q190)</f>
        <v/>
      </c>
      <c r="S191" s="161">
        <f>'Datos_fuente'!P191</f>
        <v/>
      </c>
      <c r="T191" s="161">
        <f>IF(OR(S191="",S190=""),"",S191-S190)</f>
        <v/>
      </c>
      <c r="U191" s="160">
        <f>IF('Datos_fuente'!Q191="","",ASINH('Datos_fuente'!Q191/1000))</f>
        <v/>
      </c>
      <c r="V191" s="160">
        <f>IF(OR(U191="",U190=""),"",U191-U190)</f>
        <v/>
      </c>
      <c r="W191" s="160">
        <f>IF('Datos_fuente'!R191="","",ASINH('Datos_fuente'!R191/1000))</f>
        <v/>
      </c>
      <c r="X191" s="160">
        <f>IF(OR(W191="",W190=""),"",W191-W190)</f>
        <v/>
      </c>
      <c r="Y191" s="161">
        <f>'Datos_fuente'!W191</f>
        <v/>
      </c>
      <c r="Z191" s="161">
        <f>IF(OR(Y191="",Y190=""),"",Y191-Y190)</f>
        <v/>
      </c>
      <c r="AA191" s="160">
        <f>'Datos_fuente'!AB191</f>
        <v/>
      </c>
      <c r="AB191" s="160">
        <f>'Datos_fuente'!AC191</f>
        <v/>
      </c>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f>'Datos_fuente'!A192</f>
        <v/>
      </c>
      <c r="B192" s="160">
        <f>IF('Datos_fuente'!B192="","",LN('Datos_fuente'!B192))</f>
        <v/>
      </c>
      <c r="C192" s="160">
        <f>IF(OR(B192="",B191=""),"",B192-B191)</f>
        <v/>
      </c>
      <c r="D192" s="160">
        <f>IF('Datos_fuente'!C192="","",LN('Datos_fuente'!C192))</f>
        <v/>
      </c>
      <c r="E192" s="160">
        <f>IF(OR(D192="",D191=""),"",D192-D191)</f>
        <v/>
      </c>
      <c r="F192" s="160">
        <f>IF('Datos_fuente'!E192="","",LN('Datos_fuente'!E192))</f>
        <v/>
      </c>
      <c r="G192" s="160">
        <f>IF(OR(F192="",F191=""),"",F192-F191)</f>
        <v/>
      </c>
      <c r="H192" s="161">
        <f>'Datos_fuente'!H192</f>
        <v/>
      </c>
      <c r="I192" s="161">
        <f>IF(OR(H192="",H191=""),"",H192-H191)</f>
        <v/>
      </c>
      <c r="J192" s="161">
        <f>'Datos_fuente'!J192</f>
        <v/>
      </c>
      <c r="K192" s="161">
        <f>IF(OR(J192="",J191=""),"",J192-J191)</f>
        <v/>
      </c>
      <c r="L192" s="160">
        <f>IF('Datos_fuente'!K192="","",LN('Datos_fuente'!K192))</f>
        <v/>
      </c>
      <c r="M192" s="160">
        <f>IF(OR(L192="",L191=""),"",L192-L191)</f>
        <v/>
      </c>
      <c r="N192" s="160">
        <f>IF('Datos_fuente'!L192="","",LN('Datos_fuente'!L192))</f>
        <v/>
      </c>
      <c r="O192" s="160">
        <f>IF(OR(N192="",N191=""),"",N192-N191)</f>
        <v/>
      </c>
      <c r="P192" s="162">
        <f>'Datos_fuente'!M192</f>
        <v/>
      </c>
      <c r="Q192" s="160">
        <f>IF('Datos_fuente'!N192="","",LN('Datos_fuente'!N192))</f>
        <v/>
      </c>
      <c r="R192" s="160">
        <f>IF(OR(Q192="",Q191=""),"",Q192-Q191)</f>
        <v/>
      </c>
      <c r="S192" s="161">
        <f>'Datos_fuente'!P192</f>
        <v/>
      </c>
      <c r="T192" s="161">
        <f>IF(OR(S192="",S191=""),"",S192-S191)</f>
        <v/>
      </c>
      <c r="U192" s="160">
        <f>IF('Datos_fuente'!Q192="","",ASINH('Datos_fuente'!Q192/1000))</f>
        <v/>
      </c>
      <c r="V192" s="160">
        <f>IF(OR(U192="",U191=""),"",U192-U191)</f>
        <v/>
      </c>
      <c r="W192" s="160">
        <f>IF('Datos_fuente'!R192="","",ASINH('Datos_fuente'!R192/1000))</f>
        <v/>
      </c>
      <c r="X192" s="160">
        <f>IF(OR(W192="",W191=""),"",W192-W191)</f>
        <v/>
      </c>
      <c r="Y192" s="161">
        <f>'Datos_fuente'!W192</f>
        <v/>
      </c>
      <c r="Z192" s="161">
        <f>IF(OR(Y192="",Y191=""),"",Y192-Y191)</f>
        <v/>
      </c>
      <c r="AA192" s="160">
        <f>'Datos_fuente'!AB192</f>
        <v/>
      </c>
      <c r="AB192" s="160">
        <f>'Datos_fuente'!AC192</f>
        <v/>
      </c>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f>'Datos_fuente'!A193</f>
        <v/>
      </c>
      <c r="B193" s="160">
        <f>IF('Datos_fuente'!B193="","",LN('Datos_fuente'!B193))</f>
        <v/>
      </c>
      <c r="C193" s="160">
        <f>IF(OR(B193="",B192=""),"",B193-B192)</f>
        <v/>
      </c>
      <c r="D193" s="160">
        <f>IF('Datos_fuente'!C193="","",LN('Datos_fuente'!C193))</f>
        <v/>
      </c>
      <c r="E193" s="160">
        <f>IF(OR(D193="",D192=""),"",D193-D192)</f>
        <v/>
      </c>
      <c r="F193" s="160">
        <f>IF('Datos_fuente'!E193="","",LN('Datos_fuente'!E193))</f>
        <v/>
      </c>
      <c r="G193" s="160">
        <f>IF(OR(F193="",F192=""),"",F193-F192)</f>
        <v/>
      </c>
      <c r="H193" s="161">
        <f>'Datos_fuente'!H193</f>
        <v/>
      </c>
      <c r="I193" s="161">
        <f>IF(OR(H193="",H192=""),"",H193-H192)</f>
        <v/>
      </c>
      <c r="J193" s="161">
        <f>'Datos_fuente'!J193</f>
        <v/>
      </c>
      <c r="K193" s="161">
        <f>IF(OR(J193="",J192=""),"",J193-J192)</f>
        <v/>
      </c>
      <c r="L193" s="160">
        <f>IF('Datos_fuente'!K193="","",LN('Datos_fuente'!K193))</f>
        <v/>
      </c>
      <c r="M193" s="160">
        <f>IF(OR(L193="",L192=""),"",L193-L192)</f>
        <v/>
      </c>
      <c r="N193" s="160">
        <f>IF('Datos_fuente'!L193="","",LN('Datos_fuente'!L193))</f>
        <v/>
      </c>
      <c r="O193" s="160">
        <f>IF(OR(N193="",N192=""),"",N193-N192)</f>
        <v/>
      </c>
      <c r="P193" s="162">
        <f>'Datos_fuente'!M193</f>
        <v/>
      </c>
      <c r="Q193" s="160">
        <f>IF('Datos_fuente'!N193="","",LN('Datos_fuente'!N193))</f>
        <v/>
      </c>
      <c r="R193" s="160">
        <f>IF(OR(Q193="",Q192=""),"",Q193-Q192)</f>
        <v/>
      </c>
      <c r="S193" s="161">
        <f>'Datos_fuente'!P193</f>
        <v/>
      </c>
      <c r="T193" s="161">
        <f>IF(OR(S193="",S192=""),"",S193-S192)</f>
        <v/>
      </c>
      <c r="U193" s="160">
        <f>IF('Datos_fuente'!Q193="","",ASINH('Datos_fuente'!Q193/1000))</f>
        <v/>
      </c>
      <c r="V193" s="160">
        <f>IF(OR(U193="",U192=""),"",U193-U192)</f>
        <v/>
      </c>
      <c r="W193" s="160">
        <f>IF('Datos_fuente'!R193="","",ASINH('Datos_fuente'!R193/1000))</f>
        <v/>
      </c>
      <c r="X193" s="160">
        <f>IF(OR(W193="",W192=""),"",W193-W192)</f>
        <v/>
      </c>
      <c r="Y193" s="161">
        <f>'Datos_fuente'!W193</f>
        <v/>
      </c>
      <c r="Z193" s="161">
        <f>IF(OR(Y193="",Y192=""),"",Y193-Y192)</f>
        <v/>
      </c>
      <c r="AA193" s="160">
        <f>'Datos_fuente'!AB193</f>
        <v/>
      </c>
      <c r="AB193" s="160">
        <f>'Datos_fuente'!AC193</f>
        <v/>
      </c>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f>'Datos_fuente'!A194</f>
        <v/>
      </c>
      <c r="B194" s="160">
        <f>IF('Datos_fuente'!B194="","",LN('Datos_fuente'!B194))</f>
        <v/>
      </c>
      <c r="C194" s="160">
        <f>IF(OR(B194="",B193=""),"",B194-B193)</f>
        <v/>
      </c>
      <c r="D194" s="160">
        <f>IF('Datos_fuente'!C194="","",LN('Datos_fuente'!C194))</f>
        <v/>
      </c>
      <c r="E194" s="160">
        <f>IF(OR(D194="",D193=""),"",D194-D193)</f>
        <v/>
      </c>
      <c r="F194" s="160">
        <f>IF('Datos_fuente'!E194="","",LN('Datos_fuente'!E194))</f>
        <v/>
      </c>
      <c r="G194" s="160">
        <f>IF(OR(F194="",F193=""),"",F194-F193)</f>
        <v/>
      </c>
      <c r="H194" s="161">
        <f>'Datos_fuente'!H194</f>
        <v/>
      </c>
      <c r="I194" s="161">
        <f>IF(OR(H194="",H193=""),"",H194-H193)</f>
        <v/>
      </c>
      <c r="J194" s="161">
        <f>'Datos_fuente'!J194</f>
        <v/>
      </c>
      <c r="K194" s="161">
        <f>IF(OR(J194="",J193=""),"",J194-J193)</f>
        <v/>
      </c>
      <c r="L194" s="160">
        <f>IF('Datos_fuente'!K194="","",LN('Datos_fuente'!K194))</f>
        <v/>
      </c>
      <c r="M194" s="160">
        <f>IF(OR(L194="",L193=""),"",L194-L193)</f>
        <v/>
      </c>
      <c r="N194" s="160">
        <f>IF('Datos_fuente'!L194="","",LN('Datos_fuente'!L194))</f>
        <v/>
      </c>
      <c r="O194" s="160">
        <f>IF(OR(N194="",N193=""),"",N194-N193)</f>
        <v/>
      </c>
      <c r="P194" s="162">
        <f>'Datos_fuente'!M194</f>
        <v/>
      </c>
      <c r="Q194" s="160">
        <f>IF('Datos_fuente'!N194="","",LN('Datos_fuente'!N194))</f>
        <v/>
      </c>
      <c r="R194" s="160">
        <f>IF(OR(Q194="",Q193=""),"",Q194-Q193)</f>
        <v/>
      </c>
      <c r="S194" s="161">
        <f>'Datos_fuente'!P194</f>
        <v/>
      </c>
      <c r="T194" s="161">
        <f>IF(OR(S194="",S193=""),"",S194-S193)</f>
        <v/>
      </c>
      <c r="U194" s="160">
        <f>IF('Datos_fuente'!Q194="","",ASINH('Datos_fuente'!Q194/1000))</f>
        <v/>
      </c>
      <c r="V194" s="160">
        <f>IF(OR(U194="",U193=""),"",U194-U193)</f>
        <v/>
      </c>
      <c r="W194" s="160">
        <f>IF('Datos_fuente'!R194="","",ASINH('Datos_fuente'!R194/1000))</f>
        <v/>
      </c>
      <c r="X194" s="160">
        <f>IF(OR(W194="",W193=""),"",W194-W193)</f>
        <v/>
      </c>
      <c r="Y194" s="161">
        <f>'Datos_fuente'!W194</f>
        <v/>
      </c>
      <c r="Z194" s="161">
        <f>IF(OR(Y194="",Y193=""),"",Y194-Y193)</f>
        <v/>
      </c>
      <c r="AA194" s="160">
        <f>'Datos_fuente'!AB194</f>
        <v/>
      </c>
      <c r="AB194" s="160">
        <f>'Datos_fuente'!AC194</f>
        <v/>
      </c>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f>'Datos_fuente'!A195</f>
        <v/>
      </c>
      <c r="B195" s="160">
        <f>IF('Datos_fuente'!B195="","",LN('Datos_fuente'!B195))</f>
        <v/>
      </c>
      <c r="C195" s="160">
        <f>IF(OR(B195="",B194=""),"",B195-B194)</f>
        <v/>
      </c>
      <c r="D195" s="160">
        <f>IF('Datos_fuente'!C195="","",LN('Datos_fuente'!C195))</f>
        <v/>
      </c>
      <c r="E195" s="160">
        <f>IF(OR(D195="",D194=""),"",D195-D194)</f>
        <v/>
      </c>
      <c r="F195" s="160">
        <f>IF('Datos_fuente'!E195="","",LN('Datos_fuente'!E195))</f>
        <v/>
      </c>
      <c r="G195" s="160">
        <f>IF(OR(F195="",F194=""),"",F195-F194)</f>
        <v/>
      </c>
      <c r="H195" s="161">
        <f>'Datos_fuente'!H195</f>
        <v/>
      </c>
      <c r="I195" s="161">
        <f>IF(OR(H195="",H194=""),"",H195-H194)</f>
        <v/>
      </c>
      <c r="J195" s="161">
        <f>'Datos_fuente'!J195</f>
        <v/>
      </c>
      <c r="K195" s="161">
        <f>IF(OR(J195="",J194=""),"",J195-J194)</f>
        <v/>
      </c>
      <c r="L195" s="160">
        <f>IF('Datos_fuente'!K195="","",LN('Datos_fuente'!K195))</f>
        <v/>
      </c>
      <c r="M195" s="160">
        <f>IF(OR(L195="",L194=""),"",L195-L194)</f>
        <v/>
      </c>
      <c r="N195" s="160">
        <f>IF('Datos_fuente'!L195="","",LN('Datos_fuente'!L195))</f>
        <v/>
      </c>
      <c r="O195" s="160">
        <f>IF(OR(N195="",N194=""),"",N195-N194)</f>
        <v/>
      </c>
      <c r="P195" s="162">
        <f>'Datos_fuente'!M195</f>
        <v/>
      </c>
      <c r="Q195" s="160">
        <f>IF('Datos_fuente'!N195="","",LN('Datos_fuente'!N195))</f>
        <v/>
      </c>
      <c r="R195" s="160">
        <f>IF(OR(Q195="",Q194=""),"",Q195-Q194)</f>
        <v/>
      </c>
      <c r="S195" s="161">
        <f>'Datos_fuente'!P195</f>
        <v/>
      </c>
      <c r="T195" s="161">
        <f>IF(OR(S195="",S194=""),"",S195-S194)</f>
        <v/>
      </c>
      <c r="U195" s="160">
        <f>IF('Datos_fuente'!Q195="","",ASINH('Datos_fuente'!Q195/1000))</f>
        <v/>
      </c>
      <c r="V195" s="160">
        <f>IF(OR(U195="",U194=""),"",U195-U194)</f>
        <v/>
      </c>
      <c r="W195" s="160">
        <f>IF('Datos_fuente'!R195="","",ASINH('Datos_fuente'!R195/1000))</f>
        <v/>
      </c>
      <c r="X195" s="160">
        <f>IF(OR(W195="",W194=""),"",W195-W194)</f>
        <v/>
      </c>
      <c r="Y195" s="161">
        <f>'Datos_fuente'!W195</f>
        <v/>
      </c>
      <c r="Z195" s="161">
        <f>IF(OR(Y195="",Y194=""),"",Y195-Y194)</f>
        <v/>
      </c>
      <c r="AA195" s="160">
        <f>'Datos_fuente'!AB195</f>
        <v/>
      </c>
      <c r="AB195" s="160">
        <f>'Datos_fuente'!AC195</f>
        <v/>
      </c>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f>'Datos_fuente'!A196</f>
        <v/>
      </c>
      <c r="B196" s="160">
        <f>IF('Datos_fuente'!B196="","",LN('Datos_fuente'!B196))</f>
        <v/>
      </c>
      <c r="C196" s="160">
        <f>IF(OR(B196="",B195=""),"",B196-B195)</f>
        <v/>
      </c>
      <c r="D196" s="160">
        <f>IF('Datos_fuente'!C196="","",LN('Datos_fuente'!C196))</f>
        <v/>
      </c>
      <c r="E196" s="160">
        <f>IF(OR(D196="",D195=""),"",D196-D195)</f>
        <v/>
      </c>
      <c r="F196" s="160">
        <f>IF('Datos_fuente'!E196="","",LN('Datos_fuente'!E196))</f>
        <v/>
      </c>
      <c r="G196" s="160">
        <f>IF(OR(F196="",F195=""),"",F196-F195)</f>
        <v/>
      </c>
      <c r="H196" s="161">
        <f>'Datos_fuente'!H196</f>
        <v/>
      </c>
      <c r="I196" s="161">
        <f>IF(OR(H196="",H195=""),"",H196-H195)</f>
        <v/>
      </c>
      <c r="J196" s="161">
        <f>'Datos_fuente'!J196</f>
        <v/>
      </c>
      <c r="K196" s="161">
        <f>IF(OR(J196="",J195=""),"",J196-J195)</f>
        <v/>
      </c>
      <c r="L196" s="160">
        <f>IF('Datos_fuente'!K196="","",LN('Datos_fuente'!K196))</f>
        <v/>
      </c>
      <c r="M196" s="160">
        <f>IF(OR(L196="",L195=""),"",L196-L195)</f>
        <v/>
      </c>
      <c r="N196" s="160">
        <f>IF('Datos_fuente'!L196="","",LN('Datos_fuente'!L196))</f>
        <v/>
      </c>
      <c r="O196" s="160">
        <f>IF(OR(N196="",N195=""),"",N196-N195)</f>
        <v/>
      </c>
      <c r="P196" s="162">
        <f>'Datos_fuente'!M196</f>
        <v/>
      </c>
      <c r="Q196" s="160">
        <f>IF('Datos_fuente'!N196="","",LN('Datos_fuente'!N196))</f>
        <v/>
      </c>
      <c r="R196" s="160">
        <f>IF(OR(Q196="",Q195=""),"",Q196-Q195)</f>
        <v/>
      </c>
      <c r="S196" s="161">
        <f>'Datos_fuente'!P196</f>
        <v/>
      </c>
      <c r="T196" s="161">
        <f>IF(OR(S196="",S195=""),"",S196-S195)</f>
        <v/>
      </c>
      <c r="U196" s="160">
        <f>IF('Datos_fuente'!Q196="","",ASINH('Datos_fuente'!Q196/1000))</f>
        <v/>
      </c>
      <c r="V196" s="160">
        <f>IF(OR(U196="",U195=""),"",U196-U195)</f>
        <v/>
      </c>
      <c r="W196" s="160">
        <f>IF('Datos_fuente'!R196="","",ASINH('Datos_fuente'!R196/1000))</f>
        <v/>
      </c>
      <c r="X196" s="160">
        <f>IF(OR(W196="",W195=""),"",W196-W195)</f>
        <v/>
      </c>
      <c r="Y196" s="161">
        <f>'Datos_fuente'!W196</f>
        <v/>
      </c>
      <c r="Z196" s="161">
        <f>IF(OR(Y196="",Y195=""),"",Y196-Y195)</f>
        <v/>
      </c>
      <c r="AA196" s="160">
        <f>'Datos_fuente'!AB196</f>
        <v/>
      </c>
      <c r="AB196" s="160">
        <f>'Datos_fuente'!AC196</f>
        <v/>
      </c>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f>'Datos_fuente'!A197</f>
        <v/>
      </c>
      <c r="B197" s="160">
        <f>IF('Datos_fuente'!B197="","",LN('Datos_fuente'!B197))</f>
        <v/>
      </c>
      <c r="C197" s="160">
        <f>IF(OR(B197="",B196=""),"",B197-B196)</f>
        <v/>
      </c>
      <c r="D197" s="160">
        <f>IF('Datos_fuente'!C197="","",LN('Datos_fuente'!C197))</f>
        <v/>
      </c>
      <c r="E197" s="160">
        <f>IF(OR(D197="",D196=""),"",D197-D196)</f>
        <v/>
      </c>
      <c r="F197" s="160">
        <f>IF('Datos_fuente'!E197="","",LN('Datos_fuente'!E197))</f>
        <v/>
      </c>
      <c r="G197" s="160">
        <f>IF(OR(F197="",F196=""),"",F197-F196)</f>
        <v/>
      </c>
      <c r="H197" s="161">
        <f>'Datos_fuente'!H197</f>
        <v/>
      </c>
      <c r="I197" s="161">
        <f>IF(OR(H197="",H196=""),"",H197-H196)</f>
        <v/>
      </c>
      <c r="J197" s="161">
        <f>'Datos_fuente'!J197</f>
        <v/>
      </c>
      <c r="K197" s="161">
        <f>IF(OR(J197="",J196=""),"",J197-J196)</f>
        <v/>
      </c>
      <c r="L197" s="160">
        <f>IF('Datos_fuente'!K197="","",LN('Datos_fuente'!K197))</f>
        <v/>
      </c>
      <c r="M197" s="160">
        <f>IF(OR(L197="",L196=""),"",L197-L196)</f>
        <v/>
      </c>
      <c r="N197" s="160">
        <f>IF('Datos_fuente'!L197="","",LN('Datos_fuente'!L197))</f>
        <v/>
      </c>
      <c r="O197" s="160">
        <f>IF(OR(N197="",N196=""),"",N197-N196)</f>
        <v/>
      </c>
      <c r="P197" s="162">
        <f>'Datos_fuente'!M197</f>
        <v/>
      </c>
      <c r="Q197" s="160">
        <f>IF('Datos_fuente'!N197="","",LN('Datos_fuente'!N197))</f>
        <v/>
      </c>
      <c r="R197" s="160">
        <f>IF(OR(Q197="",Q196=""),"",Q197-Q196)</f>
        <v/>
      </c>
      <c r="S197" s="161">
        <f>'Datos_fuente'!P197</f>
        <v/>
      </c>
      <c r="T197" s="161">
        <f>IF(OR(S197="",S196=""),"",S197-S196)</f>
        <v/>
      </c>
      <c r="U197" s="160">
        <f>IF('Datos_fuente'!Q197="","",ASINH('Datos_fuente'!Q197/1000))</f>
        <v/>
      </c>
      <c r="V197" s="160">
        <f>IF(OR(U197="",U196=""),"",U197-U196)</f>
        <v/>
      </c>
      <c r="W197" s="160">
        <f>IF('Datos_fuente'!R197="","",ASINH('Datos_fuente'!R197/1000))</f>
        <v/>
      </c>
      <c r="X197" s="160">
        <f>IF(OR(W197="",W196=""),"",W197-W196)</f>
        <v/>
      </c>
      <c r="Y197" s="161">
        <f>'Datos_fuente'!W197</f>
        <v/>
      </c>
      <c r="Z197" s="161">
        <f>IF(OR(Y197="",Y196=""),"",Y197-Y196)</f>
        <v/>
      </c>
      <c r="AA197" s="160">
        <f>'Datos_fuente'!AB197</f>
        <v/>
      </c>
      <c r="AB197" s="160">
        <f>'Datos_fuente'!AC197</f>
        <v/>
      </c>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f>'Datos_fuente'!A198</f>
        <v/>
      </c>
      <c r="B198" s="160">
        <f>IF('Datos_fuente'!B198="","",LN('Datos_fuente'!B198))</f>
        <v/>
      </c>
      <c r="C198" s="160">
        <f>IF(OR(B198="",B197=""),"",B198-B197)</f>
        <v/>
      </c>
      <c r="D198" s="160">
        <f>IF('Datos_fuente'!C198="","",LN('Datos_fuente'!C198))</f>
        <v/>
      </c>
      <c r="E198" s="160">
        <f>IF(OR(D198="",D197=""),"",D198-D197)</f>
        <v/>
      </c>
      <c r="F198" s="160">
        <f>IF('Datos_fuente'!E198="","",LN('Datos_fuente'!E198))</f>
        <v/>
      </c>
      <c r="G198" s="160">
        <f>IF(OR(F198="",F197=""),"",F198-F197)</f>
        <v/>
      </c>
      <c r="H198" s="161">
        <f>'Datos_fuente'!H198</f>
        <v/>
      </c>
      <c r="I198" s="161">
        <f>IF(OR(H198="",H197=""),"",H198-H197)</f>
        <v/>
      </c>
      <c r="J198" s="161">
        <f>'Datos_fuente'!J198</f>
        <v/>
      </c>
      <c r="K198" s="161">
        <f>IF(OR(J198="",J197=""),"",J198-J197)</f>
        <v/>
      </c>
      <c r="L198" s="160">
        <f>IF('Datos_fuente'!K198="","",LN('Datos_fuente'!K198))</f>
        <v/>
      </c>
      <c r="M198" s="160">
        <f>IF(OR(L198="",L197=""),"",L198-L197)</f>
        <v/>
      </c>
      <c r="N198" s="160">
        <f>IF('Datos_fuente'!L198="","",LN('Datos_fuente'!L198))</f>
        <v/>
      </c>
      <c r="O198" s="160">
        <f>IF(OR(N198="",N197=""),"",N198-N197)</f>
        <v/>
      </c>
      <c r="P198" s="162">
        <f>'Datos_fuente'!M198</f>
        <v/>
      </c>
      <c r="Q198" s="160">
        <f>IF('Datos_fuente'!N198="","",LN('Datos_fuente'!N198))</f>
        <v/>
      </c>
      <c r="R198" s="160">
        <f>IF(OR(Q198="",Q197=""),"",Q198-Q197)</f>
        <v/>
      </c>
      <c r="S198" s="161">
        <f>'Datos_fuente'!P198</f>
        <v/>
      </c>
      <c r="T198" s="161">
        <f>IF(OR(S198="",S197=""),"",S198-S197)</f>
        <v/>
      </c>
      <c r="U198" s="160">
        <f>IF('Datos_fuente'!Q198="","",ASINH('Datos_fuente'!Q198/1000))</f>
        <v/>
      </c>
      <c r="V198" s="160">
        <f>IF(OR(U198="",U197=""),"",U198-U197)</f>
        <v/>
      </c>
      <c r="W198" s="160">
        <f>IF('Datos_fuente'!R198="","",ASINH('Datos_fuente'!R198/1000))</f>
        <v/>
      </c>
      <c r="X198" s="160">
        <f>IF(OR(W198="",W197=""),"",W198-W197)</f>
        <v/>
      </c>
      <c r="Y198" s="161">
        <f>'Datos_fuente'!W198</f>
        <v/>
      </c>
      <c r="Z198" s="161">
        <f>IF(OR(Y198="",Y197=""),"",Y198-Y197)</f>
        <v/>
      </c>
      <c r="AA198" s="160">
        <f>'Datos_fuente'!AB198</f>
        <v/>
      </c>
      <c r="AB198" s="160">
        <f>'Datos_fuente'!AC198</f>
        <v/>
      </c>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f>'Datos_fuente'!A199</f>
        <v/>
      </c>
      <c r="B199" s="160">
        <f>IF('Datos_fuente'!B199="","",LN('Datos_fuente'!B199))</f>
        <v/>
      </c>
      <c r="C199" s="160">
        <f>IF(OR(B199="",B198=""),"",B199-B198)</f>
        <v/>
      </c>
      <c r="D199" s="160">
        <f>IF('Datos_fuente'!C199="","",LN('Datos_fuente'!C199))</f>
        <v/>
      </c>
      <c r="E199" s="160">
        <f>IF(OR(D199="",D198=""),"",D199-D198)</f>
        <v/>
      </c>
      <c r="F199" s="160">
        <f>IF('Datos_fuente'!E199="","",LN('Datos_fuente'!E199))</f>
        <v/>
      </c>
      <c r="G199" s="160">
        <f>IF(OR(F199="",F198=""),"",F199-F198)</f>
        <v/>
      </c>
      <c r="H199" s="161">
        <f>'Datos_fuente'!H199</f>
        <v/>
      </c>
      <c r="I199" s="161">
        <f>IF(OR(H199="",H198=""),"",H199-H198)</f>
        <v/>
      </c>
      <c r="J199" s="161">
        <f>'Datos_fuente'!J199</f>
        <v/>
      </c>
      <c r="K199" s="161">
        <f>IF(OR(J199="",J198=""),"",J199-J198)</f>
        <v/>
      </c>
      <c r="L199" s="160">
        <f>IF('Datos_fuente'!K199="","",LN('Datos_fuente'!K199))</f>
        <v/>
      </c>
      <c r="M199" s="160">
        <f>IF(OR(L199="",L198=""),"",L199-L198)</f>
        <v/>
      </c>
      <c r="N199" s="160">
        <f>IF('Datos_fuente'!L199="","",LN('Datos_fuente'!L199))</f>
        <v/>
      </c>
      <c r="O199" s="160">
        <f>IF(OR(N199="",N198=""),"",N199-N198)</f>
        <v/>
      </c>
      <c r="P199" s="162">
        <f>'Datos_fuente'!M199</f>
        <v/>
      </c>
      <c r="Q199" s="160">
        <f>IF('Datos_fuente'!N199="","",LN('Datos_fuente'!N199))</f>
        <v/>
      </c>
      <c r="R199" s="160">
        <f>IF(OR(Q199="",Q198=""),"",Q199-Q198)</f>
        <v/>
      </c>
      <c r="S199" s="161">
        <f>'Datos_fuente'!P199</f>
        <v/>
      </c>
      <c r="T199" s="161">
        <f>IF(OR(S199="",S198=""),"",S199-S198)</f>
        <v/>
      </c>
      <c r="U199" s="160">
        <f>IF('Datos_fuente'!Q199="","",ASINH('Datos_fuente'!Q199/1000))</f>
        <v/>
      </c>
      <c r="V199" s="160">
        <f>IF(OR(U199="",U198=""),"",U199-U198)</f>
        <v/>
      </c>
      <c r="W199" s="160">
        <f>IF('Datos_fuente'!R199="","",ASINH('Datos_fuente'!R199/1000))</f>
        <v/>
      </c>
      <c r="X199" s="160">
        <f>IF(OR(W199="",W198=""),"",W199-W198)</f>
        <v/>
      </c>
      <c r="Y199" s="161">
        <f>'Datos_fuente'!W199</f>
        <v/>
      </c>
      <c r="Z199" s="161">
        <f>IF(OR(Y199="",Y198=""),"",Y199-Y198)</f>
        <v/>
      </c>
      <c r="AA199" s="160">
        <f>'Datos_fuente'!AB199</f>
        <v/>
      </c>
      <c r="AB199" s="160">
        <f>'Datos_fuente'!AC199</f>
        <v/>
      </c>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f>'Datos_fuente'!A200</f>
        <v/>
      </c>
      <c r="B200" s="160">
        <f>IF('Datos_fuente'!B200="","",LN('Datos_fuente'!B200))</f>
        <v/>
      </c>
      <c r="C200" s="160">
        <f>IF(OR(B200="",B199=""),"",B200-B199)</f>
        <v/>
      </c>
      <c r="D200" s="160">
        <f>IF('Datos_fuente'!C200="","",LN('Datos_fuente'!C200))</f>
        <v/>
      </c>
      <c r="E200" s="160">
        <f>IF(OR(D200="",D199=""),"",D200-D199)</f>
        <v/>
      </c>
      <c r="F200" s="160">
        <f>IF('Datos_fuente'!E200="","",LN('Datos_fuente'!E200))</f>
        <v/>
      </c>
      <c r="G200" s="160">
        <f>IF(OR(F200="",F199=""),"",F200-F199)</f>
        <v/>
      </c>
      <c r="H200" s="161">
        <f>'Datos_fuente'!H200</f>
        <v/>
      </c>
      <c r="I200" s="161">
        <f>IF(OR(H200="",H199=""),"",H200-H199)</f>
        <v/>
      </c>
      <c r="J200" s="161">
        <f>'Datos_fuente'!J200</f>
        <v/>
      </c>
      <c r="K200" s="161">
        <f>IF(OR(J200="",J199=""),"",J200-J199)</f>
        <v/>
      </c>
      <c r="L200" s="160">
        <f>IF('Datos_fuente'!K200="","",LN('Datos_fuente'!K200))</f>
        <v/>
      </c>
      <c r="M200" s="160">
        <f>IF(OR(L200="",L199=""),"",L200-L199)</f>
        <v/>
      </c>
      <c r="N200" s="160">
        <f>IF('Datos_fuente'!L200="","",LN('Datos_fuente'!L200))</f>
        <v/>
      </c>
      <c r="O200" s="160">
        <f>IF(OR(N200="",N199=""),"",N200-N199)</f>
        <v/>
      </c>
      <c r="P200" s="162">
        <f>'Datos_fuente'!M200</f>
        <v/>
      </c>
      <c r="Q200" s="160">
        <f>IF('Datos_fuente'!N200="","",LN('Datos_fuente'!N200))</f>
        <v/>
      </c>
      <c r="R200" s="160">
        <f>IF(OR(Q200="",Q199=""),"",Q200-Q199)</f>
        <v/>
      </c>
      <c r="S200" s="161">
        <f>'Datos_fuente'!P200</f>
        <v/>
      </c>
      <c r="T200" s="161">
        <f>IF(OR(S200="",S199=""),"",S200-S199)</f>
        <v/>
      </c>
      <c r="U200" s="160">
        <f>IF('Datos_fuente'!Q200="","",ASINH('Datos_fuente'!Q200/1000))</f>
        <v/>
      </c>
      <c r="V200" s="160">
        <f>IF(OR(U200="",U199=""),"",U200-U199)</f>
        <v/>
      </c>
      <c r="W200" s="160">
        <f>IF('Datos_fuente'!R200="","",ASINH('Datos_fuente'!R200/1000))</f>
        <v/>
      </c>
      <c r="X200" s="160">
        <f>IF(OR(W200="",W199=""),"",W200-W199)</f>
        <v/>
      </c>
      <c r="Y200" s="161">
        <f>'Datos_fuente'!W200</f>
        <v/>
      </c>
      <c r="Z200" s="161">
        <f>IF(OR(Y200="",Y199=""),"",Y200-Y199)</f>
        <v/>
      </c>
      <c r="AA200" s="160">
        <f>'Datos_fuente'!AB200</f>
        <v/>
      </c>
      <c r="AB200" s="160">
        <f>'Datos_fuente'!AC200</f>
        <v/>
      </c>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f>'Datos_fuente'!A201</f>
        <v/>
      </c>
      <c r="B201" s="160">
        <f>IF('Datos_fuente'!B201="","",LN('Datos_fuente'!B201))</f>
        <v/>
      </c>
      <c r="C201" s="160">
        <f>IF(OR(B201="",B200=""),"",B201-B200)</f>
        <v/>
      </c>
      <c r="D201" s="160">
        <f>IF('Datos_fuente'!C201="","",LN('Datos_fuente'!C201))</f>
        <v/>
      </c>
      <c r="E201" s="160">
        <f>IF(OR(D201="",D200=""),"",D201-D200)</f>
        <v/>
      </c>
      <c r="F201" s="160">
        <f>IF('Datos_fuente'!E201="","",LN('Datos_fuente'!E201))</f>
        <v/>
      </c>
      <c r="G201" s="160">
        <f>IF(OR(F201="",F200=""),"",F201-F200)</f>
        <v/>
      </c>
      <c r="H201" s="161">
        <f>'Datos_fuente'!H201</f>
        <v/>
      </c>
      <c r="I201" s="161">
        <f>IF(OR(H201="",H200=""),"",H201-H200)</f>
        <v/>
      </c>
      <c r="J201" s="161">
        <f>'Datos_fuente'!J201</f>
        <v/>
      </c>
      <c r="K201" s="161">
        <f>IF(OR(J201="",J200=""),"",J201-J200)</f>
        <v/>
      </c>
      <c r="L201" s="160">
        <f>IF('Datos_fuente'!K201="","",LN('Datos_fuente'!K201))</f>
        <v/>
      </c>
      <c r="M201" s="160">
        <f>IF(OR(L201="",L200=""),"",L201-L200)</f>
        <v/>
      </c>
      <c r="N201" s="160">
        <f>IF('Datos_fuente'!L201="","",LN('Datos_fuente'!L201))</f>
        <v/>
      </c>
      <c r="O201" s="160">
        <f>IF(OR(N201="",N200=""),"",N201-N200)</f>
        <v/>
      </c>
      <c r="P201" s="162">
        <f>'Datos_fuente'!M201</f>
        <v/>
      </c>
      <c r="Q201" s="160">
        <f>IF('Datos_fuente'!N201="","",LN('Datos_fuente'!N201))</f>
        <v/>
      </c>
      <c r="R201" s="160">
        <f>IF(OR(Q201="",Q200=""),"",Q201-Q200)</f>
        <v/>
      </c>
      <c r="S201" s="161">
        <f>'Datos_fuente'!P201</f>
        <v/>
      </c>
      <c r="T201" s="161">
        <f>IF(OR(S201="",S200=""),"",S201-S200)</f>
        <v/>
      </c>
      <c r="U201" s="160">
        <f>IF('Datos_fuente'!Q201="","",ASINH('Datos_fuente'!Q201/1000))</f>
        <v/>
      </c>
      <c r="V201" s="160">
        <f>IF(OR(U201="",U200=""),"",U201-U200)</f>
        <v/>
      </c>
      <c r="W201" s="160">
        <f>IF('Datos_fuente'!R201="","",ASINH('Datos_fuente'!R201/1000))</f>
        <v/>
      </c>
      <c r="X201" s="160">
        <f>IF(OR(W201="",W200=""),"",W201-W200)</f>
        <v/>
      </c>
      <c r="Y201" s="161">
        <f>'Datos_fuente'!W201</f>
        <v/>
      </c>
      <c r="Z201" s="161">
        <f>IF(OR(Y201="",Y200=""),"",Y201-Y200)</f>
        <v/>
      </c>
      <c r="AA201" s="160">
        <f>'Datos_fuente'!AB201</f>
        <v/>
      </c>
      <c r="AB201" s="160">
        <f>'Datos_fuente'!AC201</f>
        <v/>
      </c>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f>'Datos_fuente'!A202</f>
        <v/>
      </c>
      <c r="B202" s="160">
        <f>IF('Datos_fuente'!B202="","",LN('Datos_fuente'!B202))</f>
        <v/>
      </c>
      <c r="C202" s="160">
        <f>IF(OR(B202="",B201=""),"",B202-B201)</f>
        <v/>
      </c>
      <c r="D202" s="160">
        <f>IF('Datos_fuente'!C202="","",LN('Datos_fuente'!C202))</f>
        <v/>
      </c>
      <c r="E202" s="160">
        <f>IF(OR(D202="",D201=""),"",D202-D201)</f>
        <v/>
      </c>
      <c r="F202" s="160">
        <f>IF('Datos_fuente'!E202="","",LN('Datos_fuente'!E202))</f>
        <v/>
      </c>
      <c r="G202" s="160">
        <f>IF(OR(F202="",F201=""),"",F202-F201)</f>
        <v/>
      </c>
      <c r="H202" s="161">
        <f>'Datos_fuente'!H202</f>
        <v/>
      </c>
      <c r="I202" s="161">
        <f>IF(OR(H202="",H201=""),"",H202-H201)</f>
        <v/>
      </c>
      <c r="J202" s="161">
        <f>'Datos_fuente'!J202</f>
        <v/>
      </c>
      <c r="K202" s="161">
        <f>IF(OR(J202="",J201=""),"",J202-J201)</f>
        <v/>
      </c>
      <c r="L202" s="160">
        <f>IF('Datos_fuente'!K202="","",LN('Datos_fuente'!K202))</f>
        <v/>
      </c>
      <c r="M202" s="160">
        <f>IF(OR(L202="",L201=""),"",L202-L201)</f>
        <v/>
      </c>
      <c r="N202" s="160">
        <f>IF('Datos_fuente'!L202="","",LN('Datos_fuente'!L202))</f>
        <v/>
      </c>
      <c r="O202" s="160">
        <f>IF(OR(N202="",N201=""),"",N202-N201)</f>
        <v/>
      </c>
      <c r="P202" s="162">
        <f>'Datos_fuente'!M202</f>
        <v/>
      </c>
      <c r="Q202" s="160">
        <f>IF('Datos_fuente'!N202="","",LN('Datos_fuente'!N202))</f>
        <v/>
      </c>
      <c r="R202" s="160">
        <f>IF(OR(Q202="",Q201=""),"",Q202-Q201)</f>
        <v/>
      </c>
      <c r="S202" s="161">
        <f>'Datos_fuente'!P202</f>
        <v/>
      </c>
      <c r="T202" s="161">
        <f>IF(OR(S202="",S201=""),"",S202-S201)</f>
        <v/>
      </c>
      <c r="U202" s="160">
        <f>IF('Datos_fuente'!Q202="","",ASINH('Datos_fuente'!Q202/1000))</f>
        <v/>
      </c>
      <c r="V202" s="160">
        <f>IF(OR(U202="",U201=""),"",U202-U201)</f>
        <v/>
      </c>
      <c r="W202" s="160">
        <f>IF('Datos_fuente'!R202="","",ASINH('Datos_fuente'!R202/1000))</f>
        <v/>
      </c>
      <c r="X202" s="160">
        <f>IF(OR(W202="",W201=""),"",W202-W201)</f>
        <v/>
      </c>
      <c r="Y202" s="161">
        <f>'Datos_fuente'!W202</f>
        <v/>
      </c>
      <c r="Z202" s="161">
        <f>IF(OR(Y202="",Y201=""),"",Y202-Y201)</f>
        <v/>
      </c>
      <c r="AA202" s="160">
        <f>'Datos_fuente'!AB202</f>
        <v/>
      </c>
      <c r="AB202" s="160">
        <f>'Datos_fuente'!AC202</f>
        <v/>
      </c>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f>'Datos_fuente'!A203</f>
        <v/>
      </c>
      <c r="B203" s="160">
        <f>IF('Datos_fuente'!B203="","",LN('Datos_fuente'!B203))</f>
        <v/>
      </c>
      <c r="C203" s="160">
        <f>IF(OR(B203="",B202=""),"",B203-B202)</f>
        <v/>
      </c>
      <c r="D203" s="160">
        <f>IF('Datos_fuente'!C203="","",LN('Datos_fuente'!C203))</f>
        <v/>
      </c>
      <c r="E203" s="160">
        <f>IF(OR(D203="",D202=""),"",D203-D202)</f>
        <v/>
      </c>
      <c r="F203" s="160">
        <f>IF('Datos_fuente'!E203="","",LN('Datos_fuente'!E203))</f>
        <v/>
      </c>
      <c r="G203" s="160">
        <f>IF(OR(F203="",F202=""),"",F203-F202)</f>
        <v/>
      </c>
      <c r="H203" s="161">
        <f>'Datos_fuente'!H203</f>
        <v/>
      </c>
      <c r="I203" s="161">
        <f>IF(OR(H203="",H202=""),"",H203-H202)</f>
        <v/>
      </c>
      <c r="J203" s="161">
        <f>'Datos_fuente'!J203</f>
        <v/>
      </c>
      <c r="K203" s="161">
        <f>IF(OR(J203="",J202=""),"",J203-J202)</f>
        <v/>
      </c>
      <c r="L203" s="160">
        <f>IF('Datos_fuente'!K203="","",LN('Datos_fuente'!K203))</f>
        <v/>
      </c>
      <c r="M203" s="160">
        <f>IF(OR(L203="",L202=""),"",L203-L202)</f>
        <v/>
      </c>
      <c r="N203" s="160">
        <f>IF('Datos_fuente'!L203="","",LN('Datos_fuente'!L203))</f>
        <v/>
      </c>
      <c r="O203" s="160">
        <f>IF(OR(N203="",N202=""),"",N203-N202)</f>
        <v/>
      </c>
      <c r="P203" s="162">
        <f>'Datos_fuente'!M203</f>
        <v/>
      </c>
      <c r="Q203" s="160">
        <f>IF('Datos_fuente'!N203="","",LN('Datos_fuente'!N203))</f>
        <v/>
      </c>
      <c r="R203" s="160">
        <f>IF(OR(Q203="",Q202=""),"",Q203-Q202)</f>
        <v/>
      </c>
      <c r="S203" s="161">
        <f>'Datos_fuente'!P203</f>
        <v/>
      </c>
      <c r="T203" s="161">
        <f>IF(OR(S203="",S202=""),"",S203-S202)</f>
        <v/>
      </c>
      <c r="U203" s="160">
        <f>IF('Datos_fuente'!Q203="","",ASINH('Datos_fuente'!Q203/1000))</f>
        <v/>
      </c>
      <c r="V203" s="160">
        <f>IF(OR(U203="",U202=""),"",U203-U202)</f>
        <v/>
      </c>
      <c r="W203" s="160">
        <f>IF('Datos_fuente'!R203="","",ASINH('Datos_fuente'!R203/1000))</f>
        <v/>
      </c>
      <c r="X203" s="160">
        <f>IF(OR(W203="",W202=""),"",W203-W202)</f>
        <v/>
      </c>
      <c r="Y203" s="161">
        <f>'Datos_fuente'!W203</f>
        <v/>
      </c>
      <c r="Z203" s="161">
        <f>IF(OR(Y203="",Y202=""),"",Y203-Y202)</f>
        <v/>
      </c>
      <c r="AA203" s="160">
        <f>'Datos_fuente'!AB203</f>
        <v/>
      </c>
      <c r="AB203" s="160">
        <f>'Datos_fuente'!AC203</f>
        <v/>
      </c>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f>'Datos_fuente'!A204</f>
        <v/>
      </c>
      <c r="B204" s="160">
        <f>IF('Datos_fuente'!B204="","",LN('Datos_fuente'!B204))</f>
        <v/>
      </c>
      <c r="C204" s="160">
        <f>IF(OR(B204="",B203=""),"",B204-B203)</f>
        <v/>
      </c>
      <c r="D204" s="160">
        <f>IF('Datos_fuente'!C204="","",LN('Datos_fuente'!C204))</f>
        <v/>
      </c>
      <c r="E204" s="160">
        <f>IF(OR(D204="",D203=""),"",D204-D203)</f>
        <v/>
      </c>
      <c r="F204" s="160">
        <f>IF('Datos_fuente'!E204="","",LN('Datos_fuente'!E204))</f>
        <v/>
      </c>
      <c r="G204" s="160">
        <f>IF(OR(F204="",F203=""),"",F204-F203)</f>
        <v/>
      </c>
      <c r="H204" s="161">
        <f>'Datos_fuente'!H204</f>
        <v/>
      </c>
      <c r="I204" s="161">
        <f>IF(OR(H204="",H203=""),"",H204-H203)</f>
        <v/>
      </c>
      <c r="J204" s="161">
        <f>'Datos_fuente'!J204</f>
        <v/>
      </c>
      <c r="K204" s="161">
        <f>IF(OR(J204="",J203=""),"",J204-J203)</f>
        <v/>
      </c>
      <c r="L204" s="160">
        <f>IF('Datos_fuente'!K204="","",LN('Datos_fuente'!K204))</f>
        <v/>
      </c>
      <c r="M204" s="160">
        <f>IF(OR(L204="",L203=""),"",L204-L203)</f>
        <v/>
      </c>
      <c r="N204" s="160">
        <f>IF('Datos_fuente'!L204="","",LN('Datos_fuente'!L204))</f>
        <v/>
      </c>
      <c r="O204" s="160">
        <f>IF(OR(N204="",N203=""),"",N204-N203)</f>
        <v/>
      </c>
      <c r="P204" s="162">
        <f>'Datos_fuente'!M204</f>
        <v/>
      </c>
      <c r="Q204" s="160">
        <f>IF('Datos_fuente'!N204="","",LN('Datos_fuente'!N204))</f>
        <v/>
      </c>
      <c r="R204" s="160">
        <f>IF(OR(Q204="",Q203=""),"",Q204-Q203)</f>
        <v/>
      </c>
      <c r="S204" s="161">
        <f>'Datos_fuente'!P204</f>
        <v/>
      </c>
      <c r="T204" s="161">
        <f>IF(OR(S204="",S203=""),"",S204-S203)</f>
        <v/>
      </c>
      <c r="U204" s="160">
        <f>IF('Datos_fuente'!Q204="","",ASINH('Datos_fuente'!Q204/1000))</f>
        <v/>
      </c>
      <c r="V204" s="160">
        <f>IF(OR(U204="",U203=""),"",U204-U203)</f>
        <v/>
      </c>
      <c r="W204" s="160">
        <f>IF('Datos_fuente'!R204="","",ASINH('Datos_fuente'!R204/1000))</f>
        <v/>
      </c>
      <c r="X204" s="160">
        <f>IF(OR(W204="",W203=""),"",W204-W203)</f>
        <v/>
      </c>
      <c r="Y204" s="161">
        <f>'Datos_fuente'!W204</f>
        <v/>
      </c>
      <c r="Z204" s="161">
        <f>IF(OR(Y204="",Y203=""),"",Y204-Y203)</f>
        <v/>
      </c>
      <c r="AA204" s="160">
        <f>'Datos_fuente'!AB204</f>
        <v/>
      </c>
      <c r="AB204" s="160">
        <f>'Datos_fuente'!AC204</f>
        <v/>
      </c>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f>'Datos_fuente'!A205</f>
        <v/>
      </c>
      <c r="B205" s="160">
        <f>IF('Datos_fuente'!B205="","",LN('Datos_fuente'!B205))</f>
        <v/>
      </c>
      <c r="C205" s="160">
        <f>IF(OR(B205="",B204=""),"",B205-B204)</f>
        <v/>
      </c>
      <c r="D205" s="160">
        <f>IF('Datos_fuente'!C205="","",LN('Datos_fuente'!C205))</f>
        <v/>
      </c>
      <c r="E205" s="160">
        <f>IF(OR(D205="",D204=""),"",D205-D204)</f>
        <v/>
      </c>
      <c r="F205" s="160">
        <f>IF('Datos_fuente'!E205="","",LN('Datos_fuente'!E205))</f>
        <v/>
      </c>
      <c r="G205" s="160">
        <f>IF(OR(F205="",F204=""),"",F205-F204)</f>
        <v/>
      </c>
      <c r="H205" s="161">
        <f>'Datos_fuente'!H205</f>
        <v/>
      </c>
      <c r="I205" s="161">
        <f>IF(OR(H205="",H204=""),"",H205-H204)</f>
        <v/>
      </c>
      <c r="J205" s="161">
        <f>'Datos_fuente'!J205</f>
        <v/>
      </c>
      <c r="K205" s="161">
        <f>IF(OR(J205="",J204=""),"",J205-J204)</f>
        <v/>
      </c>
      <c r="L205" s="160">
        <f>IF('Datos_fuente'!K205="","",LN('Datos_fuente'!K205))</f>
        <v/>
      </c>
      <c r="M205" s="160">
        <f>IF(OR(L205="",L204=""),"",L205-L204)</f>
        <v/>
      </c>
      <c r="N205" s="160">
        <f>IF('Datos_fuente'!L205="","",LN('Datos_fuente'!L205))</f>
        <v/>
      </c>
      <c r="O205" s="160">
        <f>IF(OR(N205="",N204=""),"",N205-N204)</f>
        <v/>
      </c>
      <c r="P205" s="162">
        <f>'Datos_fuente'!M205</f>
        <v/>
      </c>
      <c r="Q205" s="160">
        <f>IF('Datos_fuente'!N205="","",LN('Datos_fuente'!N205))</f>
        <v/>
      </c>
      <c r="R205" s="160">
        <f>IF(OR(Q205="",Q204=""),"",Q205-Q204)</f>
        <v/>
      </c>
      <c r="S205" s="161">
        <f>'Datos_fuente'!P205</f>
        <v/>
      </c>
      <c r="T205" s="161">
        <f>IF(OR(S205="",S204=""),"",S205-S204)</f>
        <v/>
      </c>
      <c r="U205" s="160">
        <f>IF('Datos_fuente'!Q205="","",ASINH('Datos_fuente'!Q205/1000))</f>
        <v/>
      </c>
      <c r="V205" s="160">
        <f>IF(OR(U205="",U204=""),"",U205-U204)</f>
        <v/>
      </c>
      <c r="W205" s="160">
        <f>IF('Datos_fuente'!R205="","",ASINH('Datos_fuente'!R205/1000))</f>
        <v/>
      </c>
      <c r="X205" s="160">
        <f>IF(OR(W205="",W204=""),"",W205-W204)</f>
        <v/>
      </c>
      <c r="Y205" s="161">
        <f>'Datos_fuente'!W205</f>
        <v/>
      </c>
      <c r="Z205" s="161">
        <f>IF(OR(Y205="",Y204=""),"",Y205-Y204)</f>
        <v/>
      </c>
      <c r="AA205" s="160">
        <f>'Datos_fuente'!AB205</f>
        <v/>
      </c>
      <c r="AB205" s="160">
        <f>'Datos_fuente'!AC205</f>
        <v/>
      </c>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f>'Datos_fuente'!A206</f>
        <v/>
      </c>
      <c r="B206" s="160">
        <f>IF('Datos_fuente'!B206="","",LN('Datos_fuente'!B206))</f>
        <v/>
      </c>
      <c r="C206" s="160">
        <f>IF(OR(B206="",B205=""),"",B206-B205)</f>
        <v/>
      </c>
      <c r="D206" s="160">
        <f>IF('Datos_fuente'!C206="","",LN('Datos_fuente'!C206))</f>
        <v/>
      </c>
      <c r="E206" s="160">
        <f>IF(OR(D206="",D205=""),"",D206-D205)</f>
        <v/>
      </c>
      <c r="F206" s="160">
        <f>IF('Datos_fuente'!E206="","",LN('Datos_fuente'!E206))</f>
        <v/>
      </c>
      <c r="G206" s="160">
        <f>IF(OR(F206="",F205=""),"",F206-F205)</f>
        <v/>
      </c>
      <c r="H206" s="161">
        <f>'Datos_fuente'!H206</f>
        <v/>
      </c>
      <c r="I206" s="161">
        <f>IF(OR(H206="",H205=""),"",H206-H205)</f>
        <v/>
      </c>
      <c r="J206" s="161">
        <f>'Datos_fuente'!J206</f>
        <v/>
      </c>
      <c r="K206" s="161">
        <f>IF(OR(J206="",J205=""),"",J206-J205)</f>
        <v/>
      </c>
      <c r="L206" s="160">
        <f>IF('Datos_fuente'!K206="","",LN('Datos_fuente'!K206))</f>
        <v/>
      </c>
      <c r="M206" s="160">
        <f>IF(OR(L206="",L205=""),"",L206-L205)</f>
        <v/>
      </c>
      <c r="N206" s="160">
        <f>IF('Datos_fuente'!L206="","",LN('Datos_fuente'!L206))</f>
        <v/>
      </c>
      <c r="O206" s="160">
        <f>IF(OR(N206="",N205=""),"",N206-N205)</f>
        <v/>
      </c>
      <c r="P206" s="162">
        <f>'Datos_fuente'!M206</f>
        <v/>
      </c>
      <c r="Q206" s="160">
        <f>IF('Datos_fuente'!N206="","",LN('Datos_fuente'!N206))</f>
        <v/>
      </c>
      <c r="R206" s="160">
        <f>IF(OR(Q206="",Q205=""),"",Q206-Q205)</f>
        <v/>
      </c>
      <c r="S206" s="161">
        <f>'Datos_fuente'!P206</f>
        <v/>
      </c>
      <c r="T206" s="161">
        <f>IF(OR(S206="",S205=""),"",S206-S205)</f>
        <v/>
      </c>
      <c r="U206" s="160">
        <f>IF('Datos_fuente'!Q206="","",ASINH('Datos_fuente'!Q206/1000))</f>
        <v/>
      </c>
      <c r="V206" s="160">
        <f>IF(OR(U206="",U205=""),"",U206-U205)</f>
        <v/>
      </c>
      <c r="W206" s="160">
        <f>IF('Datos_fuente'!R206="","",ASINH('Datos_fuente'!R206/1000))</f>
        <v/>
      </c>
      <c r="X206" s="160">
        <f>IF(OR(W206="",W205=""),"",W206-W205)</f>
        <v/>
      </c>
      <c r="Y206" s="161">
        <f>'Datos_fuente'!W206</f>
        <v/>
      </c>
      <c r="Z206" s="161">
        <f>IF(OR(Y206="",Y205=""),"",Y206-Y205)</f>
        <v/>
      </c>
      <c r="AA206" s="160">
        <f>'Datos_fuente'!AB206</f>
        <v/>
      </c>
      <c r="AB206" s="160">
        <f>'Datos_fuente'!AC206</f>
        <v/>
      </c>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f>'Datos_fuente'!A207</f>
        <v/>
      </c>
      <c r="B207" s="160">
        <f>IF('Datos_fuente'!B207="","",LN('Datos_fuente'!B207))</f>
        <v/>
      </c>
      <c r="C207" s="160">
        <f>IF(OR(B207="",B206=""),"",B207-B206)</f>
        <v/>
      </c>
      <c r="D207" s="160">
        <f>IF('Datos_fuente'!C207="","",LN('Datos_fuente'!C207))</f>
        <v/>
      </c>
      <c r="E207" s="160">
        <f>IF(OR(D207="",D206=""),"",D207-D206)</f>
        <v/>
      </c>
      <c r="F207" s="160">
        <f>IF('Datos_fuente'!E207="","",LN('Datos_fuente'!E207))</f>
        <v/>
      </c>
      <c r="G207" s="160">
        <f>IF(OR(F207="",F206=""),"",F207-F206)</f>
        <v/>
      </c>
      <c r="H207" s="161">
        <f>'Datos_fuente'!H207</f>
        <v/>
      </c>
      <c r="I207" s="161">
        <f>IF(OR(H207="",H206=""),"",H207-H206)</f>
        <v/>
      </c>
      <c r="J207" s="161">
        <f>'Datos_fuente'!J207</f>
        <v/>
      </c>
      <c r="K207" s="161">
        <f>IF(OR(J207="",J206=""),"",J207-J206)</f>
        <v/>
      </c>
      <c r="L207" s="160">
        <f>IF('Datos_fuente'!K207="","",LN('Datos_fuente'!K207))</f>
        <v/>
      </c>
      <c r="M207" s="160">
        <f>IF(OR(L207="",L206=""),"",L207-L206)</f>
        <v/>
      </c>
      <c r="N207" s="160">
        <f>IF('Datos_fuente'!L207="","",LN('Datos_fuente'!L207))</f>
        <v/>
      </c>
      <c r="O207" s="160">
        <f>IF(OR(N207="",N206=""),"",N207-N206)</f>
        <v/>
      </c>
      <c r="P207" s="162">
        <f>'Datos_fuente'!M207</f>
        <v/>
      </c>
      <c r="Q207" s="160">
        <f>IF('Datos_fuente'!N207="","",LN('Datos_fuente'!N207))</f>
        <v/>
      </c>
      <c r="R207" s="160">
        <f>IF(OR(Q207="",Q206=""),"",Q207-Q206)</f>
        <v/>
      </c>
      <c r="S207" s="161">
        <f>'Datos_fuente'!P207</f>
        <v/>
      </c>
      <c r="T207" s="161">
        <f>IF(OR(S207="",S206=""),"",S207-S206)</f>
        <v/>
      </c>
      <c r="U207" s="160">
        <f>IF('Datos_fuente'!Q207="","",ASINH('Datos_fuente'!Q207/1000))</f>
        <v/>
      </c>
      <c r="V207" s="160">
        <f>IF(OR(U207="",U206=""),"",U207-U206)</f>
        <v/>
      </c>
      <c r="W207" s="160">
        <f>IF('Datos_fuente'!R207="","",ASINH('Datos_fuente'!R207/1000))</f>
        <v/>
      </c>
      <c r="X207" s="160">
        <f>IF(OR(W207="",W206=""),"",W207-W206)</f>
        <v/>
      </c>
      <c r="Y207" s="161">
        <f>'Datos_fuente'!W207</f>
        <v/>
      </c>
      <c r="Z207" s="161">
        <f>IF(OR(Y207="",Y206=""),"",Y207-Y206)</f>
        <v/>
      </c>
      <c r="AA207" s="160">
        <f>'Datos_fuente'!AB207</f>
        <v/>
      </c>
      <c r="AB207" s="160">
        <f>'Datos_fuente'!AC207</f>
        <v/>
      </c>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f>'Datos_fuente'!A208</f>
        <v/>
      </c>
      <c r="B208" s="160">
        <f>IF('Datos_fuente'!B208="","",LN('Datos_fuente'!B208))</f>
        <v/>
      </c>
      <c r="C208" s="160">
        <f>IF(OR(B208="",B207=""),"",B208-B207)</f>
        <v/>
      </c>
      <c r="D208" s="160">
        <f>IF('Datos_fuente'!C208="","",LN('Datos_fuente'!C208))</f>
        <v/>
      </c>
      <c r="E208" s="160">
        <f>IF(OR(D208="",D207=""),"",D208-D207)</f>
        <v/>
      </c>
      <c r="F208" s="160">
        <f>IF('Datos_fuente'!E208="","",LN('Datos_fuente'!E208))</f>
        <v/>
      </c>
      <c r="G208" s="160">
        <f>IF(OR(F208="",F207=""),"",F208-F207)</f>
        <v/>
      </c>
      <c r="H208" s="161">
        <f>'Datos_fuente'!H208</f>
        <v/>
      </c>
      <c r="I208" s="161">
        <f>IF(OR(H208="",H207=""),"",H208-H207)</f>
        <v/>
      </c>
      <c r="J208" s="161">
        <f>'Datos_fuente'!J208</f>
        <v/>
      </c>
      <c r="K208" s="161">
        <f>IF(OR(J208="",J207=""),"",J208-J207)</f>
        <v/>
      </c>
      <c r="L208" s="160">
        <f>IF('Datos_fuente'!K208="","",LN('Datos_fuente'!K208))</f>
        <v/>
      </c>
      <c r="M208" s="160">
        <f>IF(OR(L208="",L207=""),"",L208-L207)</f>
        <v/>
      </c>
      <c r="N208" s="160">
        <f>IF('Datos_fuente'!L208="","",LN('Datos_fuente'!L208))</f>
        <v/>
      </c>
      <c r="O208" s="160">
        <f>IF(OR(N208="",N207=""),"",N208-N207)</f>
        <v/>
      </c>
      <c r="P208" s="162">
        <f>'Datos_fuente'!M208</f>
        <v/>
      </c>
      <c r="Q208" s="160">
        <f>IF('Datos_fuente'!N208="","",LN('Datos_fuente'!N208))</f>
        <v/>
      </c>
      <c r="R208" s="160">
        <f>IF(OR(Q208="",Q207=""),"",Q208-Q207)</f>
        <v/>
      </c>
      <c r="S208" s="161">
        <f>'Datos_fuente'!P208</f>
        <v/>
      </c>
      <c r="T208" s="161">
        <f>IF(OR(S208="",S207=""),"",S208-S207)</f>
        <v/>
      </c>
      <c r="U208" s="160">
        <f>IF('Datos_fuente'!Q208="","",ASINH('Datos_fuente'!Q208/1000))</f>
        <v/>
      </c>
      <c r="V208" s="160">
        <f>IF(OR(U208="",U207=""),"",U208-U207)</f>
        <v/>
      </c>
      <c r="W208" s="160">
        <f>IF('Datos_fuente'!R208="","",ASINH('Datos_fuente'!R208/1000))</f>
        <v/>
      </c>
      <c r="X208" s="160">
        <f>IF(OR(W208="",W207=""),"",W208-W207)</f>
        <v/>
      </c>
      <c r="Y208" s="161">
        <f>'Datos_fuente'!W208</f>
        <v/>
      </c>
      <c r="Z208" s="161">
        <f>IF(OR(Y208="",Y207=""),"",Y208-Y207)</f>
        <v/>
      </c>
      <c r="AA208" s="160">
        <f>'Datos_fuente'!AB208</f>
        <v/>
      </c>
      <c r="AB208" s="160">
        <f>'Datos_fuente'!AC208</f>
        <v/>
      </c>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f>'Datos_fuente'!A209</f>
        <v/>
      </c>
      <c r="B209" s="160">
        <f>IF('Datos_fuente'!B209="","",LN('Datos_fuente'!B209))</f>
        <v/>
      </c>
      <c r="C209" s="160">
        <f>IF(OR(B209="",B208=""),"",B209-B208)</f>
        <v/>
      </c>
      <c r="D209" s="160">
        <f>IF('Datos_fuente'!C209="","",LN('Datos_fuente'!C209))</f>
        <v/>
      </c>
      <c r="E209" s="160">
        <f>IF(OR(D209="",D208=""),"",D209-D208)</f>
        <v/>
      </c>
      <c r="F209" s="160">
        <f>IF('Datos_fuente'!E209="","",LN('Datos_fuente'!E209))</f>
        <v/>
      </c>
      <c r="G209" s="160">
        <f>IF(OR(F209="",F208=""),"",F209-F208)</f>
        <v/>
      </c>
      <c r="H209" s="161">
        <f>'Datos_fuente'!H209</f>
        <v/>
      </c>
      <c r="I209" s="161">
        <f>IF(OR(H209="",H208=""),"",H209-H208)</f>
        <v/>
      </c>
      <c r="J209" s="161">
        <f>'Datos_fuente'!J209</f>
        <v/>
      </c>
      <c r="K209" s="161">
        <f>IF(OR(J209="",J208=""),"",J209-J208)</f>
        <v/>
      </c>
      <c r="L209" s="160">
        <f>IF('Datos_fuente'!K209="","",LN('Datos_fuente'!K209))</f>
        <v/>
      </c>
      <c r="M209" s="160">
        <f>IF(OR(L209="",L208=""),"",L209-L208)</f>
        <v/>
      </c>
      <c r="N209" s="160">
        <f>IF('Datos_fuente'!L209="","",LN('Datos_fuente'!L209))</f>
        <v/>
      </c>
      <c r="O209" s="160">
        <f>IF(OR(N209="",N208=""),"",N209-N208)</f>
        <v/>
      </c>
      <c r="P209" s="162">
        <f>'Datos_fuente'!M209</f>
        <v/>
      </c>
      <c r="Q209" s="160">
        <f>IF('Datos_fuente'!N209="","",LN('Datos_fuente'!N209))</f>
        <v/>
      </c>
      <c r="R209" s="160">
        <f>IF(OR(Q209="",Q208=""),"",Q209-Q208)</f>
        <v/>
      </c>
      <c r="S209" s="161">
        <f>'Datos_fuente'!P209</f>
        <v/>
      </c>
      <c r="T209" s="161">
        <f>IF(OR(S209="",S208=""),"",S209-S208)</f>
        <v/>
      </c>
      <c r="U209" s="160">
        <f>IF('Datos_fuente'!Q209="","",ASINH('Datos_fuente'!Q209/1000))</f>
        <v/>
      </c>
      <c r="V209" s="160">
        <f>IF(OR(U209="",U208=""),"",U209-U208)</f>
        <v/>
      </c>
      <c r="W209" s="160">
        <f>IF('Datos_fuente'!R209="","",ASINH('Datos_fuente'!R209/1000))</f>
        <v/>
      </c>
      <c r="X209" s="160">
        <f>IF(OR(W209="",W208=""),"",W209-W208)</f>
        <v/>
      </c>
      <c r="Y209" s="161">
        <f>'Datos_fuente'!W209</f>
        <v/>
      </c>
      <c r="Z209" s="161">
        <f>IF(OR(Y209="",Y208=""),"",Y209-Y208)</f>
        <v/>
      </c>
      <c r="AA209" s="160">
        <f>'Datos_fuente'!AB209</f>
        <v/>
      </c>
      <c r="AB209" s="160">
        <f>'Datos_fuente'!AC209</f>
        <v/>
      </c>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f>'Datos_fuente'!A210</f>
        <v/>
      </c>
      <c r="B210" s="160">
        <f>IF('Datos_fuente'!B210="","",LN('Datos_fuente'!B210))</f>
        <v/>
      </c>
      <c r="C210" s="160">
        <f>IF(OR(B210="",B209=""),"",B210-B209)</f>
        <v/>
      </c>
      <c r="D210" s="160">
        <f>IF('Datos_fuente'!C210="","",LN('Datos_fuente'!C210))</f>
        <v/>
      </c>
      <c r="E210" s="160">
        <f>IF(OR(D210="",D209=""),"",D210-D209)</f>
        <v/>
      </c>
      <c r="F210" s="160">
        <f>IF('Datos_fuente'!E210="","",LN('Datos_fuente'!E210))</f>
        <v/>
      </c>
      <c r="G210" s="160">
        <f>IF(OR(F210="",F209=""),"",F210-F209)</f>
        <v/>
      </c>
      <c r="H210" s="161">
        <f>'Datos_fuente'!H210</f>
        <v/>
      </c>
      <c r="I210" s="161">
        <f>IF(OR(H210="",H209=""),"",H210-H209)</f>
        <v/>
      </c>
      <c r="J210" s="161">
        <f>'Datos_fuente'!J210</f>
        <v/>
      </c>
      <c r="K210" s="161">
        <f>IF(OR(J210="",J209=""),"",J210-J209)</f>
        <v/>
      </c>
      <c r="L210" s="160">
        <f>IF('Datos_fuente'!K210="","",LN('Datos_fuente'!K210))</f>
        <v/>
      </c>
      <c r="M210" s="160">
        <f>IF(OR(L210="",L209=""),"",L210-L209)</f>
        <v/>
      </c>
      <c r="N210" s="160">
        <f>IF('Datos_fuente'!L210="","",LN('Datos_fuente'!L210))</f>
        <v/>
      </c>
      <c r="O210" s="160">
        <f>IF(OR(N210="",N209=""),"",N210-N209)</f>
        <v/>
      </c>
      <c r="P210" s="162">
        <f>'Datos_fuente'!M210</f>
        <v/>
      </c>
      <c r="Q210" s="160">
        <f>IF('Datos_fuente'!N210="","",LN('Datos_fuente'!N210))</f>
        <v/>
      </c>
      <c r="R210" s="160">
        <f>IF(OR(Q210="",Q209=""),"",Q210-Q209)</f>
        <v/>
      </c>
      <c r="S210" s="161">
        <f>'Datos_fuente'!P210</f>
        <v/>
      </c>
      <c r="T210" s="161">
        <f>IF(OR(S210="",S209=""),"",S210-S209)</f>
        <v/>
      </c>
      <c r="U210" s="160">
        <f>IF('Datos_fuente'!Q210="","",ASINH('Datos_fuente'!Q210/1000))</f>
        <v/>
      </c>
      <c r="V210" s="160">
        <f>IF(OR(U210="",U209=""),"",U210-U209)</f>
        <v/>
      </c>
      <c r="W210" s="160">
        <f>IF('Datos_fuente'!R210="","",ASINH('Datos_fuente'!R210/1000))</f>
        <v/>
      </c>
      <c r="X210" s="160">
        <f>IF(OR(W210="",W209=""),"",W210-W209)</f>
        <v/>
      </c>
      <c r="Y210" s="161">
        <f>'Datos_fuente'!W210</f>
        <v/>
      </c>
      <c r="Z210" s="161">
        <f>IF(OR(Y210="",Y209=""),"",Y210-Y209)</f>
        <v/>
      </c>
      <c r="AA210" s="160">
        <f>'Datos_fuente'!AB210</f>
        <v/>
      </c>
      <c r="AB210" s="160">
        <f>'Datos_fuente'!AC210</f>
        <v/>
      </c>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f>'Datos_fuente'!A211</f>
        <v/>
      </c>
      <c r="B211" s="160">
        <f>IF('Datos_fuente'!B211="","",LN('Datos_fuente'!B211))</f>
        <v/>
      </c>
      <c r="C211" s="160">
        <f>IF(OR(B211="",B210=""),"",B211-B210)</f>
        <v/>
      </c>
      <c r="D211" s="160">
        <f>IF('Datos_fuente'!C211="","",LN('Datos_fuente'!C211))</f>
        <v/>
      </c>
      <c r="E211" s="160">
        <f>IF(OR(D211="",D210=""),"",D211-D210)</f>
        <v/>
      </c>
      <c r="F211" s="160">
        <f>IF('Datos_fuente'!E211="","",LN('Datos_fuente'!E211))</f>
        <v/>
      </c>
      <c r="G211" s="160">
        <f>IF(OR(F211="",F210=""),"",F211-F210)</f>
        <v/>
      </c>
      <c r="H211" s="161">
        <f>'Datos_fuente'!H211</f>
        <v/>
      </c>
      <c r="I211" s="161">
        <f>IF(OR(H211="",H210=""),"",H211-H210)</f>
        <v/>
      </c>
      <c r="J211" s="161">
        <f>'Datos_fuente'!J211</f>
        <v/>
      </c>
      <c r="K211" s="161">
        <f>IF(OR(J211="",J210=""),"",J211-J210)</f>
        <v/>
      </c>
      <c r="L211" s="160">
        <f>IF('Datos_fuente'!K211="","",LN('Datos_fuente'!K211))</f>
        <v/>
      </c>
      <c r="M211" s="160">
        <f>IF(OR(L211="",L210=""),"",L211-L210)</f>
        <v/>
      </c>
      <c r="N211" s="160">
        <f>IF('Datos_fuente'!L211="","",LN('Datos_fuente'!L211))</f>
        <v/>
      </c>
      <c r="O211" s="160">
        <f>IF(OR(N211="",N210=""),"",N211-N210)</f>
        <v/>
      </c>
      <c r="P211" s="162">
        <f>'Datos_fuente'!M211</f>
        <v/>
      </c>
      <c r="Q211" s="160">
        <f>IF('Datos_fuente'!N211="","",LN('Datos_fuente'!N211))</f>
        <v/>
      </c>
      <c r="R211" s="160">
        <f>IF(OR(Q211="",Q210=""),"",Q211-Q210)</f>
        <v/>
      </c>
      <c r="S211" s="161">
        <f>'Datos_fuente'!P211</f>
        <v/>
      </c>
      <c r="T211" s="161">
        <f>IF(OR(S211="",S210=""),"",S211-S210)</f>
        <v/>
      </c>
      <c r="U211" s="160">
        <f>IF('Datos_fuente'!Q211="","",ASINH('Datos_fuente'!Q211/1000))</f>
        <v/>
      </c>
      <c r="V211" s="160">
        <f>IF(OR(U211="",U210=""),"",U211-U210)</f>
        <v/>
      </c>
      <c r="W211" s="160">
        <f>IF('Datos_fuente'!R211="","",ASINH('Datos_fuente'!R211/1000))</f>
        <v/>
      </c>
      <c r="X211" s="160">
        <f>IF(OR(W211="",W210=""),"",W211-W210)</f>
        <v/>
      </c>
      <c r="Y211" s="161">
        <f>'Datos_fuente'!W211</f>
        <v/>
      </c>
      <c r="Z211" s="161">
        <f>IF(OR(Y211="",Y210=""),"",Y211-Y210)</f>
        <v/>
      </c>
      <c r="AA211" s="160">
        <f>'Datos_fuente'!AB211</f>
        <v/>
      </c>
      <c r="AB211" s="160">
        <f>'Datos_fuente'!AC211</f>
        <v/>
      </c>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f>'Datos_fuente'!A212</f>
        <v/>
      </c>
      <c r="B212" s="160">
        <f>IF('Datos_fuente'!B212="","",LN('Datos_fuente'!B212))</f>
        <v/>
      </c>
      <c r="C212" s="160">
        <f>IF(OR(B212="",B211=""),"",B212-B211)</f>
        <v/>
      </c>
      <c r="D212" s="160">
        <f>IF('Datos_fuente'!C212="","",LN('Datos_fuente'!C212))</f>
        <v/>
      </c>
      <c r="E212" s="160">
        <f>IF(OR(D212="",D211=""),"",D212-D211)</f>
        <v/>
      </c>
      <c r="F212" s="160">
        <f>IF('Datos_fuente'!E212="","",LN('Datos_fuente'!E212))</f>
        <v/>
      </c>
      <c r="G212" s="160">
        <f>IF(OR(F212="",F211=""),"",F212-F211)</f>
        <v/>
      </c>
      <c r="H212" s="161">
        <f>'Datos_fuente'!H212</f>
        <v/>
      </c>
      <c r="I212" s="161">
        <f>IF(OR(H212="",H211=""),"",H212-H211)</f>
        <v/>
      </c>
      <c r="J212" s="161">
        <f>'Datos_fuente'!J212</f>
        <v/>
      </c>
      <c r="K212" s="161">
        <f>IF(OR(J212="",J211=""),"",J212-J211)</f>
        <v/>
      </c>
      <c r="L212" s="160">
        <f>IF('Datos_fuente'!K212="","",LN('Datos_fuente'!K212))</f>
        <v/>
      </c>
      <c r="M212" s="160">
        <f>IF(OR(L212="",L211=""),"",L212-L211)</f>
        <v/>
      </c>
      <c r="N212" s="160">
        <f>IF('Datos_fuente'!L212="","",LN('Datos_fuente'!L212))</f>
        <v/>
      </c>
      <c r="O212" s="160">
        <f>IF(OR(N212="",N211=""),"",N212-N211)</f>
        <v/>
      </c>
      <c r="P212" s="162">
        <f>'Datos_fuente'!M212</f>
        <v/>
      </c>
      <c r="Q212" s="160">
        <f>IF('Datos_fuente'!N212="","",LN('Datos_fuente'!N212))</f>
        <v/>
      </c>
      <c r="R212" s="160">
        <f>IF(OR(Q212="",Q211=""),"",Q212-Q211)</f>
        <v/>
      </c>
      <c r="S212" s="161">
        <f>'Datos_fuente'!P212</f>
        <v/>
      </c>
      <c r="T212" s="161">
        <f>IF(OR(S212="",S211=""),"",S212-S211)</f>
        <v/>
      </c>
      <c r="U212" s="160">
        <f>IF('Datos_fuente'!Q212="","",ASINH('Datos_fuente'!Q212/1000))</f>
        <v/>
      </c>
      <c r="V212" s="160">
        <f>IF(OR(U212="",U211=""),"",U212-U211)</f>
        <v/>
      </c>
      <c r="W212" s="160">
        <f>IF('Datos_fuente'!R212="","",ASINH('Datos_fuente'!R212/1000))</f>
        <v/>
      </c>
      <c r="X212" s="160">
        <f>IF(OR(W212="",W211=""),"",W212-W211)</f>
        <v/>
      </c>
      <c r="Y212" s="161">
        <f>'Datos_fuente'!W212</f>
        <v/>
      </c>
      <c r="Z212" s="161">
        <f>IF(OR(Y212="",Y211=""),"",Y212-Y211)</f>
        <v/>
      </c>
      <c r="AA212" s="160">
        <f>'Datos_fuente'!AB212</f>
        <v/>
      </c>
      <c r="AB212" s="160">
        <f>'Datos_fuente'!AC212</f>
        <v/>
      </c>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f>'Datos_fuente'!A213</f>
        <v/>
      </c>
      <c r="B213" s="160">
        <f>IF('Datos_fuente'!B213="","",LN('Datos_fuente'!B213))</f>
        <v/>
      </c>
      <c r="C213" s="160">
        <f>IF(OR(B213="",B212=""),"",B213-B212)</f>
        <v/>
      </c>
      <c r="D213" s="160">
        <f>IF('Datos_fuente'!C213="","",LN('Datos_fuente'!C213))</f>
        <v/>
      </c>
      <c r="E213" s="160">
        <f>IF(OR(D213="",D212=""),"",D213-D212)</f>
        <v/>
      </c>
      <c r="F213" s="160">
        <f>IF('Datos_fuente'!E213="","",LN('Datos_fuente'!E213))</f>
        <v/>
      </c>
      <c r="G213" s="160">
        <f>IF(OR(F213="",F212=""),"",F213-F212)</f>
        <v/>
      </c>
      <c r="H213" s="161">
        <f>'Datos_fuente'!H213</f>
        <v/>
      </c>
      <c r="I213" s="161">
        <f>IF(OR(H213="",H212=""),"",H213-H212)</f>
        <v/>
      </c>
      <c r="J213" s="161">
        <f>'Datos_fuente'!J213</f>
        <v/>
      </c>
      <c r="K213" s="161">
        <f>IF(OR(J213="",J212=""),"",J213-J212)</f>
        <v/>
      </c>
      <c r="L213" s="160">
        <f>IF('Datos_fuente'!K213="","",LN('Datos_fuente'!K213))</f>
        <v/>
      </c>
      <c r="M213" s="160">
        <f>IF(OR(L213="",L212=""),"",L213-L212)</f>
        <v/>
      </c>
      <c r="N213" s="160">
        <f>IF('Datos_fuente'!L213="","",LN('Datos_fuente'!L213))</f>
        <v/>
      </c>
      <c r="O213" s="160">
        <f>IF(OR(N213="",N212=""),"",N213-N212)</f>
        <v/>
      </c>
      <c r="P213" s="162">
        <f>'Datos_fuente'!M213</f>
        <v/>
      </c>
      <c r="Q213" s="160">
        <f>IF('Datos_fuente'!N213="","",LN('Datos_fuente'!N213))</f>
        <v/>
      </c>
      <c r="R213" s="160">
        <f>IF(OR(Q213="",Q212=""),"",Q213-Q212)</f>
        <v/>
      </c>
      <c r="S213" s="161">
        <f>'Datos_fuente'!P213</f>
        <v/>
      </c>
      <c r="T213" s="161">
        <f>IF(OR(S213="",S212=""),"",S213-S212)</f>
        <v/>
      </c>
      <c r="U213" s="160">
        <f>IF('Datos_fuente'!Q213="","",ASINH('Datos_fuente'!Q213/1000))</f>
        <v/>
      </c>
      <c r="V213" s="160">
        <f>IF(OR(U213="",U212=""),"",U213-U212)</f>
        <v/>
      </c>
      <c r="W213" s="160">
        <f>IF('Datos_fuente'!R213="","",ASINH('Datos_fuente'!R213/1000))</f>
        <v/>
      </c>
      <c r="X213" s="160">
        <f>IF(OR(W213="",W212=""),"",W213-W212)</f>
        <v/>
      </c>
      <c r="Y213" s="161">
        <f>'Datos_fuente'!W213</f>
        <v/>
      </c>
      <c r="Z213" s="161">
        <f>IF(OR(Y213="",Y212=""),"",Y213-Y212)</f>
        <v/>
      </c>
      <c r="AA213" s="160">
        <f>'Datos_fuente'!AB213</f>
        <v/>
      </c>
      <c r="AB213" s="160">
        <f>'Datos_fuente'!AC213</f>
        <v/>
      </c>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f>'Datos_fuente'!A214</f>
        <v/>
      </c>
      <c r="B214" s="160">
        <f>IF('Datos_fuente'!B214="","",LN('Datos_fuente'!B214))</f>
        <v/>
      </c>
      <c r="C214" s="160">
        <f>IF(OR(B214="",B213=""),"",B214-B213)</f>
        <v/>
      </c>
      <c r="D214" s="160">
        <f>IF('Datos_fuente'!C214="","",LN('Datos_fuente'!C214))</f>
        <v/>
      </c>
      <c r="E214" s="160">
        <f>IF(OR(D214="",D213=""),"",D214-D213)</f>
        <v/>
      </c>
      <c r="F214" s="160">
        <f>IF('Datos_fuente'!E214="","",LN('Datos_fuente'!E214))</f>
        <v/>
      </c>
      <c r="G214" s="160">
        <f>IF(OR(F214="",F213=""),"",F214-F213)</f>
        <v/>
      </c>
      <c r="H214" s="161">
        <f>'Datos_fuente'!H214</f>
        <v/>
      </c>
      <c r="I214" s="161">
        <f>IF(OR(H214="",H213=""),"",H214-H213)</f>
        <v/>
      </c>
      <c r="J214" s="161">
        <f>'Datos_fuente'!J214</f>
        <v/>
      </c>
      <c r="K214" s="161">
        <f>IF(OR(J214="",J213=""),"",J214-J213)</f>
        <v/>
      </c>
      <c r="L214" s="160">
        <f>IF('Datos_fuente'!K214="","",LN('Datos_fuente'!K214))</f>
        <v/>
      </c>
      <c r="M214" s="160">
        <f>IF(OR(L214="",L213=""),"",L214-L213)</f>
        <v/>
      </c>
      <c r="N214" s="160">
        <f>IF('Datos_fuente'!L214="","",LN('Datos_fuente'!L214))</f>
        <v/>
      </c>
      <c r="O214" s="160">
        <f>IF(OR(N214="",N213=""),"",N214-N213)</f>
        <v/>
      </c>
      <c r="P214" s="162">
        <f>'Datos_fuente'!M214</f>
        <v/>
      </c>
      <c r="Q214" s="160">
        <f>IF('Datos_fuente'!N214="","",LN('Datos_fuente'!N214))</f>
        <v/>
      </c>
      <c r="R214" s="160">
        <f>IF(OR(Q214="",Q213=""),"",Q214-Q213)</f>
        <v/>
      </c>
      <c r="S214" s="161">
        <f>'Datos_fuente'!P214</f>
        <v/>
      </c>
      <c r="T214" s="161">
        <f>IF(OR(S214="",S213=""),"",S214-S213)</f>
        <v/>
      </c>
      <c r="U214" s="160">
        <f>IF('Datos_fuente'!Q214="","",ASINH('Datos_fuente'!Q214/1000))</f>
        <v/>
      </c>
      <c r="V214" s="160">
        <f>IF(OR(U214="",U213=""),"",U214-U213)</f>
        <v/>
      </c>
      <c r="W214" s="160">
        <f>IF('Datos_fuente'!R214="","",ASINH('Datos_fuente'!R214/1000))</f>
        <v/>
      </c>
      <c r="X214" s="160">
        <f>IF(OR(W214="",W213=""),"",W214-W213)</f>
        <v/>
      </c>
      <c r="Y214" s="161">
        <f>'Datos_fuente'!W214</f>
        <v/>
      </c>
      <c r="Z214" s="161">
        <f>IF(OR(Y214="",Y213=""),"",Y214-Y213)</f>
        <v/>
      </c>
      <c r="AA214" s="160">
        <f>'Datos_fuente'!AB214</f>
        <v/>
      </c>
      <c r="AB214" s="160">
        <f>'Datos_fuente'!AC214</f>
        <v/>
      </c>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f>'Datos_fuente'!A215</f>
        <v/>
      </c>
      <c r="B215" s="160">
        <f>IF('Datos_fuente'!B215="","",LN('Datos_fuente'!B215))</f>
        <v/>
      </c>
      <c r="C215" s="160">
        <f>IF(OR(B215="",B214=""),"",B215-B214)</f>
        <v/>
      </c>
      <c r="D215" s="160">
        <f>IF('Datos_fuente'!C215="","",LN('Datos_fuente'!C215))</f>
        <v/>
      </c>
      <c r="E215" s="160">
        <f>IF(OR(D215="",D214=""),"",D215-D214)</f>
        <v/>
      </c>
      <c r="F215" s="160">
        <f>IF('Datos_fuente'!E215="","",LN('Datos_fuente'!E215))</f>
        <v/>
      </c>
      <c r="G215" s="160">
        <f>IF(OR(F215="",F214=""),"",F215-F214)</f>
        <v/>
      </c>
      <c r="H215" s="161">
        <f>'Datos_fuente'!H215</f>
        <v/>
      </c>
      <c r="I215" s="161">
        <f>IF(OR(H215="",H214=""),"",H215-H214)</f>
        <v/>
      </c>
      <c r="J215" s="161">
        <f>'Datos_fuente'!J215</f>
        <v/>
      </c>
      <c r="K215" s="161">
        <f>IF(OR(J215="",J214=""),"",J215-J214)</f>
        <v/>
      </c>
      <c r="L215" s="160">
        <f>IF('Datos_fuente'!K215="","",LN('Datos_fuente'!K215))</f>
        <v/>
      </c>
      <c r="M215" s="160">
        <f>IF(OR(L215="",L214=""),"",L215-L214)</f>
        <v/>
      </c>
      <c r="N215" s="160">
        <f>IF('Datos_fuente'!L215="","",LN('Datos_fuente'!L215))</f>
        <v/>
      </c>
      <c r="O215" s="160">
        <f>IF(OR(N215="",N214=""),"",N215-N214)</f>
        <v/>
      </c>
      <c r="P215" s="162">
        <f>'Datos_fuente'!M215</f>
        <v/>
      </c>
      <c r="Q215" s="160">
        <f>IF('Datos_fuente'!N215="","",LN('Datos_fuente'!N215))</f>
        <v/>
      </c>
      <c r="R215" s="160">
        <f>IF(OR(Q215="",Q214=""),"",Q215-Q214)</f>
        <v/>
      </c>
      <c r="S215" s="161">
        <f>'Datos_fuente'!P215</f>
        <v/>
      </c>
      <c r="T215" s="161">
        <f>IF(OR(S215="",S214=""),"",S215-S214)</f>
        <v/>
      </c>
      <c r="U215" s="160">
        <f>IF('Datos_fuente'!Q215="","",ASINH('Datos_fuente'!Q215/1000))</f>
        <v/>
      </c>
      <c r="V215" s="160">
        <f>IF(OR(U215="",U214=""),"",U215-U214)</f>
        <v/>
      </c>
      <c r="W215" s="160">
        <f>IF('Datos_fuente'!R215="","",ASINH('Datos_fuente'!R215/1000))</f>
        <v/>
      </c>
      <c r="X215" s="160">
        <f>IF(OR(W215="",W214=""),"",W215-W214)</f>
        <v/>
      </c>
      <c r="Y215" s="161">
        <f>'Datos_fuente'!W215</f>
        <v/>
      </c>
      <c r="Z215" s="161">
        <f>IF(OR(Y215="",Y214=""),"",Y215-Y214)</f>
        <v/>
      </c>
      <c r="AA215" s="160">
        <f>'Datos_fuente'!AB215</f>
        <v/>
      </c>
      <c r="AB215" s="160">
        <f>'Datos_fuente'!AC215</f>
        <v/>
      </c>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f>'Datos_fuente'!A216</f>
        <v/>
      </c>
      <c r="B216" s="160">
        <f>IF('Datos_fuente'!B216="","",LN('Datos_fuente'!B216))</f>
        <v/>
      </c>
      <c r="C216" s="160">
        <f>IF(OR(B216="",B215=""),"",B216-B215)</f>
        <v/>
      </c>
      <c r="D216" s="160">
        <f>IF('Datos_fuente'!C216="","",LN('Datos_fuente'!C216))</f>
        <v/>
      </c>
      <c r="E216" s="160">
        <f>IF(OR(D216="",D215=""),"",D216-D215)</f>
        <v/>
      </c>
      <c r="F216" s="160">
        <f>IF('Datos_fuente'!E216="","",LN('Datos_fuente'!E216))</f>
        <v/>
      </c>
      <c r="G216" s="160">
        <f>IF(OR(F216="",F215=""),"",F216-F215)</f>
        <v/>
      </c>
      <c r="H216" s="161">
        <f>'Datos_fuente'!H216</f>
        <v/>
      </c>
      <c r="I216" s="161">
        <f>IF(OR(H216="",H215=""),"",H216-H215)</f>
        <v/>
      </c>
      <c r="J216" s="161">
        <f>'Datos_fuente'!J216</f>
        <v/>
      </c>
      <c r="K216" s="161">
        <f>IF(OR(J216="",J215=""),"",J216-J215)</f>
        <v/>
      </c>
      <c r="L216" s="160">
        <f>IF('Datos_fuente'!K216="","",LN('Datos_fuente'!K216))</f>
        <v/>
      </c>
      <c r="M216" s="160">
        <f>IF(OR(L216="",L215=""),"",L216-L215)</f>
        <v/>
      </c>
      <c r="N216" s="160">
        <f>IF('Datos_fuente'!L216="","",LN('Datos_fuente'!L216))</f>
        <v/>
      </c>
      <c r="O216" s="160">
        <f>IF(OR(N216="",N215=""),"",N216-N215)</f>
        <v/>
      </c>
      <c r="P216" s="162">
        <f>'Datos_fuente'!M216</f>
        <v/>
      </c>
      <c r="Q216" s="160">
        <f>IF('Datos_fuente'!N216="","",LN('Datos_fuente'!N216))</f>
        <v/>
      </c>
      <c r="R216" s="160">
        <f>IF(OR(Q216="",Q215=""),"",Q216-Q215)</f>
        <v/>
      </c>
      <c r="S216" s="161">
        <f>'Datos_fuente'!P216</f>
        <v/>
      </c>
      <c r="T216" s="161">
        <f>IF(OR(S216="",S215=""),"",S216-S215)</f>
        <v/>
      </c>
      <c r="U216" s="160">
        <f>IF('Datos_fuente'!Q216="","",ASINH('Datos_fuente'!Q216/1000))</f>
        <v/>
      </c>
      <c r="V216" s="160">
        <f>IF(OR(U216="",U215=""),"",U216-U215)</f>
        <v/>
      </c>
      <c r="W216" s="160">
        <f>IF('Datos_fuente'!R216="","",ASINH('Datos_fuente'!R216/1000))</f>
        <v/>
      </c>
      <c r="X216" s="160">
        <f>IF(OR(W216="",W215=""),"",W216-W215)</f>
        <v/>
      </c>
      <c r="Y216" s="161">
        <f>'Datos_fuente'!W216</f>
        <v/>
      </c>
      <c r="Z216" s="161">
        <f>IF(OR(Y216="",Y215=""),"",Y216-Y215)</f>
        <v/>
      </c>
      <c r="AA216" s="160">
        <f>'Datos_fuente'!AB216</f>
        <v/>
      </c>
      <c r="AB216" s="160">
        <f>'Datos_fuente'!AC216</f>
        <v/>
      </c>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f>'Datos_fuente'!A217</f>
        <v/>
      </c>
      <c r="B217" s="160">
        <f>IF('Datos_fuente'!B217="","",LN('Datos_fuente'!B217))</f>
        <v/>
      </c>
      <c r="C217" s="160">
        <f>IF(OR(B217="",B216=""),"",B217-B216)</f>
        <v/>
      </c>
      <c r="D217" s="160">
        <f>IF('Datos_fuente'!C217="","",LN('Datos_fuente'!C217))</f>
        <v/>
      </c>
      <c r="E217" s="160">
        <f>IF(OR(D217="",D216=""),"",D217-D216)</f>
        <v/>
      </c>
      <c r="F217" s="160">
        <f>IF('Datos_fuente'!E217="","",LN('Datos_fuente'!E217))</f>
        <v/>
      </c>
      <c r="G217" s="160">
        <f>IF(OR(F217="",F216=""),"",F217-F216)</f>
        <v/>
      </c>
      <c r="H217" s="161">
        <f>'Datos_fuente'!H217</f>
        <v/>
      </c>
      <c r="I217" s="161">
        <f>IF(OR(H217="",H216=""),"",H217-H216)</f>
        <v/>
      </c>
      <c r="J217" s="161">
        <f>'Datos_fuente'!J217</f>
        <v/>
      </c>
      <c r="K217" s="161">
        <f>IF(OR(J217="",J216=""),"",J217-J216)</f>
        <v/>
      </c>
      <c r="L217" s="160">
        <f>IF('Datos_fuente'!K217="","",LN('Datos_fuente'!K217))</f>
        <v/>
      </c>
      <c r="M217" s="160">
        <f>IF(OR(L217="",L216=""),"",L217-L216)</f>
        <v/>
      </c>
      <c r="N217" s="160">
        <f>IF('Datos_fuente'!L217="","",LN('Datos_fuente'!L217))</f>
        <v/>
      </c>
      <c r="O217" s="160">
        <f>IF(OR(N217="",N216=""),"",N217-N216)</f>
        <v/>
      </c>
      <c r="P217" s="162">
        <f>'Datos_fuente'!M217</f>
        <v/>
      </c>
      <c r="Q217" s="160">
        <f>IF('Datos_fuente'!N217="","",LN('Datos_fuente'!N217))</f>
        <v/>
      </c>
      <c r="R217" s="160">
        <f>IF(OR(Q217="",Q216=""),"",Q217-Q216)</f>
        <v/>
      </c>
      <c r="S217" s="161">
        <f>'Datos_fuente'!P217</f>
        <v/>
      </c>
      <c r="T217" s="161">
        <f>IF(OR(S217="",S216=""),"",S217-S216)</f>
        <v/>
      </c>
      <c r="U217" s="160">
        <f>IF('Datos_fuente'!Q217="","",ASINH('Datos_fuente'!Q217/1000))</f>
        <v/>
      </c>
      <c r="V217" s="160">
        <f>IF(OR(U217="",U216=""),"",U217-U216)</f>
        <v/>
      </c>
      <c r="W217" s="160">
        <f>IF('Datos_fuente'!R217="","",ASINH('Datos_fuente'!R217/1000))</f>
        <v/>
      </c>
      <c r="X217" s="160">
        <f>IF(OR(W217="",W216=""),"",W217-W216)</f>
        <v/>
      </c>
      <c r="Y217" s="161">
        <f>'Datos_fuente'!W217</f>
        <v/>
      </c>
      <c r="Z217" s="161">
        <f>IF(OR(Y217="",Y216=""),"",Y217-Y216)</f>
        <v/>
      </c>
      <c r="AA217" s="160">
        <f>'Datos_fuente'!AB217</f>
        <v/>
      </c>
      <c r="AB217" s="160">
        <f>'Datos_fuente'!AC217</f>
        <v/>
      </c>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f>'Datos_fuente'!A218</f>
        <v/>
      </c>
      <c r="B218" s="160">
        <f>IF('Datos_fuente'!B218="","",LN('Datos_fuente'!B218))</f>
        <v/>
      </c>
      <c r="C218" s="160">
        <f>IF(OR(B218="",B217=""),"",B218-B217)</f>
        <v/>
      </c>
      <c r="D218" s="160">
        <f>IF('Datos_fuente'!C218="","",LN('Datos_fuente'!C218))</f>
        <v/>
      </c>
      <c r="E218" s="160">
        <f>IF(OR(D218="",D217=""),"",D218-D217)</f>
        <v/>
      </c>
      <c r="F218" s="160">
        <f>IF('Datos_fuente'!E218="","",LN('Datos_fuente'!E218))</f>
        <v/>
      </c>
      <c r="G218" s="160">
        <f>IF(OR(F218="",F217=""),"",F218-F217)</f>
        <v/>
      </c>
      <c r="H218" s="161">
        <f>'Datos_fuente'!H218</f>
        <v/>
      </c>
      <c r="I218" s="161">
        <f>IF(OR(H218="",H217=""),"",H218-H217)</f>
        <v/>
      </c>
      <c r="J218" s="161">
        <f>'Datos_fuente'!J218</f>
        <v/>
      </c>
      <c r="K218" s="161">
        <f>IF(OR(J218="",J217=""),"",J218-J217)</f>
        <v/>
      </c>
      <c r="L218" s="160">
        <f>IF('Datos_fuente'!K218="","",LN('Datos_fuente'!K218))</f>
        <v/>
      </c>
      <c r="M218" s="160">
        <f>IF(OR(L218="",L217=""),"",L218-L217)</f>
        <v/>
      </c>
      <c r="N218" s="160">
        <f>IF('Datos_fuente'!L218="","",LN('Datos_fuente'!L218))</f>
        <v/>
      </c>
      <c r="O218" s="160">
        <f>IF(OR(N218="",N217=""),"",N218-N217)</f>
        <v/>
      </c>
      <c r="P218" s="162">
        <f>'Datos_fuente'!M218</f>
        <v/>
      </c>
      <c r="Q218" s="160">
        <f>IF('Datos_fuente'!N218="","",LN('Datos_fuente'!N218))</f>
        <v/>
      </c>
      <c r="R218" s="160">
        <f>IF(OR(Q218="",Q217=""),"",Q218-Q217)</f>
        <v/>
      </c>
      <c r="S218" s="161">
        <f>'Datos_fuente'!P218</f>
        <v/>
      </c>
      <c r="T218" s="161">
        <f>IF(OR(S218="",S217=""),"",S218-S217)</f>
        <v/>
      </c>
      <c r="U218" s="160">
        <f>IF('Datos_fuente'!Q218="","",ASINH('Datos_fuente'!Q218/1000))</f>
        <v/>
      </c>
      <c r="V218" s="160">
        <f>IF(OR(U218="",U217=""),"",U218-U217)</f>
        <v/>
      </c>
      <c r="W218" s="160">
        <f>IF('Datos_fuente'!R218="","",ASINH('Datos_fuente'!R218/1000))</f>
        <v/>
      </c>
      <c r="X218" s="160">
        <f>IF(OR(W218="",W217=""),"",W218-W217)</f>
        <v/>
      </c>
      <c r="Y218" s="161">
        <f>'Datos_fuente'!W218</f>
        <v/>
      </c>
      <c r="Z218" s="161">
        <f>IF(OR(Y218="",Y217=""),"",Y218-Y217)</f>
        <v/>
      </c>
      <c r="AA218" s="160">
        <f>'Datos_fuente'!AB218</f>
        <v/>
      </c>
      <c r="AB218" s="160">
        <f>'Datos_fuente'!AC218</f>
        <v/>
      </c>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f>'Datos_fuente'!A219</f>
        <v/>
      </c>
      <c r="B219" s="160">
        <f>IF('Datos_fuente'!B219="","",LN('Datos_fuente'!B219))</f>
        <v/>
      </c>
      <c r="C219" s="160">
        <f>IF(OR(B219="",B218=""),"",B219-B218)</f>
        <v/>
      </c>
      <c r="D219" s="160">
        <f>IF('Datos_fuente'!C219="","",LN('Datos_fuente'!C219))</f>
        <v/>
      </c>
      <c r="E219" s="160">
        <f>IF(OR(D219="",D218=""),"",D219-D218)</f>
        <v/>
      </c>
      <c r="F219" s="160">
        <f>IF('Datos_fuente'!E219="","",LN('Datos_fuente'!E219))</f>
        <v/>
      </c>
      <c r="G219" s="160">
        <f>IF(OR(F219="",F218=""),"",F219-F218)</f>
        <v/>
      </c>
      <c r="H219" s="161">
        <f>'Datos_fuente'!H219</f>
        <v/>
      </c>
      <c r="I219" s="161">
        <f>IF(OR(H219="",H218=""),"",H219-H218)</f>
        <v/>
      </c>
      <c r="J219" s="161">
        <f>'Datos_fuente'!J219</f>
        <v/>
      </c>
      <c r="K219" s="161">
        <f>IF(OR(J219="",J218=""),"",J219-J218)</f>
        <v/>
      </c>
      <c r="L219" s="160">
        <f>IF('Datos_fuente'!K219="","",LN('Datos_fuente'!K219))</f>
        <v/>
      </c>
      <c r="M219" s="160">
        <f>IF(OR(L219="",L218=""),"",L219-L218)</f>
        <v/>
      </c>
      <c r="N219" s="160">
        <f>IF('Datos_fuente'!L219="","",LN('Datos_fuente'!L219))</f>
        <v/>
      </c>
      <c r="O219" s="160">
        <f>IF(OR(N219="",N218=""),"",N219-N218)</f>
        <v/>
      </c>
      <c r="P219" s="162">
        <f>'Datos_fuente'!M219</f>
        <v/>
      </c>
      <c r="Q219" s="160">
        <f>IF('Datos_fuente'!N219="","",LN('Datos_fuente'!N219))</f>
        <v/>
      </c>
      <c r="R219" s="160">
        <f>IF(OR(Q219="",Q218=""),"",Q219-Q218)</f>
        <v/>
      </c>
      <c r="S219" s="161">
        <f>'Datos_fuente'!P219</f>
        <v/>
      </c>
      <c r="T219" s="161">
        <f>IF(OR(S219="",S218=""),"",S219-S218)</f>
        <v/>
      </c>
      <c r="U219" s="160">
        <f>IF('Datos_fuente'!Q219="","",ASINH('Datos_fuente'!Q219/1000))</f>
        <v/>
      </c>
      <c r="V219" s="160">
        <f>IF(OR(U219="",U218=""),"",U219-U218)</f>
        <v/>
      </c>
      <c r="W219" s="160">
        <f>IF('Datos_fuente'!R219="","",ASINH('Datos_fuente'!R219/1000))</f>
        <v/>
      </c>
      <c r="X219" s="160">
        <f>IF(OR(W219="",W218=""),"",W219-W218)</f>
        <v/>
      </c>
      <c r="Y219" s="161">
        <f>'Datos_fuente'!W219</f>
        <v/>
      </c>
      <c r="Z219" s="161">
        <f>IF(OR(Y219="",Y218=""),"",Y219-Y218)</f>
        <v/>
      </c>
      <c r="AA219" s="160">
        <f>'Datos_fuente'!AB219</f>
        <v/>
      </c>
      <c r="AB219" s="160">
        <f>'Datos_fuente'!AC219</f>
        <v/>
      </c>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f>'Datos_fuente'!A220</f>
        <v/>
      </c>
      <c r="B220" s="160">
        <f>IF('Datos_fuente'!B220="","",LN('Datos_fuente'!B220))</f>
        <v/>
      </c>
      <c r="C220" s="160">
        <f>IF(OR(B220="",B219=""),"",B220-B219)</f>
        <v/>
      </c>
      <c r="D220" s="160">
        <f>IF('Datos_fuente'!C220="","",LN('Datos_fuente'!C220))</f>
        <v/>
      </c>
      <c r="E220" s="160">
        <f>IF(OR(D220="",D219=""),"",D220-D219)</f>
        <v/>
      </c>
      <c r="F220" s="160">
        <f>IF('Datos_fuente'!E220="","",LN('Datos_fuente'!E220))</f>
        <v/>
      </c>
      <c r="G220" s="160">
        <f>IF(OR(F220="",F219=""),"",F220-F219)</f>
        <v/>
      </c>
      <c r="H220" s="161">
        <f>'Datos_fuente'!H220</f>
        <v/>
      </c>
      <c r="I220" s="161">
        <f>IF(OR(H220="",H219=""),"",H220-H219)</f>
        <v/>
      </c>
      <c r="J220" s="161">
        <f>'Datos_fuente'!J220</f>
        <v/>
      </c>
      <c r="K220" s="161">
        <f>IF(OR(J220="",J219=""),"",J220-J219)</f>
        <v/>
      </c>
      <c r="L220" s="160">
        <f>IF('Datos_fuente'!K220="","",LN('Datos_fuente'!K220))</f>
        <v/>
      </c>
      <c r="M220" s="160">
        <f>IF(OR(L220="",L219=""),"",L220-L219)</f>
        <v/>
      </c>
      <c r="N220" s="160">
        <f>IF('Datos_fuente'!L220="","",LN('Datos_fuente'!L220))</f>
        <v/>
      </c>
      <c r="O220" s="160">
        <f>IF(OR(N220="",N219=""),"",N220-N219)</f>
        <v/>
      </c>
      <c r="P220" s="162">
        <f>'Datos_fuente'!M220</f>
        <v/>
      </c>
      <c r="Q220" s="160">
        <f>IF('Datos_fuente'!N220="","",LN('Datos_fuente'!N220))</f>
        <v/>
      </c>
      <c r="R220" s="160">
        <f>IF(OR(Q220="",Q219=""),"",Q220-Q219)</f>
        <v/>
      </c>
      <c r="S220" s="161">
        <f>'Datos_fuente'!P220</f>
        <v/>
      </c>
      <c r="T220" s="161">
        <f>IF(OR(S220="",S219=""),"",S220-S219)</f>
        <v/>
      </c>
      <c r="U220" s="160">
        <f>IF('Datos_fuente'!Q220="","",ASINH('Datos_fuente'!Q220/1000))</f>
        <v/>
      </c>
      <c r="V220" s="160">
        <f>IF(OR(U220="",U219=""),"",U220-U219)</f>
        <v/>
      </c>
      <c r="W220" s="160">
        <f>IF('Datos_fuente'!R220="","",ASINH('Datos_fuente'!R220/1000))</f>
        <v/>
      </c>
      <c r="X220" s="160">
        <f>IF(OR(W220="",W219=""),"",W220-W219)</f>
        <v/>
      </c>
      <c r="Y220" s="161">
        <f>'Datos_fuente'!W220</f>
        <v/>
      </c>
      <c r="Z220" s="161">
        <f>IF(OR(Y220="",Y219=""),"",Y220-Y219)</f>
        <v/>
      </c>
      <c r="AA220" s="160">
        <f>'Datos_fuente'!AB220</f>
        <v/>
      </c>
      <c r="AB220" s="160">
        <f>'Datos_fuente'!AC220</f>
        <v/>
      </c>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f>'Datos_fuente'!A221</f>
        <v/>
      </c>
      <c r="B221" s="160">
        <f>IF('Datos_fuente'!B221="","",LN('Datos_fuente'!B221))</f>
        <v/>
      </c>
      <c r="C221" s="160">
        <f>IF(OR(B221="",B220=""),"",B221-B220)</f>
        <v/>
      </c>
      <c r="D221" s="160">
        <f>IF('Datos_fuente'!C221="","",LN('Datos_fuente'!C221))</f>
        <v/>
      </c>
      <c r="E221" s="160">
        <f>IF(OR(D221="",D220=""),"",D221-D220)</f>
        <v/>
      </c>
      <c r="F221" s="160">
        <f>IF('Datos_fuente'!E221="","",LN('Datos_fuente'!E221))</f>
        <v/>
      </c>
      <c r="G221" s="160">
        <f>IF(OR(F221="",F220=""),"",F221-F220)</f>
        <v/>
      </c>
      <c r="H221" s="161">
        <f>'Datos_fuente'!H221</f>
        <v/>
      </c>
      <c r="I221" s="161">
        <f>IF(OR(H221="",H220=""),"",H221-H220)</f>
        <v/>
      </c>
      <c r="J221" s="161">
        <f>'Datos_fuente'!J221</f>
        <v/>
      </c>
      <c r="K221" s="161">
        <f>IF(OR(J221="",J220=""),"",J221-J220)</f>
        <v/>
      </c>
      <c r="L221" s="160">
        <f>IF('Datos_fuente'!K221="","",LN('Datos_fuente'!K221))</f>
        <v/>
      </c>
      <c r="M221" s="160">
        <f>IF(OR(L221="",L220=""),"",L221-L220)</f>
        <v/>
      </c>
      <c r="N221" s="160">
        <f>IF('Datos_fuente'!L221="","",LN('Datos_fuente'!L221))</f>
        <v/>
      </c>
      <c r="O221" s="160">
        <f>IF(OR(N221="",N220=""),"",N221-N220)</f>
        <v/>
      </c>
      <c r="P221" s="162">
        <f>'Datos_fuente'!M221</f>
        <v/>
      </c>
      <c r="Q221" s="160">
        <f>IF('Datos_fuente'!N221="","",LN('Datos_fuente'!N221))</f>
        <v/>
      </c>
      <c r="R221" s="160">
        <f>IF(OR(Q221="",Q220=""),"",Q221-Q220)</f>
        <v/>
      </c>
      <c r="S221" s="161">
        <f>'Datos_fuente'!P221</f>
        <v/>
      </c>
      <c r="T221" s="161">
        <f>IF(OR(S221="",S220=""),"",S221-S220)</f>
        <v/>
      </c>
      <c r="U221" s="160">
        <f>IF('Datos_fuente'!Q221="","",ASINH('Datos_fuente'!Q221/1000))</f>
        <v/>
      </c>
      <c r="V221" s="160">
        <f>IF(OR(U221="",U220=""),"",U221-U220)</f>
        <v/>
      </c>
      <c r="W221" s="160">
        <f>IF('Datos_fuente'!R221="","",ASINH('Datos_fuente'!R221/1000))</f>
        <v/>
      </c>
      <c r="X221" s="160">
        <f>IF(OR(W221="",W220=""),"",W221-W220)</f>
        <v/>
      </c>
      <c r="Y221" s="161">
        <f>'Datos_fuente'!W221</f>
        <v/>
      </c>
      <c r="Z221" s="161">
        <f>IF(OR(Y221="",Y220=""),"",Y221-Y220)</f>
        <v/>
      </c>
      <c r="AA221" s="160">
        <f>'Datos_fuente'!AB221</f>
        <v/>
      </c>
      <c r="AB221" s="160">
        <f>'Datos_fuente'!AC221</f>
        <v/>
      </c>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f>'Datos_fuente'!A222</f>
        <v/>
      </c>
      <c r="B222" s="160">
        <f>IF('Datos_fuente'!B222="","",LN('Datos_fuente'!B222))</f>
        <v/>
      </c>
      <c r="C222" s="160">
        <f>IF(OR(B222="",B221=""),"",B222-B221)</f>
        <v/>
      </c>
      <c r="D222" s="160">
        <f>IF('Datos_fuente'!C222="","",LN('Datos_fuente'!C222))</f>
        <v/>
      </c>
      <c r="E222" s="160">
        <f>IF(OR(D222="",D221=""),"",D222-D221)</f>
        <v/>
      </c>
      <c r="F222" s="160">
        <f>IF('Datos_fuente'!E222="","",LN('Datos_fuente'!E222))</f>
        <v/>
      </c>
      <c r="G222" s="160">
        <f>IF(OR(F222="",F221=""),"",F222-F221)</f>
        <v/>
      </c>
      <c r="H222" s="161">
        <f>'Datos_fuente'!H222</f>
        <v/>
      </c>
      <c r="I222" s="161">
        <f>IF(OR(H222="",H221=""),"",H222-H221)</f>
        <v/>
      </c>
      <c r="J222" s="161">
        <f>'Datos_fuente'!J222</f>
        <v/>
      </c>
      <c r="K222" s="161">
        <f>IF(OR(J222="",J221=""),"",J222-J221)</f>
        <v/>
      </c>
      <c r="L222" s="160">
        <f>IF('Datos_fuente'!K222="","",LN('Datos_fuente'!K222))</f>
        <v/>
      </c>
      <c r="M222" s="160">
        <f>IF(OR(L222="",L221=""),"",L222-L221)</f>
        <v/>
      </c>
      <c r="N222" s="160">
        <f>IF('Datos_fuente'!L222="","",LN('Datos_fuente'!L222))</f>
        <v/>
      </c>
      <c r="O222" s="160">
        <f>IF(OR(N222="",N221=""),"",N222-N221)</f>
        <v/>
      </c>
      <c r="P222" s="162">
        <f>'Datos_fuente'!M222</f>
        <v/>
      </c>
      <c r="Q222" s="160">
        <f>IF('Datos_fuente'!N222="","",LN('Datos_fuente'!N222))</f>
        <v/>
      </c>
      <c r="R222" s="160">
        <f>IF(OR(Q222="",Q221=""),"",Q222-Q221)</f>
        <v/>
      </c>
      <c r="S222" s="161">
        <f>'Datos_fuente'!P222</f>
        <v/>
      </c>
      <c r="T222" s="161">
        <f>IF(OR(S222="",S221=""),"",S222-S221)</f>
        <v/>
      </c>
      <c r="U222" s="160">
        <f>IF('Datos_fuente'!Q222="","",ASINH('Datos_fuente'!Q222/1000))</f>
        <v/>
      </c>
      <c r="V222" s="160">
        <f>IF(OR(U222="",U221=""),"",U222-U221)</f>
        <v/>
      </c>
      <c r="W222" s="160">
        <f>IF('Datos_fuente'!R222="","",ASINH('Datos_fuente'!R222/1000))</f>
        <v/>
      </c>
      <c r="X222" s="160">
        <f>IF(OR(W222="",W221=""),"",W222-W221)</f>
        <v/>
      </c>
      <c r="Y222" s="161">
        <f>'Datos_fuente'!W222</f>
        <v/>
      </c>
      <c r="Z222" s="161">
        <f>IF(OR(Y222="",Y221=""),"",Y222-Y221)</f>
        <v/>
      </c>
      <c r="AA222" s="160">
        <f>'Datos_fuente'!AB222</f>
        <v/>
      </c>
      <c r="AB222" s="160">
        <f>'Datos_fuente'!AC222</f>
        <v/>
      </c>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f>'Datos_fuente'!A223</f>
        <v/>
      </c>
      <c r="B223" s="160">
        <f>IF('Datos_fuente'!B223="","",LN('Datos_fuente'!B223))</f>
        <v/>
      </c>
      <c r="C223" s="160">
        <f>IF(OR(B223="",B222=""),"",B223-B222)</f>
        <v/>
      </c>
      <c r="D223" s="160">
        <f>IF('Datos_fuente'!C223="","",LN('Datos_fuente'!C223))</f>
        <v/>
      </c>
      <c r="E223" s="160">
        <f>IF(OR(D223="",D222=""),"",D223-D222)</f>
        <v/>
      </c>
      <c r="F223" s="160">
        <f>IF('Datos_fuente'!E223="","",LN('Datos_fuente'!E223))</f>
        <v/>
      </c>
      <c r="G223" s="160">
        <f>IF(OR(F223="",F222=""),"",F223-F222)</f>
        <v/>
      </c>
      <c r="H223" s="161">
        <f>'Datos_fuente'!H223</f>
        <v/>
      </c>
      <c r="I223" s="161">
        <f>IF(OR(H223="",H222=""),"",H223-H222)</f>
        <v/>
      </c>
      <c r="J223" s="161">
        <f>'Datos_fuente'!J223</f>
        <v/>
      </c>
      <c r="K223" s="161">
        <f>IF(OR(J223="",J222=""),"",J223-J222)</f>
        <v/>
      </c>
      <c r="L223" s="160">
        <f>IF('Datos_fuente'!K223="","",LN('Datos_fuente'!K223))</f>
        <v/>
      </c>
      <c r="M223" s="160">
        <f>IF(OR(L223="",L222=""),"",L223-L222)</f>
        <v/>
      </c>
      <c r="N223" s="160">
        <f>IF('Datos_fuente'!L223="","",LN('Datos_fuente'!L223))</f>
        <v/>
      </c>
      <c r="O223" s="160">
        <f>IF(OR(N223="",N222=""),"",N223-N222)</f>
        <v/>
      </c>
      <c r="P223" s="162">
        <f>'Datos_fuente'!M223</f>
        <v/>
      </c>
      <c r="Q223" s="160">
        <f>IF('Datos_fuente'!N223="","",LN('Datos_fuente'!N223))</f>
        <v/>
      </c>
      <c r="R223" s="160">
        <f>IF(OR(Q223="",Q222=""),"",Q223-Q222)</f>
        <v/>
      </c>
      <c r="S223" s="161">
        <f>'Datos_fuente'!P223</f>
        <v/>
      </c>
      <c r="T223" s="161">
        <f>IF(OR(S223="",S222=""),"",S223-S222)</f>
        <v/>
      </c>
      <c r="U223" s="160">
        <f>IF('Datos_fuente'!Q223="","",ASINH('Datos_fuente'!Q223/1000))</f>
        <v/>
      </c>
      <c r="V223" s="160">
        <f>IF(OR(U223="",U222=""),"",U223-U222)</f>
        <v/>
      </c>
      <c r="W223" s="160">
        <f>IF('Datos_fuente'!R223="","",ASINH('Datos_fuente'!R223/1000))</f>
        <v/>
      </c>
      <c r="X223" s="160">
        <f>IF(OR(W223="",W222=""),"",W223-W222)</f>
        <v/>
      </c>
      <c r="Y223" s="161">
        <f>'Datos_fuente'!W223</f>
        <v/>
      </c>
      <c r="Z223" s="161">
        <f>IF(OR(Y223="",Y222=""),"",Y223-Y222)</f>
        <v/>
      </c>
      <c r="AA223" s="160">
        <f>'Datos_fuente'!AB223</f>
        <v/>
      </c>
      <c r="AB223" s="160">
        <f>'Datos_fuente'!AC223</f>
        <v/>
      </c>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f>'Datos_fuente'!A224</f>
        <v/>
      </c>
      <c r="B224" s="160">
        <f>IF('Datos_fuente'!B224="","",LN('Datos_fuente'!B224))</f>
        <v/>
      </c>
      <c r="C224" s="160">
        <f>IF(OR(B224="",B223=""),"",B224-B223)</f>
        <v/>
      </c>
      <c r="D224" s="160">
        <f>IF('Datos_fuente'!C224="","",LN('Datos_fuente'!C224))</f>
        <v/>
      </c>
      <c r="E224" s="160">
        <f>IF(OR(D224="",D223=""),"",D224-D223)</f>
        <v/>
      </c>
      <c r="F224" s="160">
        <f>IF('Datos_fuente'!E224="","",LN('Datos_fuente'!E224))</f>
        <v/>
      </c>
      <c r="G224" s="160">
        <f>IF(OR(F224="",F223=""),"",F224-F223)</f>
        <v/>
      </c>
      <c r="H224" s="161">
        <f>'Datos_fuente'!H224</f>
        <v/>
      </c>
      <c r="I224" s="161">
        <f>IF(OR(H224="",H223=""),"",H224-H223)</f>
        <v/>
      </c>
      <c r="J224" s="161">
        <f>'Datos_fuente'!J224</f>
        <v/>
      </c>
      <c r="K224" s="161">
        <f>IF(OR(J224="",J223=""),"",J224-J223)</f>
        <v/>
      </c>
      <c r="L224" s="160">
        <f>IF('Datos_fuente'!K224="","",LN('Datos_fuente'!K224))</f>
        <v/>
      </c>
      <c r="M224" s="160">
        <f>IF(OR(L224="",L223=""),"",L224-L223)</f>
        <v/>
      </c>
      <c r="N224" s="160">
        <f>IF('Datos_fuente'!L224="","",LN('Datos_fuente'!L224))</f>
        <v/>
      </c>
      <c r="O224" s="160">
        <f>IF(OR(N224="",N223=""),"",N224-N223)</f>
        <v/>
      </c>
      <c r="P224" s="162">
        <f>'Datos_fuente'!M224</f>
        <v/>
      </c>
      <c r="Q224" s="160">
        <f>IF('Datos_fuente'!N224="","",LN('Datos_fuente'!N224))</f>
        <v/>
      </c>
      <c r="R224" s="160">
        <f>IF(OR(Q224="",Q223=""),"",Q224-Q223)</f>
        <v/>
      </c>
      <c r="S224" s="161">
        <f>'Datos_fuente'!P224</f>
        <v/>
      </c>
      <c r="T224" s="161">
        <f>IF(OR(S224="",S223=""),"",S224-S223)</f>
        <v/>
      </c>
      <c r="U224" s="160">
        <f>IF('Datos_fuente'!Q224="","",ASINH('Datos_fuente'!Q224/1000))</f>
        <v/>
      </c>
      <c r="V224" s="160">
        <f>IF(OR(U224="",U223=""),"",U224-U223)</f>
        <v/>
      </c>
      <c r="W224" s="160">
        <f>IF('Datos_fuente'!R224="","",ASINH('Datos_fuente'!R224/1000))</f>
        <v/>
      </c>
      <c r="X224" s="160">
        <f>IF(OR(W224="",W223=""),"",W224-W223)</f>
        <v/>
      </c>
      <c r="Y224" s="161">
        <f>'Datos_fuente'!W224</f>
        <v/>
      </c>
      <c r="Z224" s="161">
        <f>IF(OR(Y224="",Y223=""),"",Y224-Y223)</f>
        <v/>
      </c>
      <c r="AA224" s="160">
        <f>'Datos_fuente'!AB224</f>
        <v/>
      </c>
      <c r="AB224" s="160">
        <f>'Datos_fuente'!AC224</f>
        <v/>
      </c>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f>'Datos_fuente'!A225</f>
        <v/>
      </c>
      <c r="B225" s="160">
        <f>IF('Datos_fuente'!B225="","",LN('Datos_fuente'!B225))</f>
        <v/>
      </c>
      <c r="C225" s="160">
        <f>IF(OR(B225="",B224=""),"",B225-B224)</f>
        <v/>
      </c>
      <c r="D225" s="160">
        <f>IF('Datos_fuente'!C225="","",LN('Datos_fuente'!C225))</f>
        <v/>
      </c>
      <c r="E225" s="160">
        <f>IF(OR(D225="",D224=""),"",D225-D224)</f>
        <v/>
      </c>
      <c r="F225" s="160">
        <f>IF('Datos_fuente'!E225="","",LN('Datos_fuente'!E225))</f>
        <v/>
      </c>
      <c r="G225" s="160">
        <f>IF(OR(F225="",F224=""),"",F225-F224)</f>
        <v/>
      </c>
      <c r="H225" s="161">
        <f>'Datos_fuente'!H225</f>
        <v/>
      </c>
      <c r="I225" s="161">
        <f>IF(OR(H225="",H224=""),"",H225-H224)</f>
        <v/>
      </c>
      <c r="J225" s="161">
        <f>'Datos_fuente'!J225</f>
        <v/>
      </c>
      <c r="K225" s="161">
        <f>IF(OR(J225="",J224=""),"",J225-J224)</f>
        <v/>
      </c>
      <c r="L225" s="160">
        <f>IF('Datos_fuente'!K225="","",LN('Datos_fuente'!K225))</f>
        <v/>
      </c>
      <c r="M225" s="160">
        <f>IF(OR(L225="",L224=""),"",L225-L224)</f>
        <v/>
      </c>
      <c r="N225" s="160">
        <f>IF('Datos_fuente'!L225="","",LN('Datos_fuente'!L225))</f>
        <v/>
      </c>
      <c r="O225" s="160">
        <f>IF(OR(N225="",N224=""),"",N225-N224)</f>
        <v/>
      </c>
      <c r="P225" s="162">
        <f>'Datos_fuente'!M225</f>
        <v/>
      </c>
      <c r="Q225" s="160">
        <f>IF('Datos_fuente'!N225="","",LN('Datos_fuente'!N225))</f>
        <v/>
      </c>
      <c r="R225" s="160">
        <f>IF(OR(Q225="",Q224=""),"",Q225-Q224)</f>
        <v/>
      </c>
      <c r="S225" s="161">
        <f>'Datos_fuente'!P225</f>
        <v/>
      </c>
      <c r="T225" s="161">
        <f>IF(OR(S225="",S224=""),"",S225-S224)</f>
        <v/>
      </c>
      <c r="U225" s="160">
        <f>IF('Datos_fuente'!Q225="","",ASINH('Datos_fuente'!Q225/1000))</f>
        <v/>
      </c>
      <c r="V225" s="160">
        <f>IF(OR(U225="",U224=""),"",U225-U224)</f>
        <v/>
      </c>
      <c r="W225" s="160">
        <f>IF('Datos_fuente'!R225="","",ASINH('Datos_fuente'!R225/1000))</f>
        <v/>
      </c>
      <c r="X225" s="160">
        <f>IF(OR(W225="",W224=""),"",W225-W224)</f>
        <v/>
      </c>
      <c r="Y225" s="161">
        <f>'Datos_fuente'!W225</f>
        <v/>
      </c>
      <c r="Z225" s="161">
        <f>IF(OR(Y225="",Y224=""),"",Y225-Y224)</f>
        <v/>
      </c>
      <c r="AA225" s="160">
        <f>'Datos_fuente'!AB225</f>
        <v/>
      </c>
      <c r="AB225" s="160">
        <f>'Datos_fuente'!AC225</f>
        <v/>
      </c>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f>'Datos_fuente'!A226</f>
        <v/>
      </c>
      <c r="B226" s="160">
        <f>IF('Datos_fuente'!B226="","",LN('Datos_fuente'!B226))</f>
        <v/>
      </c>
      <c r="C226" s="160">
        <f>IF(OR(B226="",B225=""),"",B226-B225)</f>
        <v/>
      </c>
      <c r="D226" s="160">
        <f>IF('Datos_fuente'!C226="","",LN('Datos_fuente'!C226))</f>
        <v/>
      </c>
      <c r="E226" s="160">
        <f>IF(OR(D226="",D225=""),"",D226-D225)</f>
        <v/>
      </c>
      <c r="F226" s="160">
        <f>IF('Datos_fuente'!E226="","",LN('Datos_fuente'!E226))</f>
        <v/>
      </c>
      <c r="G226" s="160">
        <f>IF(OR(F226="",F225=""),"",F226-F225)</f>
        <v/>
      </c>
      <c r="H226" s="161">
        <f>'Datos_fuente'!H226</f>
        <v/>
      </c>
      <c r="I226" s="161">
        <f>IF(OR(H226="",H225=""),"",H226-H225)</f>
        <v/>
      </c>
      <c r="J226" s="161">
        <f>'Datos_fuente'!J226</f>
        <v/>
      </c>
      <c r="K226" s="161">
        <f>IF(OR(J226="",J225=""),"",J226-J225)</f>
        <v/>
      </c>
      <c r="L226" s="160">
        <f>IF('Datos_fuente'!K226="","",LN('Datos_fuente'!K226))</f>
        <v/>
      </c>
      <c r="M226" s="160">
        <f>IF(OR(L226="",L225=""),"",L226-L225)</f>
        <v/>
      </c>
      <c r="N226" s="160">
        <f>IF('Datos_fuente'!L226="","",LN('Datos_fuente'!L226))</f>
        <v/>
      </c>
      <c r="O226" s="160">
        <f>IF(OR(N226="",N225=""),"",N226-N225)</f>
        <v/>
      </c>
      <c r="P226" s="162">
        <f>'Datos_fuente'!M226</f>
        <v/>
      </c>
      <c r="Q226" s="160">
        <f>IF('Datos_fuente'!N226="","",LN('Datos_fuente'!N226))</f>
        <v/>
      </c>
      <c r="R226" s="160">
        <f>IF(OR(Q226="",Q225=""),"",Q226-Q225)</f>
        <v/>
      </c>
      <c r="S226" s="161">
        <f>'Datos_fuente'!P226</f>
        <v/>
      </c>
      <c r="T226" s="161">
        <f>IF(OR(S226="",S225=""),"",S226-S225)</f>
        <v/>
      </c>
      <c r="U226" s="160">
        <f>IF('Datos_fuente'!Q226="","",ASINH('Datos_fuente'!Q226/1000))</f>
        <v/>
      </c>
      <c r="V226" s="160">
        <f>IF(OR(U226="",U225=""),"",U226-U225)</f>
        <v/>
      </c>
      <c r="W226" s="160">
        <f>IF('Datos_fuente'!R226="","",ASINH('Datos_fuente'!R226/1000))</f>
        <v/>
      </c>
      <c r="X226" s="160">
        <f>IF(OR(W226="",W225=""),"",W226-W225)</f>
        <v/>
      </c>
      <c r="Y226" s="161">
        <f>'Datos_fuente'!W226</f>
        <v/>
      </c>
      <c r="Z226" s="161">
        <f>IF(OR(Y226="",Y225=""),"",Y226-Y225)</f>
        <v/>
      </c>
      <c r="AA226" s="160">
        <f>'Datos_fuente'!AB226</f>
        <v/>
      </c>
      <c r="AB226" s="160">
        <f>'Datos_fuente'!AC226</f>
        <v/>
      </c>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f>'Datos_fuente'!A227</f>
        <v/>
      </c>
      <c r="B227" s="160">
        <f>IF('Datos_fuente'!B227="","",LN('Datos_fuente'!B227))</f>
        <v/>
      </c>
      <c r="C227" s="160">
        <f>IF(OR(B227="",B226=""),"",B227-B226)</f>
        <v/>
      </c>
      <c r="D227" s="160">
        <f>IF('Datos_fuente'!C227="","",LN('Datos_fuente'!C227))</f>
        <v/>
      </c>
      <c r="E227" s="160">
        <f>IF(OR(D227="",D226=""),"",D227-D226)</f>
        <v/>
      </c>
      <c r="F227" s="160">
        <f>IF('Datos_fuente'!E227="","",LN('Datos_fuente'!E227))</f>
        <v/>
      </c>
      <c r="G227" s="160">
        <f>IF(OR(F227="",F226=""),"",F227-F226)</f>
        <v/>
      </c>
      <c r="H227" s="161">
        <f>'Datos_fuente'!H227</f>
        <v/>
      </c>
      <c r="I227" s="161">
        <f>IF(OR(H227="",H226=""),"",H227-H226)</f>
        <v/>
      </c>
      <c r="J227" s="161">
        <f>'Datos_fuente'!J227</f>
        <v/>
      </c>
      <c r="K227" s="161">
        <f>IF(OR(J227="",J226=""),"",J227-J226)</f>
        <v/>
      </c>
      <c r="L227" s="160">
        <f>IF('Datos_fuente'!K227="","",LN('Datos_fuente'!K227))</f>
        <v/>
      </c>
      <c r="M227" s="160">
        <f>IF(OR(L227="",L226=""),"",L227-L226)</f>
        <v/>
      </c>
      <c r="N227" s="160">
        <f>IF('Datos_fuente'!L227="","",LN('Datos_fuente'!L227))</f>
        <v/>
      </c>
      <c r="O227" s="160">
        <f>IF(OR(N227="",N226=""),"",N227-N226)</f>
        <v/>
      </c>
      <c r="P227" s="162">
        <f>'Datos_fuente'!M227</f>
        <v/>
      </c>
      <c r="Q227" s="160">
        <f>IF('Datos_fuente'!N227="","",LN('Datos_fuente'!N227))</f>
        <v/>
      </c>
      <c r="R227" s="160">
        <f>IF(OR(Q227="",Q226=""),"",Q227-Q226)</f>
        <v/>
      </c>
      <c r="S227" s="161">
        <f>'Datos_fuente'!P227</f>
        <v/>
      </c>
      <c r="T227" s="161">
        <f>IF(OR(S227="",S226=""),"",S227-S226)</f>
        <v/>
      </c>
      <c r="U227" s="160">
        <f>IF('Datos_fuente'!Q227="","",ASINH('Datos_fuente'!Q227/1000))</f>
        <v/>
      </c>
      <c r="V227" s="160">
        <f>IF(OR(U227="",U226=""),"",U227-U226)</f>
        <v/>
      </c>
      <c r="W227" s="160">
        <f>IF('Datos_fuente'!R227="","",ASINH('Datos_fuente'!R227/1000))</f>
        <v/>
      </c>
      <c r="X227" s="160">
        <f>IF(OR(W227="",W226=""),"",W227-W226)</f>
        <v/>
      </c>
      <c r="Y227" s="161">
        <f>'Datos_fuente'!W227</f>
        <v/>
      </c>
      <c r="Z227" s="161">
        <f>IF(OR(Y227="",Y226=""),"",Y227-Y226)</f>
        <v/>
      </c>
      <c r="AA227" s="160">
        <f>'Datos_fuente'!AB227</f>
        <v/>
      </c>
      <c r="AB227" s="160">
        <f>'Datos_fuente'!AC227</f>
        <v/>
      </c>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f>'Datos_fuente'!A228</f>
        <v/>
      </c>
      <c r="B228" s="160">
        <f>IF('Datos_fuente'!B228="","",LN('Datos_fuente'!B228))</f>
        <v/>
      </c>
      <c r="C228" s="160">
        <f>IF(OR(B228="",B227=""),"",B228-B227)</f>
        <v/>
      </c>
      <c r="D228" s="160">
        <f>IF('Datos_fuente'!C228="","",LN('Datos_fuente'!C228))</f>
        <v/>
      </c>
      <c r="E228" s="160">
        <f>IF(OR(D228="",D227=""),"",D228-D227)</f>
        <v/>
      </c>
      <c r="F228" s="160">
        <f>IF('Datos_fuente'!E228="","",LN('Datos_fuente'!E228))</f>
        <v/>
      </c>
      <c r="G228" s="160">
        <f>IF(OR(F228="",F227=""),"",F228-F227)</f>
        <v/>
      </c>
      <c r="H228" s="161">
        <f>'Datos_fuente'!H228</f>
        <v/>
      </c>
      <c r="I228" s="161">
        <f>IF(OR(H228="",H227=""),"",H228-H227)</f>
        <v/>
      </c>
      <c r="J228" s="161">
        <f>'Datos_fuente'!J228</f>
        <v/>
      </c>
      <c r="K228" s="161">
        <f>IF(OR(J228="",J227=""),"",J228-J227)</f>
        <v/>
      </c>
      <c r="L228" s="160">
        <f>IF('Datos_fuente'!K228="","",LN('Datos_fuente'!K228))</f>
        <v/>
      </c>
      <c r="M228" s="160">
        <f>IF(OR(L228="",L227=""),"",L228-L227)</f>
        <v/>
      </c>
      <c r="N228" s="160">
        <f>IF('Datos_fuente'!L228="","",LN('Datos_fuente'!L228))</f>
        <v/>
      </c>
      <c r="O228" s="160">
        <f>IF(OR(N228="",N227=""),"",N228-N227)</f>
        <v/>
      </c>
      <c r="P228" s="162">
        <f>'Datos_fuente'!M228</f>
        <v/>
      </c>
      <c r="Q228" s="160">
        <f>IF('Datos_fuente'!N228="","",LN('Datos_fuente'!N228))</f>
        <v/>
      </c>
      <c r="R228" s="160">
        <f>IF(OR(Q228="",Q227=""),"",Q228-Q227)</f>
        <v/>
      </c>
      <c r="S228" s="161">
        <f>'Datos_fuente'!P228</f>
        <v/>
      </c>
      <c r="T228" s="161">
        <f>IF(OR(S228="",S227=""),"",S228-S227)</f>
        <v/>
      </c>
      <c r="U228" s="160">
        <f>IF('Datos_fuente'!Q228="","",ASINH('Datos_fuente'!Q228/1000))</f>
        <v/>
      </c>
      <c r="V228" s="160">
        <f>IF(OR(U228="",U227=""),"",U228-U227)</f>
        <v/>
      </c>
      <c r="W228" s="160">
        <f>IF('Datos_fuente'!R228="","",ASINH('Datos_fuente'!R228/1000))</f>
        <v/>
      </c>
      <c r="X228" s="160">
        <f>IF(OR(W228="",W227=""),"",W228-W227)</f>
        <v/>
      </c>
      <c r="Y228" s="161">
        <f>'Datos_fuente'!W228</f>
        <v/>
      </c>
      <c r="Z228" s="161">
        <f>IF(OR(Y228="",Y227=""),"",Y228-Y227)</f>
        <v/>
      </c>
      <c r="AA228" s="160">
        <f>'Datos_fuente'!AB228</f>
        <v/>
      </c>
      <c r="AB228" s="160">
        <f>'Datos_fuente'!AC228</f>
        <v/>
      </c>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f>'Datos_fuente'!A229</f>
        <v/>
      </c>
      <c r="B229" s="160">
        <f>IF('Datos_fuente'!B229="","",LN('Datos_fuente'!B229))</f>
        <v/>
      </c>
      <c r="C229" s="160">
        <f>IF(OR(B229="",B228=""),"",B229-B228)</f>
        <v/>
      </c>
      <c r="D229" s="160">
        <f>IF('Datos_fuente'!C229="","",LN('Datos_fuente'!C229))</f>
        <v/>
      </c>
      <c r="E229" s="160">
        <f>IF(OR(D229="",D228=""),"",D229-D228)</f>
        <v/>
      </c>
      <c r="F229" s="160">
        <f>IF('Datos_fuente'!E229="","",LN('Datos_fuente'!E229))</f>
        <v/>
      </c>
      <c r="G229" s="160">
        <f>IF(OR(F229="",F228=""),"",F229-F228)</f>
        <v/>
      </c>
      <c r="H229" s="161">
        <f>'Datos_fuente'!H229</f>
        <v/>
      </c>
      <c r="I229" s="161">
        <f>IF(OR(H229="",H228=""),"",H229-H228)</f>
        <v/>
      </c>
      <c r="J229" s="161">
        <f>'Datos_fuente'!J229</f>
        <v/>
      </c>
      <c r="K229" s="161">
        <f>IF(OR(J229="",J228=""),"",J229-J228)</f>
        <v/>
      </c>
      <c r="L229" s="160">
        <f>IF('Datos_fuente'!K229="","",LN('Datos_fuente'!K229))</f>
        <v/>
      </c>
      <c r="M229" s="160">
        <f>IF(OR(L229="",L228=""),"",L229-L228)</f>
        <v/>
      </c>
      <c r="N229" s="160">
        <f>IF('Datos_fuente'!L229="","",LN('Datos_fuente'!L229))</f>
        <v/>
      </c>
      <c r="O229" s="160">
        <f>IF(OR(N229="",N228=""),"",N229-N228)</f>
        <v/>
      </c>
      <c r="P229" s="162">
        <f>'Datos_fuente'!M229</f>
        <v/>
      </c>
      <c r="Q229" s="160">
        <f>IF('Datos_fuente'!N229="","",LN('Datos_fuente'!N229))</f>
        <v/>
      </c>
      <c r="R229" s="160">
        <f>IF(OR(Q229="",Q228=""),"",Q229-Q228)</f>
        <v/>
      </c>
      <c r="S229" s="161">
        <f>'Datos_fuente'!P229</f>
        <v/>
      </c>
      <c r="T229" s="161">
        <f>IF(OR(S229="",S228=""),"",S229-S228)</f>
        <v/>
      </c>
      <c r="U229" s="160">
        <f>IF('Datos_fuente'!Q229="","",ASINH('Datos_fuente'!Q229/1000))</f>
        <v/>
      </c>
      <c r="V229" s="160">
        <f>IF(OR(U229="",U228=""),"",U229-U228)</f>
        <v/>
      </c>
      <c r="W229" s="160">
        <f>IF('Datos_fuente'!R229="","",ASINH('Datos_fuente'!R229/1000))</f>
        <v/>
      </c>
      <c r="X229" s="160">
        <f>IF(OR(W229="",W228=""),"",W229-W228)</f>
        <v/>
      </c>
      <c r="Y229" s="161">
        <f>'Datos_fuente'!W229</f>
        <v/>
      </c>
      <c r="Z229" s="161">
        <f>IF(OR(Y229="",Y228=""),"",Y229-Y228)</f>
        <v/>
      </c>
      <c r="AA229" s="160">
        <f>'Datos_fuente'!AB229</f>
        <v/>
      </c>
      <c r="AB229" s="160">
        <f>'Datos_fuente'!AC229</f>
        <v/>
      </c>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f>'Datos_fuente'!A230</f>
        <v/>
      </c>
      <c r="B230" s="160">
        <f>IF('Datos_fuente'!B230="","",LN('Datos_fuente'!B230))</f>
        <v/>
      </c>
      <c r="C230" s="160">
        <f>IF(OR(B230="",B229=""),"",B230-B229)</f>
        <v/>
      </c>
      <c r="D230" s="160">
        <f>IF('Datos_fuente'!C230="","",LN('Datos_fuente'!C230))</f>
        <v/>
      </c>
      <c r="E230" s="160">
        <f>IF(OR(D230="",D229=""),"",D230-D229)</f>
        <v/>
      </c>
      <c r="F230" s="160">
        <f>IF('Datos_fuente'!E230="","",LN('Datos_fuente'!E230))</f>
        <v/>
      </c>
      <c r="G230" s="160">
        <f>IF(OR(F230="",F229=""),"",F230-F229)</f>
        <v/>
      </c>
      <c r="H230" s="161">
        <f>'Datos_fuente'!H230</f>
        <v/>
      </c>
      <c r="I230" s="161">
        <f>IF(OR(H230="",H229=""),"",H230-H229)</f>
        <v/>
      </c>
      <c r="J230" s="161">
        <f>'Datos_fuente'!J230</f>
        <v/>
      </c>
      <c r="K230" s="161">
        <f>IF(OR(J230="",J229=""),"",J230-J229)</f>
        <v/>
      </c>
      <c r="L230" s="160">
        <f>IF('Datos_fuente'!K230="","",LN('Datos_fuente'!K230))</f>
        <v/>
      </c>
      <c r="M230" s="160">
        <f>IF(OR(L230="",L229=""),"",L230-L229)</f>
        <v/>
      </c>
      <c r="N230" s="160">
        <f>IF('Datos_fuente'!L230="","",LN('Datos_fuente'!L230))</f>
        <v/>
      </c>
      <c r="O230" s="160">
        <f>IF(OR(N230="",N229=""),"",N230-N229)</f>
        <v/>
      </c>
      <c r="P230" s="162">
        <f>'Datos_fuente'!M230</f>
        <v/>
      </c>
      <c r="Q230" s="160">
        <f>IF('Datos_fuente'!N230="","",LN('Datos_fuente'!N230))</f>
        <v/>
      </c>
      <c r="R230" s="160">
        <f>IF(OR(Q230="",Q229=""),"",Q230-Q229)</f>
        <v/>
      </c>
      <c r="S230" s="161">
        <f>'Datos_fuente'!P230</f>
        <v/>
      </c>
      <c r="T230" s="161">
        <f>IF(OR(S230="",S229=""),"",S230-S229)</f>
        <v/>
      </c>
      <c r="U230" s="160">
        <f>IF('Datos_fuente'!Q230="","",ASINH('Datos_fuente'!Q230/1000))</f>
        <v/>
      </c>
      <c r="V230" s="160">
        <f>IF(OR(U230="",U229=""),"",U230-U229)</f>
        <v/>
      </c>
      <c r="W230" s="160">
        <f>IF('Datos_fuente'!R230="","",ASINH('Datos_fuente'!R230/1000))</f>
        <v/>
      </c>
      <c r="X230" s="160">
        <f>IF(OR(W230="",W229=""),"",W230-W229)</f>
        <v/>
      </c>
      <c r="Y230" s="161">
        <f>'Datos_fuente'!W230</f>
        <v/>
      </c>
      <c r="Z230" s="161">
        <f>IF(OR(Y230="",Y229=""),"",Y230-Y229)</f>
        <v/>
      </c>
      <c r="AA230" s="160">
        <f>'Datos_fuente'!AB230</f>
        <v/>
      </c>
      <c r="AB230" s="160">
        <f>'Datos_fuente'!AC230</f>
        <v/>
      </c>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f>'Datos_fuente'!A231</f>
        <v/>
      </c>
      <c r="B231" s="160">
        <f>IF('Datos_fuente'!B231="","",LN('Datos_fuente'!B231))</f>
        <v/>
      </c>
      <c r="C231" s="160">
        <f>IF(OR(B231="",B230=""),"",B231-B230)</f>
        <v/>
      </c>
      <c r="D231" s="160">
        <f>IF('Datos_fuente'!C231="","",LN('Datos_fuente'!C231))</f>
        <v/>
      </c>
      <c r="E231" s="160">
        <f>IF(OR(D231="",D230=""),"",D231-D230)</f>
        <v/>
      </c>
      <c r="F231" s="160">
        <f>IF('Datos_fuente'!E231="","",LN('Datos_fuente'!E231))</f>
        <v/>
      </c>
      <c r="G231" s="160">
        <f>IF(OR(F231="",F230=""),"",F231-F230)</f>
        <v/>
      </c>
      <c r="H231" s="161">
        <f>'Datos_fuente'!H231</f>
        <v/>
      </c>
      <c r="I231" s="161">
        <f>IF(OR(H231="",H230=""),"",H231-H230)</f>
        <v/>
      </c>
      <c r="J231" s="161">
        <f>'Datos_fuente'!J231</f>
        <v/>
      </c>
      <c r="K231" s="161">
        <f>IF(OR(J231="",J230=""),"",J231-J230)</f>
        <v/>
      </c>
      <c r="L231" s="160">
        <f>IF('Datos_fuente'!K231="","",LN('Datos_fuente'!K231))</f>
        <v/>
      </c>
      <c r="M231" s="160">
        <f>IF(OR(L231="",L230=""),"",L231-L230)</f>
        <v/>
      </c>
      <c r="N231" s="160">
        <f>IF('Datos_fuente'!L231="","",LN('Datos_fuente'!L231))</f>
        <v/>
      </c>
      <c r="O231" s="160">
        <f>IF(OR(N231="",N230=""),"",N231-N230)</f>
        <v/>
      </c>
      <c r="P231" s="162">
        <f>'Datos_fuente'!M231</f>
        <v/>
      </c>
      <c r="Q231" s="160">
        <f>IF('Datos_fuente'!N231="","",LN('Datos_fuente'!N231))</f>
        <v/>
      </c>
      <c r="R231" s="160">
        <f>IF(OR(Q231="",Q230=""),"",Q231-Q230)</f>
        <v/>
      </c>
      <c r="S231" s="161">
        <f>'Datos_fuente'!P231</f>
        <v/>
      </c>
      <c r="T231" s="161">
        <f>IF(OR(S231="",S230=""),"",S231-S230)</f>
        <v/>
      </c>
      <c r="U231" s="160">
        <f>IF('Datos_fuente'!Q231="","",ASINH('Datos_fuente'!Q231/1000))</f>
        <v/>
      </c>
      <c r="V231" s="160">
        <f>IF(OR(U231="",U230=""),"",U231-U230)</f>
        <v/>
      </c>
      <c r="W231" s="160">
        <f>IF('Datos_fuente'!R231="","",ASINH('Datos_fuente'!R231/1000))</f>
        <v/>
      </c>
      <c r="X231" s="160">
        <f>IF(OR(W231="",W230=""),"",W231-W230)</f>
        <v/>
      </c>
      <c r="Y231" s="161">
        <f>'Datos_fuente'!W231</f>
        <v/>
      </c>
      <c r="Z231" s="161">
        <f>IF(OR(Y231="",Y230=""),"",Y231-Y230)</f>
        <v/>
      </c>
      <c r="AA231" s="160">
        <f>'Datos_fuente'!AB231</f>
        <v/>
      </c>
      <c r="AB231" s="160">
        <f>'Datos_fuente'!AC231</f>
        <v/>
      </c>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f>'Datos_fuente'!A232</f>
        <v/>
      </c>
      <c r="B232" s="160">
        <f>IF('Datos_fuente'!B232="","",LN('Datos_fuente'!B232))</f>
        <v/>
      </c>
      <c r="C232" s="160">
        <f>IF(OR(B232="",B231=""),"",B232-B231)</f>
        <v/>
      </c>
      <c r="D232" s="160">
        <f>IF('Datos_fuente'!C232="","",LN('Datos_fuente'!C232))</f>
        <v/>
      </c>
      <c r="E232" s="160">
        <f>IF(OR(D232="",D231=""),"",D232-D231)</f>
        <v/>
      </c>
      <c r="F232" s="160">
        <f>IF('Datos_fuente'!E232="","",LN('Datos_fuente'!E232))</f>
        <v/>
      </c>
      <c r="G232" s="160">
        <f>IF(OR(F232="",F231=""),"",F232-F231)</f>
        <v/>
      </c>
      <c r="H232" s="161">
        <f>'Datos_fuente'!H232</f>
        <v/>
      </c>
      <c r="I232" s="161">
        <f>IF(OR(H232="",H231=""),"",H232-H231)</f>
        <v/>
      </c>
      <c r="J232" s="161">
        <f>'Datos_fuente'!J232</f>
        <v/>
      </c>
      <c r="K232" s="161">
        <f>IF(OR(J232="",J231=""),"",J232-J231)</f>
        <v/>
      </c>
      <c r="L232" s="160">
        <f>IF('Datos_fuente'!K232="","",LN('Datos_fuente'!K232))</f>
        <v/>
      </c>
      <c r="M232" s="160">
        <f>IF(OR(L232="",L231=""),"",L232-L231)</f>
        <v/>
      </c>
      <c r="N232" s="160">
        <f>IF('Datos_fuente'!L232="","",LN('Datos_fuente'!L232))</f>
        <v/>
      </c>
      <c r="O232" s="160">
        <f>IF(OR(N232="",N231=""),"",N232-N231)</f>
        <v/>
      </c>
      <c r="P232" s="162">
        <f>'Datos_fuente'!M232</f>
        <v/>
      </c>
      <c r="Q232" s="160">
        <f>IF('Datos_fuente'!N232="","",LN('Datos_fuente'!N232))</f>
        <v/>
      </c>
      <c r="R232" s="160">
        <f>IF(OR(Q232="",Q231=""),"",Q232-Q231)</f>
        <v/>
      </c>
      <c r="S232" s="161">
        <f>'Datos_fuente'!P232</f>
        <v/>
      </c>
      <c r="T232" s="161">
        <f>IF(OR(S232="",S231=""),"",S232-S231)</f>
        <v/>
      </c>
      <c r="U232" s="160">
        <f>IF('Datos_fuente'!Q232="","",ASINH('Datos_fuente'!Q232/1000))</f>
        <v/>
      </c>
      <c r="V232" s="160">
        <f>IF(OR(U232="",U231=""),"",U232-U231)</f>
        <v/>
      </c>
      <c r="W232" s="160">
        <f>IF('Datos_fuente'!R232="","",ASINH('Datos_fuente'!R232/1000))</f>
        <v/>
      </c>
      <c r="X232" s="160">
        <f>IF(OR(W232="",W231=""),"",W232-W231)</f>
        <v/>
      </c>
      <c r="Y232" s="161">
        <f>'Datos_fuente'!W232</f>
        <v/>
      </c>
      <c r="Z232" s="161">
        <f>IF(OR(Y232="",Y231=""),"",Y232-Y231)</f>
        <v/>
      </c>
      <c r="AA232" s="160">
        <f>'Datos_fuente'!AB232</f>
        <v/>
      </c>
      <c r="AB232" s="160">
        <f>'Datos_fuente'!AC232</f>
        <v/>
      </c>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f>'Datos_fuente'!A233</f>
        <v/>
      </c>
      <c r="B233" s="160">
        <f>IF('Datos_fuente'!B233="","",LN('Datos_fuente'!B233))</f>
        <v/>
      </c>
      <c r="C233" s="160">
        <f>IF(OR(B233="",B232=""),"",B233-B232)</f>
        <v/>
      </c>
      <c r="D233" s="160">
        <f>IF('Datos_fuente'!C233="","",LN('Datos_fuente'!C233))</f>
        <v/>
      </c>
      <c r="E233" s="160">
        <f>IF(OR(D233="",D232=""),"",D233-D232)</f>
        <v/>
      </c>
      <c r="F233" s="160">
        <f>IF('Datos_fuente'!E233="","",LN('Datos_fuente'!E233))</f>
        <v/>
      </c>
      <c r="G233" s="160">
        <f>IF(OR(F233="",F232=""),"",F233-F232)</f>
        <v/>
      </c>
      <c r="H233" s="161">
        <f>'Datos_fuente'!H233</f>
        <v/>
      </c>
      <c r="I233" s="161">
        <f>IF(OR(H233="",H232=""),"",H233-H232)</f>
        <v/>
      </c>
      <c r="J233" s="161">
        <f>'Datos_fuente'!J233</f>
        <v/>
      </c>
      <c r="K233" s="161">
        <f>IF(OR(J233="",J232=""),"",J233-J232)</f>
        <v/>
      </c>
      <c r="L233" s="160">
        <f>IF('Datos_fuente'!K233="","",LN('Datos_fuente'!K233))</f>
        <v/>
      </c>
      <c r="M233" s="160">
        <f>IF(OR(L233="",L232=""),"",L233-L232)</f>
        <v/>
      </c>
      <c r="N233" s="160">
        <f>IF('Datos_fuente'!L233="","",LN('Datos_fuente'!L233))</f>
        <v/>
      </c>
      <c r="O233" s="160">
        <f>IF(OR(N233="",N232=""),"",N233-N232)</f>
        <v/>
      </c>
      <c r="P233" s="162">
        <f>'Datos_fuente'!M233</f>
        <v/>
      </c>
      <c r="Q233" s="160">
        <f>IF('Datos_fuente'!N233="","",LN('Datos_fuente'!N233))</f>
        <v/>
      </c>
      <c r="R233" s="160">
        <f>IF(OR(Q233="",Q232=""),"",Q233-Q232)</f>
        <v/>
      </c>
      <c r="S233" s="161">
        <f>'Datos_fuente'!P233</f>
        <v/>
      </c>
      <c r="T233" s="161">
        <f>IF(OR(S233="",S232=""),"",S233-S232)</f>
        <v/>
      </c>
      <c r="U233" s="160">
        <f>IF('Datos_fuente'!Q233="","",ASINH('Datos_fuente'!Q233/1000))</f>
        <v/>
      </c>
      <c r="V233" s="160">
        <f>IF(OR(U233="",U232=""),"",U233-U232)</f>
        <v/>
      </c>
      <c r="W233" s="160">
        <f>IF('Datos_fuente'!R233="","",ASINH('Datos_fuente'!R233/1000))</f>
        <v/>
      </c>
      <c r="X233" s="160">
        <f>IF(OR(W233="",W232=""),"",W233-W232)</f>
        <v/>
      </c>
      <c r="Y233" s="161">
        <f>'Datos_fuente'!W233</f>
        <v/>
      </c>
      <c r="Z233" s="161">
        <f>IF(OR(Y233="",Y232=""),"",Y233-Y232)</f>
        <v/>
      </c>
      <c r="AA233" s="160">
        <f>'Datos_fuente'!AB233</f>
        <v/>
      </c>
      <c r="AB233" s="160">
        <f>'Datos_fuente'!AC233</f>
        <v/>
      </c>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f>'Datos_fuente'!A234</f>
        <v/>
      </c>
      <c r="B234" s="160">
        <f>IF('Datos_fuente'!B234="","",LN('Datos_fuente'!B234))</f>
        <v/>
      </c>
      <c r="C234" s="160">
        <f>IF(OR(B234="",B233=""),"",B234-B233)</f>
        <v/>
      </c>
      <c r="D234" s="160">
        <f>IF('Datos_fuente'!C234="","",LN('Datos_fuente'!C234))</f>
        <v/>
      </c>
      <c r="E234" s="160">
        <f>IF(OR(D234="",D233=""),"",D234-D233)</f>
        <v/>
      </c>
      <c r="F234" s="160">
        <f>IF('Datos_fuente'!E234="","",LN('Datos_fuente'!E234))</f>
        <v/>
      </c>
      <c r="G234" s="160">
        <f>IF(OR(F234="",F233=""),"",F234-F233)</f>
        <v/>
      </c>
      <c r="H234" s="161">
        <f>'Datos_fuente'!H234</f>
        <v/>
      </c>
      <c r="I234" s="161">
        <f>IF(OR(H234="",H233=""),"",H234-H233)</f>
        <v/>
      </c>
      <c r="J234" s="161">
        <f>'Datos_fuente'!J234</f>
        <v/>
      </c>
      <c r="K234" s="161">
        <f>IF(OR(J234="",J233=""),"",J234-J233)</f>
        <v/>
      </c>
      <c r="L234" s="160">
        <f>IF('Datos_fuente'!K234="","",LN('Datos_fuente'!K234))</f>
        <v/>
      </c>
      <c r="M234" s="160">
        <f>IF(OR(L234="",L233=""),"",L234-L233)</f>
        <v/>
      </c>
      <c r="N234" s="160">
        <f>IF('Datos_fuente'!L234="","",LN('Datos_fuente'!L234))</f>
        <v/>
      </c>
      <c r="O234" s="160">
        <f>IF(OR(N234="",N233=""),"",N234-N233)</f>
        <v/>
      </c>
      <c r="P234" s="162">
        <f>'Datos_fuente'!M234</f>
        <v/>
      </c>
      <c r="Q234" s="160">
        <f>IF('Datos_fuente'!N234="","",LN('Datos_fuente'!N234))</f>
        <v/>
      </c>
      <c r="R234" s="160">
        <f>IF(OR(Q234="",Q233=""),"",Q234-Q233)</f>
        <v/>
      </c>
      <c r="S234" s="161">
        <f>'Datos_fuente'!P234</f>
        <v/>
      </c>
      <c r="T234" s="161">
        <f>IF(OR(S234="",S233=""),"",S234-S233)</f>
        <v/>
      </c>
      <c r="U234" s="160">
        <f>IF('Datos_fuente'!Q234="","",ASINH('Datos_fuente'!Q234/1000))</f>
        <v/>
      </c>
      <c r="V234" s="160">
        <f>IF(OR(U234="",U233=""),"",U234-U233)</f>
        <v/>
      </c>
      <c r="W234" s="160">
        <f>IF('Datos_fuente'!R234="","",ASINH('Datos_fuente'!R234/1000))</f>
        <v/>
      </c>
      <c r="X234" s="160">
        <f>IF(OR(W234="",W233=""),"",W234-W233)</f>
        <v/>
      </c>
      <c r="Y234" s="161">
        <f>'Datos_fuente'!W234</f>
        <v/>
      </c>
      <c r="Z234" s="161">
        <f>IF(OR(Y234="",Y233=""),"",Y234-Y233)</f>
        <v/>
      </c>
      <c r="AA234" s="160">
        <f>'Datos_fuente'!AB234</f>
        <v/>
      </c>
      <c r="AB234" s="160">
        <f>'Datos_fuente'!AC234</f>
        <v/>
      </c>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f>'Datos_fuente'!A235</f>
        <v/>
      </c>
      <c r="B235" s="160">
        <f>IF('Datos_fuente'!B235="","",LN('Datos_fuente'!B235))</f>
        <v/>
      </c>
      <c r="C235" s="160">
        <f>IF(OR(B235="",B234=""),"",B235-B234)</f>
        <v/>
      </c>
      <c r="D235" s="160">
        <f>IF('Datos_fuente'!C235="","",LN('Datos_fuente'!C235))</f>
        <v/>
      </c>
      <c r="E235" s="160">
        <f>IF(OR(D235="",D234=""),"",D235-D234)</f>
        <v/>
      </c>
      <c r="F235" s="160">
        <f>IF('Datos_fuente'!E235="","",LN('Datos_fuente'!E235))</f>
        <v/>
      </c>
      <c r="G235" s="160">
        <f>IF(OR(F235="",F234=""),"",F235-F234)</f>
        <v/>
      </c>
      <c r="H235" s="161">
        <f>'Datos_fuente'!H235</f>
        <v/>
      </c>
      <c r="I235" s="161">
        <f>IF(OR(H235="",H234=""),"",H235-H234)</f>
        <v/>
      </c>
      <c r="J235" s="161">
        <f>'Datos_fuente'!J235</f>
        <v/>
      </c>
      <c r="K235" s="161">
        <f>IF(OR(J235="",J234=""),"",J235-J234)</f>
        <v/>
      </c>
      <c r="L235" s="160">
        <f>IF('Datos_fuente'!K235="","",LN('Datos_fuente'!K235))</f>
        <v/>
      </c>
      <c r="M235" s="160">
        <f>IF(OR(L235="",L234=""),"",L235-L234)</f>
        <v/>
      </c>
      <c r="N235" s="160">
        <f>IF('Datos_fuente'!L235="","",LN('Datos_fuente'!L235))</f>
        <v/>
      </c>
      <c r="O235" s="160">
        <f>IF(OR(N235="",N234=""),"",N235-N234)</f>
        <v/>
      </c>
      <c r="P235" s="162">
        <f>'Datos_fuente'!M235</f>
        <v/>
      </c>
      <c r="Q235" s="160">
        <f>IF('Datos_fuente'!N235="","",LN('Datos_fuente'!N235))</f>
        <v/>
      </c>
      <c r="R235" s="160">
        <f>IF(OR(Q235="",Q234=""),"",Q235-Q234)</f>
        <v/>
      </c>
      <c r="S235" s="161">
        <f>'Datos_fuente'!P235</f>
        <v/>
      </c>
      <c r="T235" s="161">
        <f>IF(OR(S235="",S234=""),"",S235-S234)</f>
        <v/>
      </c>
      <c r="U235" s="160">
        <f>IF('Datos_fuente'!Q235="","",ASINH('Datos_fuente'!Q235/1000))</f>
        <v/>
      </c>
      <c r="V235" s="160">
        <f>IF(OR(U235="",U234=""),"",U235-U234)</f>
        <v/>
      </c>
      <c r="W235" s="160">
        <f>IF('Datos_fuente'!R235="","",ASINH('Datos_fuente'!R235/1000))</f>
        <v/>
      </c>
      <c r="X235" s="160">
        <f>IF(OR(W235="",W234=""),"",W235-W234)</f>
        <v/>
      </c>
      <c r="Y235" s="161">
        <f>'Datos_fuente'!W235</f>
        <v/>
      </c>
      <c r="Z235" s="161">
        <f>IF(OR(Y235="",Y234=""),"",Y235-Y234)</f>
        <v/>
      </c>
      <c r="AA235" s="160">
        <f>'Datos_fuente'!AB235</f>
        <v/>
      </c>
      <c r="AB235" s="160">
        <f>'Datos_fuente'!AC235</f>
        <v/>
      </c>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f>'Datos_fuente'!A236</f>
        <v/>
      </c>
      <c r="B236" s="160">
        <f>IF('Datos_fuente'!B236="","",LN('Datos_fuente'!B236))</f>
        <v/>
      </c>
      <c r="C236" s="160">
        <f>IF(OR(B236="",B235=""),"",B236-B235)</f>
        <v/>
      </c>
      <c r="D236" s="160">
        <f>IF('Datos_fuente'!C236="","",LN('Datos_fuente'!C236))</f>
        <v/>
      </c>
      <c r="E236" s="160">
        <f>IF(OR(D236="",D235=""),"",D236-D235)</f>
        <v/>
      </c>
      <c r="F236" s="160">
        <f>IF('Datos_fuente'!E236="","",LN('Datos_fuente'!E236))</f>
        <v/>
      </c>
      <c r="G236" s="160">
        <f>IF(OR(F236="",F235=""),"",F236-F235)</f>
        <v/>
      </c>
      <c r="H236" s="161">
        <f>'Datos_fuente'!H236</f>
        <v/>
      </c>
      <c r="I236" s="161">
        <f>IF(OR(H236="",H235=""),"",H236-H235)</f>
        <v/>
      </c>
      <c r="J236" s="161">
        <f>'Datos_fuente'!J236</f>
        <v/>
      </c>
      <c r="K236" s="161">
        <f>IF(OR(J236="",J235=""),"",J236-J235)</f>
        <v/>
      </c>
      <c r="L236" s="160">
        <f>IF('Datos_fuente'!K236="","",LN('Datos_fuente'!K236))</f>
        <v/>
      </c>
      <c r="M236" s="160">
        <f>IF(OR(L236="",L235=""),"",L236-L235)</f>
        <v/>
      </c>
      <c r="N236" s="160">
        <f>IF('Datos_fuente'!L236="","",LN('Datos_fuente'!L236))</f>
        <v/>
      </c>
      <c r="O236" s="160">
        <f>IF(OR(N236="",N235=""),"",N236-N235)</f>
        <v/>
      </c>
      <c r="P236" s="162">
        <f>'Datos_fuente'!M236</f>
        <v/>
      </c>
      <c r="Q236" s="160">
        <f>IF('Datos_fuente'!N236="","",LN('Datos_fuente'!N236))</f>
        <v/>
      </c>
      <c r="R236" s="160">
        <f>IF(OR(Q236="",Q235=""),"",Q236-Q235)</f>
        <v/>
      </c>
      <c r="S236" s="161">
        <f>'Datos_fuente'!P236</f>
        <v/>
      </c>
      <c r="T236" s="161">
        <f>IF(OR(S236="",S235=""),"",S236-S235)</f>
        <v/>
      </c>
      <c r="U236" s="160">
        <f>IF('Datos_fuente'!Q236="","",ASINH('Datos_fuente'!Q236/1000))</f>
        <v/>
      </c>
      <c r="V236" s="160">
        <f>IF(OR(U236="",U235=""),"",U236-U235)</f>
        <v/>
      </c>
      <c r="W236" s="160">
        <f>IF('Datos_fuente'!R236="","",ASINH('Datos_fuente'!R236/1000))</f>
        <v/>
      </c>
      <c r="X236" s="160">
        <f>IF(OR(W236="",W235=""),"",W236-W235)</f>
        <v/>
      </c>
      <c r="Y236" s="161">
        <f>'Datos_fuente'!W236</f>
        <v/>
      </c>
      <c r="Z236" s="161">
        <f>IF(OR(Y236="",Y235=""),"",Y236-Y235)</f>
        <v/>
      </c>
      <c r="AA236" s="160">
        <f>'Datos_fuente'!AB236</f>
        <v/>
      </c>
      <c r="AB236" s="160">
        <f>'Datos_fuente'!AC236</f>
        <v/>
      </c>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f>'Datos_fuente'!A237</f>
        <v/>
      </c>
      <c r="B237" s="160">
        <f>IF('Datos_fuente'!B237="","",LN('Datos_fuente'!B237))</f>
        <v/>
      </c>
      <c r="C237" s="160">
        <f>IF(OR(B237="",B236=""),"",B237-B236)</f>
        <v/>
      </c>
      <c r="D237" s="160">
        <f>IF('Datos_fuente'!C237="","",LN('Datos_fuente'!C237))</f>
        <v/>
      </c>
      <c r="E237" s="160">
        <f>IF(OR(D237="",D236=""),"",D237-D236)</f>
        <v/>
      </c>
      <c r="F237" s="160">
        <f>IF('Datos_fuente'!E237="","",LN('Datos_fuente'!E237))</f>
        <v/>
      </c>
      <c r="G237" s="160">
        <f>IF(OR(F237="",F236=""),"",F237-F236)</f>
        <v/>
      </c>
      <c r="H237" s="161">
        <f>'Datos_fuente'!H237</f>
        <v/>
      </c>
      <c r="I237" s="161">
        <f>IF(OR(H237="",H236=""),"",H237-H236)</f>
        <v/>
      </c>
      <c r="J237" s="161">
        <f>'Datos_fuente'!J237</f>
        <v/>
      </c>
      <c r="K237" s="161">
        <f>IF(OR(J237="",J236=""),"",J237-J236)</f>
        <v/>
      </c>
      <c r="L237" s="160">
        <f>IF('Datos_fuente'!K237="","",LN('Datos_fuente'!K237))</f>
        <v/>
      </c>
      <c r="M237" s="160">
        <f>IF(OR(L237="",L236=""),"",L237-L236)</f>
        <v/>
      </c>
      <c r="N237" s="160">
        <f>IF('Datos_fuente'!L237="","",LN('Datos_fuente'!L237))</f>
        <v/>
      </c>
      <c r="O237" s="160">
        <f>IF(OR(N237="",N236=""),"",N237-N236)</f>
        <v/>
      </c>
      <c r="P237" s="162">
        <f>'Datos_fuente'!M237</f>
        <v/>
      </c>
      <c r="Q237" s="160">
        <f>IF('Datos_fuente'!N237="","",LN('Datos_fuente'!N237))</f>
        <v/>
      </c>
      <c r="R237" s="160">
        <f>IF(OR(Q237="",Q236=""),"",Q237-Q236)</f>
        <v/>
      </c>
      <c r="S237" s="161">
        <f>'Datos_fuente'!P237</f>
        <v/>
      </c>
      <c r="T237" s="161">
        <f>IF(OR(S237="",S236=""),"",S237-S236)</f>
        <v/>
      </c>
      <c r="U237" s="160">
        <f>IF('Datos_fuente'!Q237="","",ASINH('Datos_fuente'!Q237/1000))</f>
        <v/>
      </c>
      <c r="V237" s="160">
        <f>IF(OR(U237="",U236=""),"",U237-U236)</f>
        <v/>
      </c>
      <c r="W237" s="160">
        <f>IF('Datos_fuente'!R237="","",ASINH('Datos_fuente'!R237/1000))</f>
        <v/>
      </c>
      <c r="X237" s="160">
        <f>IF(OR(W237="",W236=""),"",W237-W236)</f>
        <v/>
      </c>
      <c r="Y237" s="161">
        <f>'Datos_fuente'!W237</f>
        <v/>
      </c>
      <c r="Z237" s="161">
        <f>IF(OR(Y237="",Y236=""),"",Y237-Y236)</f>
        <v/>
      </c>
      <c r="AA237" s="160">
        <f>'Datos_fuente'!AB237</f>
        <v/>
      </c>
      <c r="AB237" s="160">
        <f>'Datos_fuente'!AC237</f>
        <v/>
      </c>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f>'Datos_fuente'!A238</f>
        <v/>
      </c>
      <c r="B238" s="160">
        <f>IF('Datos_fuente'!B238="","",LN('Datos_fuente'!B238))</f>
        <v/>
      </c>
      <c r="C238" s="160">
        <f>IF(OR(B238="",B237=""),"",B238-B237)</f>
        <v/>
      </c>
      <c r="D238" s="160">
        <f>IF('Datos_fuente'!C238="","",LN('Datos_fuente'!C238))</f>
        <v/>
      </c>
      <c r="E238" s="160">
        <f>IF(OR(D238="",D237=""),"",D238-D237)</f>
        <v/>
      </c>
      <c r="F238" s="160">
        <f>IF('Datos_fuente'!E238="","",LN('Datos_fuente'!E238))</f>
        <v/>
      </c>
      <c r="G238" s="160">
        <f>IF(OR(F238="",F237=""),"",F238-F237)</f>
        <v/>
      </c>
      <c r="H238" s="161">
        <f>'Datos_fuente'!H238</f>
        <v/>
      </c>
      <c r="I238" s="161">
        <f>IF(OR(H238="",H237=""),"",H238-H237)</f>
        <v/>
      </c>
      <c r="J238" s="161">
        <f>'Datos_fuente'!J238</f>
        <v/>
      </c>
      <c r="K238" s="161">
        <f>IF(OR(J238="",J237=""),"",J238-J237)</f>
        <v/>
      </c>
      <c r="L238" s="160">
        <f>IF('Datos_fuente'!K238="","",LN('Datos_fuente'!K238))</f>
        <v/>
      </c>
      <c r="M238" s="160">
        <f>IF(OR(L238="",L237=""),"",L238-L237)</f>
        <v/>
      </c>
      <c r="N238" s="160">
        <f>IF('Datos_fuente'!L238="","",LN('Datos_fuente'!L238))</f>
        <v/>
      </c>
      <c r="O238" s="160">
        <f>IF(OR(N238="",N237=""),"",N238-N237)</f>
        <v/>
      </c>
      <c r="P238" s="162">
        <f>'Datos_fuente'!M238</f>
        <v/>
      </c>
      <c r="Q238" s="160">
        <f>IF('Datos_fuente'!N238="","",LN('Datos_fuente'!N238))</f>
        <v/>
      </c>
      <c r="R238" s="160">
        <f>IF(OR(Q238="",Q237=""),"",Q238-Q237)</f>
        <v/>
      </c>
      <c r="S238" s="161">
        <f>'Datos_fuente'!P238</f>
        <v/>
      </c>
      <c r="T238" s="161">
        <f>IF(OR(S238="",S237=""),"",S238-S237)</f>
        <v/>
      </c>
      <c r="U238" s="160">
        <f>IF('Datos_fuente'!Q238="","",ASINH('Datos_fuente'!Q238/1000))</f>
        <v/>
      </c>
      <c r="V238" s="160">
        <f>IF(OR(U238="",U237=""),"",U238-U237)</f>
        <v/>
      </c>
      <c r="W238" s="160">
        <f>IF('Datos_fuente'!R238="","",ASINH('Datos_fuente'!R238/1000))</f>
        <v/>
      </c>
      <c r="X238" s="160">
        <f>IF(OR(W238="",W237=""),"",W238-W237)</f>
        <v/>
      </c>
      <c r="Y238" s="161">
        <f>'Datos_fuente'!W238</f>
        <v/>
      </c>
      <c r="Z238" s="161">
        <f>IF(OR(Y238="",Y237=""),"",Y238-Y237)</f>
        <v/>
      </c>
      <c r="AA238" s="160">
        <f>'Datos_fuente'!AB238</f>
        <v/>
      </c>
      <c r="AB238" s="160">
        <f>'Datos_fuente'!AC238</f>
        <v/>
      </c>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f>'Datos_fuente'!A239</f>
        <v/>
      </c>
      <c r="B239" s="160">
        <f>IF('Datos_fuente'!B239="","",LN('Datos_fuente'!B239))</f>
        <v/>
      </c>
      <c r="C239" s="160">
        <f>IF(OR(B239="",B238=""),"",B239-B238)</f>
        <v/>
      </c>
      <c r="D239" s="160">
        <f>IF('Datos_fuente'!C239="","",LN('Datos_fuente'!C239))</f>
        <v/>
      </c>
      <c r="E239" s="160">
        <f>IF(OR(D239="",D238=""),"",D239-D238)</f>
        <v/>
      </c>
      <c r="F239" s="160">
        <f>IF('Datos_fuente'!E239="","",LN('Datos_fuente'!E239))</f>
        <v/>
      </c>
      <c r="G239" s="160">
        <f>IF(OR(F239="",F238=""),"",F239-F238)</f>
        <v/>
      </c>
      <c r="H239" s="161">
        <f>'Datos_fuente'!H239</f>
        <v/>
      </c>
      <c r="I239" s="161">
        <f>IF(OR(H239="",H238=""),"",H239-H238)</f>
        <v/>
      </c>
      <c r="J239" s="161">
        <f>'Datos_fuente'!J239</f>
        <v/>
      </c>
      <c r="K239" s="161">
        <f>IF(OR(J239="",J238=""),"",J239-J238)</f>
        <v/>
      </c>
      <c r="L239" s="160">
        <f>IF('Datos_fuente'!K239="","",LN('Datos_fuente'!K239))</f>
        <v/>
      </c>
      <c r="M239" s="160">
        <f>IF(OR(L239="",L238=""),"",L239-L238)</f>
        <v/>
      </c>
      <c r="N239" s="160">
        <f>IF('Datos_fuente'!L239="","",LN('Datos_fuente'!L239))</f>
        <v/>
      </c>
      <c r="O239" s="160">
        <f>IF(OR(N239="",N238=""),"",N239-N238)</f>
        <v/>
      </c>
      <c r="P239" s="162">
        <f>'Datos_fuente'!M239</f>
        <v/>
      </c>
      <c r="Q239" s="160">
        <f>IF('Datos_fuente'!N239="","",LN('Datos_fuente'!N239))</f>
        <v/>
      </c>
      <c r="R239" s="160">
        <f>IF(OR(Q239="",Q238=""),"",Q239-Q238)</f>
        <v/>
      </c>
      <c r="S239" s="161">
        <f>'Datos_fuente'!P239</f>
        <v/>
      </c>
      <c r="T239" s="161">
        <f>IF(OR(S239="",S238=""),"",S239-S238)</f>
        <v/>
      </c>
      <c r="U239" s="160">
        <f>IF('Datos_fuente'!Q239="","",ASINH('Datos_fuente'!Q239/1000))</f>
        <v/>
      </c>
      <c r="V239" s="160">
        <f>IF(OR(U239="",U238=""),"",U239-U238)</f>
        <v/>
      </c>
      <c r="W239" s="160">
        <f>IF('Datos_fuente'!R239="","",ASINH('Datos_fuente'!R239/1000))</f>
        <v/>
      </c>
      <c r="X239" s="160">
        <f>IF(OR(W239="",W238=""),"",W239-W238)</f>
        <v/>
      </c>
      <c r="Y239" s="161">
        <f>'Datos_fuente'!W239</f>
        <v/>
      </c>
      <c r="Z239" s="161">
        <f>IF(OR(Y239="",Y238=""),"",Y239-Y238)</f>
        <v/>
      </c>
      <c r="AA239" s="160">
        <f>'Datos_fuente'!AB239</f>
        <v/>
      </c>
      <c r="AB239" s="160">
        <f>'Datos_fuente'!AC239</f>
        <v/>
      </c>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f>'Datos_fuente'!A240</f>
        <v/>
      </c>
      <c r="B240" s="160">
        <f>IF('Datos_fuente'!B240="","",LN('Datos_fuente'!B240))</f>
        <v/>
      </c>
      <c r="C240" s="160">
        <f>IF(OR(B240="",B239=""),"",B240-B239)</f>
        <v/>
      </c>
      <c r="D240" s="160">
        <f>IF('Datos_fuente'!C240="","",LN('Datos_fuente'!C240))</f>
        <v/>
      </c>
      <c r="E240" s="160">
        <f>IF(OR(D240="",D239=""),"",D240-D239)</f>
        <v/>
      </c>
      <c r="F240" s="160">
        <f>IF('Datos_fuente'!E240="","",LN('Datos_fuente'!E240))</f>
        <v/>
      </c>
      <c r="G240" s="160">
        <f>IF(OR(F240="",F239=""),"",F240-F239)</f>
        <v/>
      </c>
      <c r="H240" s="161">
        <f>'Datos_fuente'!H240</f>
        <v/>
      </c>
      <c r="I240" s="161">
        <f>IF(OR(H240="",H239=""),"",H240-H239)</f>
        <v/>
      </c>
      <c r="J240" s="161">
        <f>'Datos_fuente'!J240</f>
        <v/>
      </c>
      <c r="K240" s="161">
        <f>IF(OR(J240="",J239=""),"",J240-J239)</f>
        <v/>
      </c>
      <c r="L240" s="160">
        <f>IF('Datos_fuente'!K240="","",LN('Datos_fuente'!K240))</f>
        <v/>
      </c>
      <c r="M240" s="160">
        <f>IF(OR(L240="",L239=""),"",L240-L239)</f>
        <v/>
      </c>
      <c r="N240" s="160">
        <f>IF('Datos_fuente'!L240="","",LN('Datos_fuente'!L240))</f>
        <v/>
      </c>
      <c r="O240" s="160">
        <f>IF(OR(N240="",N239=""),"",N240-N239)</f>
        <v/>
      </c>
      <c r="P240" s="162">
        <f>'Datos_fuente'!M240</f>
        <v/>
      </c>
      <c r="Q240" s="160">
        <f>IF('Datos_fuente'!N240="","",LN('Datos_fuente'!N240))</f>
        <v/>
      </c>
      <c r="R240" s="160">
        <f>IF(OR(Q240="",Q239=""),"",Q240-Q239)</f>
        <v/>
      </c>
      <c r="S240" s="161">
        <f>'Datos_fuente'!P240</f>
        <v/>
      </c>
      <c r="T240" s="161">
        <f>IF(OR(S240="",S239=""),"",S240-S239)</f>
        <v/>
      </c>
      <c r="U240" s="160">
        <f>IF('Datos_fuente'!Q240="","",ASINH('Datos_fuente'!Q240/1000))</f>
        <v/>
      </c>
      <c r="V240" s="160">
        <f>IF(OR(U240="",U239=""),"",U240-U239)</f>
        <v/>
      </c>
      <c r="W240" s="160">
        <f>IF('Datos_fuente'!R240="","",ASINH('Datos_fuente'!R240/1000))</f>
        <v/>
      </c>
      <c r="X240" s="160">
        <f>IF(OR(W240="",W239=""),"",W240-W239)</f>
        <v/>
      </c>
      <c r="Y240" s="161">
        <f>'Datos_fuente'!W240</f>
        <v/>
      </c>
      <c r="Z240" s="161">
        <f>IF(OR(Y240="",Y239=""),"",Y240-Y239)</f>
        <v/>
      </c>
      <c r="AA240" s="160">
        <f>'Datos_fuente'!AB240</f>
        <v/>
      </c>
      <c r="AB240" s="160">
        <f>'Datos_fuente'!AC240</f>
        <v/>
      </c>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f>'Datos_fuente'!A241</f>
        <v/>
      </c>
      <c r="B241" s="160">
        <f>IF('Datos_fuente'!B241="","",LN('Datos_fuente'!B241))</f>
        <v/>
      </c>
      <c r="C241" s="160">
        <f>IF(OR(B241="",B240=""),"",B241-B240)</f>
        <v/>
      </c>
      <c r="D241" s="160">
        <f>IF('Datos_fuente'!C241="","",LN('Datos_fuente'!C241))</f>
        <v/>
      </c>
      <c r="E241" s="160">
        <f>IF(OR(D241="",D240=""),"",D241-D240)</f>
        <v/>
      </c>
      <c r="F241" s="160">
        <f>IF('Datos_fuente'!E241="","",LN('Datos_fuente'!E241))</f>
        <v/>
      </c>
      <c r="G241" s="160">
        <f>IF(OR(F241="",F240=""),"",F241-F240)</f>
        <v/>
      </c>
      <c r="H241" s="161">
        <f>'Datos_fuente'!H241</f>
        <v/>
      </c>
      <c r="I241" s="161">
        <f>IF(OR(H241="",H240=""),"",H241-H240)</f>
        <v/>
      </c>
      <c r="J241" s="161">
        <f>'Datos_fuente'!J241</f>
        <v/>
      </c>
      <c r="K241" s="161">
        <f>IF(OR(J241="",J240=""),"",J241-J240)</f>
        <v/>
      </c>
      <c r="L241" s="160">
        <f>IF('Datos_fuente'!K241="","",LN('Datos_fuente'!K241))</f>
        <v/>
      </c>
      <c r="M241" s="160">
        <f>IF(OR(L241="",L240=""),"",L241-L240)</f>
        <v/>
      </c>
      <c r="N241" s="160">
        <f>IF('Datos_fuente'!L241="","",LN('Datos_fuente'!L241))</f>
        <v/>
      </c>
      <c r="O241" s="160">
        <f>IF(OR(N241="",N240=""),"",N241-N240)</f>
        <v/>
      </c>
      <c r="P241" s="162">
        <f>'Datos_fuente'!M241</f>
        <v/>
      </c>
      <c r="Q241" s="160">
        <f>IF('Datos_fuente'!N241="","",LN('Datos_fuente'!N241))</f>
        <v/>
      </c>
      <c r="R241" s="160">
        <f>IF(OR(Q241="",Q240=""),"",Q241-Q240)</f>
        <v/>
      </c>
      <c r="S241" s="161">
        <f>'Datos_fuente'!P241</f>
        <v/>
      </c>
      <c r="T241" s="161">
        <f>IF(OR(S241="",S240=""),"",S241-S240)</f>
        <v/>
      </c>
      <c r="U241" s="160">
        <f>IF('Datos_fuente'!Q241="","",ASINH('Datos_fuente'!Q241/1000))</f>
        <v/>
      </c>
      <c r="V241" s="160">
        <f>IF(OR(U241="",U240=""),"",U241-U240)</f>
        <v/>
      </c>
      <c r="W241" s="160">
        <f>IF('Datos_fuente'!R241="","",ASINH('Datos_fuente'!R241/1000))</f>
        <v/>
      </c>
      <c r="X241" s="160">
        <f>IF(OR(W241="",W240=""),"",W241-W240)</f>
        <v/>
      </c>
      <c r="Y241" s="161">
        <f>'Datos_fuente'!W241</f>
        <v/>
      </c>
      <c r="Z241" s="161">
        <f>IF(OR(Y241="",Y240=""),"",Y241-Y240)</f>
        <v/>
      </c>
      <c r="AA241" s="160">
        <f>'Datos_fuente'!AB241</f>
        <v/>
      </c>
      <c r="AB241" s="160">
        <f>'Datos_fuente'!AC241</f>
        <v/>
      </c>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f>'Datos_fuente'!A242</f>
        <v/>
      </c>
      <c r="B242" s="160">
        <f>IF('Datos_fuente'!B242="","",LN('Datos_fuente'!B242))</f>
        <v/>
      </c>
      <c r="C242" s="160">
        <f>IF(OR(B242="",B241=""),"",B242-B241)</f>
        <v/>
      </c>
      <c r="D242" s="160">
        <f>IF('Datos_fuente'!C242="","",LN('Datos_fuente'!C242))</f>
        <v/>
      </c>
      <c r="E242" s="160">
        <f>IF(OR(D242="",D241=""),"",D242-D241)</f>
        <v/>
      </c>
      <c r="F242" s="160">
        <f>IF('Datos_fuente'!E242="","",LN('Datos_fuente'!E242))</f>
        <v/>
      </c>
      <c r="G242" s="160">
        <f>IF(OR(F242="",F241=""),"",F242-F241)</f>
        <v/>
      </c>
      <c r="H242" s="161">
        <f>'Datos_fuente'!H242</f>
        <v/>
      </c>
      <c r="I242" s="161">
        <f>IF(OR(H242="",H241=""),"",H242-H241)</f>
        <v/>
      </c>
      <c r="J242" s="161">
        <f>'Datos_fuente'!J242</f>
        <v/>
      </c>
      <c r="K242" s="161">
        <f>IF(OR(J242="",J241=""),"",J242-J241)</f>
        <v/>
      </c>
      <c r="L242" s="160">
        <f>IF('Datos_fuente'!K242="","",LN('Datos_fuente'!K242))</f>
        <v/>
      </c>
      <c r="M242" s="160">
        <f>IF(OR(L242="",L241=""),"",L242-L241)</f>
        <v/>
      </c>
      <c r="N242" s="160">
        <f>IF('Datos_fuente'!L242="","",LN('Datos_fuente'!L242))</f>
        <v/>
      </c>
      <c r="O242" s="160">
        <f>IF(OR(N242="",N241=""),"",N242-N241)</f>
        <v/>
      </c>
      <c r="P242" s="162">
        <f>'Datos_fuente'!M242</f>
        <v/>
      </c>
      <c r="Q242" s="160">
        <f>IF('Datos_fuente'!N242="","",LN('Datos_fuente'!N242))</f>
        <v/>
      </c>
      <c r="R242" s="160">
        <f>IF(OR(Q242="",Q241=""),"",Q242-Q241)</f>
        <v/>
      </c>
      <c r="S242" s="161">
        <f>'Datos_fuente'!P242</f>
        <v/>
      </c>
      <c r="T242" s="161">
        <f>IF(OR(S242="",S241=""),"",S242-S241)</f>
        <v/>
      </c>
      <c r="U242" s="160">
        <f>IF('Datos_fuente'!Q242="","",ASINH('Datos_fuente'!Q242/1000))</f>
        <v/>
      </c>
      <c r="V242" s="160">
        <f>IF(OR(U242="",U241=""),"",U242-U241)</f>
        <v/>
      </c>
      <c r="W242" s="160">
        <f>IF('Datos_fuente'!R242="","",ASINH('Datos_fuente'!R242/1000))</f>
        <v/>
      </c>
      <c r="X242" s="160">
        <f>IF(OR(W242="",W241=""),"",W242-W241)</f>
        <v/>
      </c>
      <c r="Y242" s="161">
        <f>'Datos_fuente'!W242</f>
        <v/>
      </c>
      <c r="Z242" s="161">
        <f>IF(OR(Y242="",Y241=""),"",Y242-Y241)</f>
        <v/>
      </c>
      <c r="AA242" s="160">
        <f>'Datos_fuente'!AB242</f>
        <v/>
      </c>
      <c r="AB242" s="160">
        <f>'Datos_fuente'!AC242</f>
        <v/>
      </c>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f>'Datos_fuente'!A243</f>
        <v/>
      </c>
      <c r="B243" s="160">
        <f>IF('Datos_fuente'!B243="","",LN('Datos_fuente'!B243))</f>
        <v/>
      </c>
      <c r="C243" s="160">
        <f>IF(OR(B243="",B242=""),"",B243-B242)</f>
        <v/>
      </c>
      <c r="D243" s="160">
        <f>IF('Datos_fuente'!C243="","",LN('Datos_fuente'!C243))</f>
        <v/>
      </c>
      <c r="E243" s="160">
        <f>IF(OR(D243="",D242=""),"",D243-D242)</f>
        <v/>
      </c>
      <c r="F243" s="160">
        <f>IF('Datos_fuente'!E243="","",LN('Datos_fuente'!E243))</f>
        <v/>
      </c>
      <c r="G243" s="160">
        <f>IF(OR(F243="",F242=""),"",F243-F242)</f>
        <v/>
      </c>
      <c r="H243" s="161">
        <f>'Datos_fuente'!H243</f>
        <v/>
      </c>
      <c r="I243" s="161">
        <f>IF(OR(H243="",H242=""),"",H243-H242)</f>
        <v/>
      </c>
      <c r="J243" s="161">
        <f>'Datos_fuente'!J243</f>
        <v/>
      </c>
      <c r="K243" s="161">
        <f>IF(OR(J243="",J242=""),"",J243-J242)</f>
        <v/>
      </c>
      <c r="L243" s="160">
        <f>IF('Datos_fuente'!K243="","",LN('Datos_fuente'!K243))</f>
        <v/>
      </c>
      <c r="M243" s="160">
        <f>IF(OR(L243="",L242=""),"",L243-L242)</f>
        <v/>
      </c>
      <c r="N243" s="160">
        <f>IF('Datos_fuente'!L243="","",LN('Datos_fuente'!L243))</f>
        <v/>
      </c>
      <c r="O243" s="160">
        <f>IF(OR(N243="",N242=""),"",N243-N242)</f>
        <v/>
      </c>
      <c r="P243" s="162">
        <f>'Datos_fuente'!M243</f>
        <v/>
      </c>
      <c r="Q243" s="160">
        <f>IF('Datos_fuente'!N243="","",LN('Datos_fuente'!N243))</f>
        <v/>
      </c>
      <c r="R243" s="160">
        <f>IF(OR(Q243="",Q242=""),"",Q243-Q242)</f>
        <v/>
      </c>
      <c r="S243" s="161">
        <f>'Datos_fuente'!P243</f>
        <v/>
      </c>
      <c r="T243" s="161">
        <f>IF(OR(S243="",S242=""),"",S243-S242)</f>
        <v/>
      </c>
      <c r="U243" s="160">
        <f>IF('Datos_fuente'!Q243="","",ASINH('Datos_fuente'!Q243/1000))</f>
        <v/>
      </c>
      <c r="V243" s="160">
        <f>IF(OR(U243="",U242=""),"",U243-U242)</f>
        <v/>
      </c>
      <c r="W243" s="160">
        <f>IF('Datos_fuente'!R243="","",ASINH('Datos_fuente'!R243/1000))</f>
        <v/>
      </c>
      <c r="X243" s="160">
        <f>IF(OR(W243="",W242=""),"",W243-W242)</f>
        <v/>
      </c>
      <c r="Y243" s="161">
        <f>'Datos_fuente'!W243</f>
        <v/>
      </c>
      <c r="Z243" s="161">
        <f>IF(OR(Y243="",Y242=""),"",Y243-Y242)</f>
        <v/>
      </c>
      <c r="AA243" s="160">
        <f>'Datos_fuente'!AB243</f>
        <v/>
      </c>
      <c r="AB243" s="160">
        <f>'Datos_fuente'!AC243</f>
        <v/>
      </c>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f>'Datos_fuente'!A244</f>
        <v/>
      </c>
      <c r="B244" s="160">
        <f>IF('Datos_fuente'!B244="","",LN('Datos_fuente'!B244))</f>
        <v/>
      </c>
      <c r="C244" s="160">
        <f>IF(OR(B244="",B243=""),"",B244-B243)</f>
        <v/>
      </c>
      <c r="D244" s="160">
        <f>IF('Datos_fuente'!C244="","",LN('Datos_fuente'!C244))</f>
        <v/>
      </c>
      <c r="E244" s="160">
        <f>IF(OR(D244="",D243=""),"",D244-D243)</f>
        <v/>
      </c>
      <c r="F244" s="160">
        <f>IF('Datos_fuente'!E244="","",LN('Datos_fuente'!E244))</f>
        <v/>
      </c>
      <c r="G244" s="160">
        <f>IF(OR(F244="",F243=""),"",F244-F243)</f>
        <v/>
      </c>
      <c r="H244" s="161">
        <f>'Datos_fuente'!H244</f>
        <v/>
      </c>
      <c r="I244" s="161">
        <f>IF(OR(H244="",H243=""),"",H244-H243)</f>
        <v/>
      </c>
      <c r="J244" s="161">
        <f>'Datos_fuente'!J244</f>
        <v/>
      </c>
      <c r="K244" s="161">
        <f>IF(OR(J244="",J243=""),"",J244-J243)</f>
        <v/>
      </c>
      <c r="L244" s="160">
        <f>IF('Datos_fuente'!K244="","",LN('Datos_fuente'!K244))</f>
        <v/>
      </c>
      <c r="M244" s="160">
        <f>IF(OR(L244="",L243=""),"",L244-L243)</f>
        <v/>
      </c>
      <c r="N244" s="160">
        <f>IF('Datos_fuente'!L244="","",LN('Datos_fuente'!L244))</f>
        <v/>
      </c>
      <c r="O244" s="160">
        <f>IF(OR(N244="",N243=""),"",N244-N243)</f>
        <v/>
      </c>
      <c r="P244" s="162">
        <f>'Datos_fuente'!M244</f>
        <v/>
      </c>
      <c r="Q244" s="160">
        <f>IF('Datos_fuente'!N244="","",LN('Datos_fuente'!N244))</f>
        <v/>
      </c>
      <c r="R244" s="160">
        <f>IF(OR(Q244="",Q243=""),"",Q244-Q243)</f>
        <v/>
      </c>
      <c r="S244" s="161">
        <f>'Datos_fuente'!P244</f>
        <v/>
      </c>
      <c r="T244" s="161">
        <f>IF(OR(S244="",S243=""),"",S244-S243)</f>
        <v/>
      </c>
      <c r="U244" s="160">
        <f>IF('Datos_fuente'!Q244="","",ASINH('Datos_fuente'!Q244/1000))</f>
        <v/>
      </c>
      <c r="V244" s="160">
        <f>IF(OR(U244="",U243=""),"",U244-U243)</f>
        <v/>
      </c>
      <c r="W244" s="160">
        <f>IF('Datos_fuente'!R244="","",ASINH('Datos_fuente'!R244/1000))</f>
        <v/>
      </c>
      <c r="X244" s="160">
        <f>IF(OR(W244="",W243=""),"",W244-W243)</f>
        <v/>
      </c>
      <c r="Y244" s="161">
        <f>'Datos_fuente'!W244</f>
        <v/>
      </c>
      <c r="Z244" s="161">
        <f>IF(OR(Y244="",Y243=""),"",Y244-Y243)</f>
        <v/>
      </c>
      <c r="AA244" s="160">
        <f>'Datos_fuente'!AB244</f>
        <v/>
      </c>
      <c r="AB244" s="160">
        <f>'Datos_fuente'!AC244</f>
        <v/>
      </c>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f>'Datos_fuente'!A245</f>
        <v/>
      </c>
      <c r="B245" s="160">
        <f>IF('Datos_fuente'!B245="","",LN('Datos_fuente'!B245))</f>
        <v/>
      </c>
      <c r="C245" s="160">
        <f>IF(OR(B245="",B244=""),"",B245-B244)</f>
        <v/>
      </c>
      <c r="D245" s="160">
        <f>IF('Datos_fuente'!C245="","",LN('Datos_fuente'!C245))</f>
        <v/>
      </c>
      <c r="E245" s="160">
        <f>IF(OR(D245="",D244=""),"",D245-D244)</f>
        <v/>
      </c>
      <c r="F245" s="160">
        <f>IF('Datos_fuente'!E245="","",LN('Datos_fuente'!E245))</f>
        <v/>
      </c>
      <c r="G245" s="160">
        <f>IF(OR(F245="",F244=""),"",F245-F244)</f>
        <v/>
      </c>
      <c r="H245" s="161">
        <f>'Datos_fuente'!H245</f>
        <v/>
      </c>
      <c r="I245" s="161">
        <f>IF(OR(H245="",H244=""),"",H245-H244)</f>
        <v/>
      </c>
      <c r="J245" s="161">
        <f>'Datos_fuente'!J245</f>
        <v/>
      </c>
      <c r="K245" s="161">
        <f>IF(OR(J245="",J244=""),"",J245-J244)</f>
        <v/>
      </c>
      <c r="L245" s="160">
        <f>IF('Datos_fuente'!K245="","",LN('Datos_fuente'!K245))</f>
        <v/>
      </c>
      <c r="M245" s="160">
        <f>IF(OR(L245="",L244=""),"",L245-L244)</f>
        <v/>
      </c>
      <c r="N245" s="160">
        <f>IF('Datos_fuente'!L245="","",LN('Datos_fuente'!L245))</f>
        <v/>
      </c>
      <c r="O245" s="160">
        <f>IF(OR(N245="",N244=""),"",N245-N244)</f>
        <v/>
      </c>
      <c r="P245" s="162">
        <f>'Datos_fuente'!M245</f>
        <v/>
      </c>
      <c r="Q245" s="160">
        <f>IF('Datos_fuente'!N245="","",LN('Datos_fuente'!N245))</f>
        <v/>
      </c>
      <c r="R245" s="160">
        <f>IF(OR(Q245="",Q244=""),"",Q245-Q244)</f>
        <v/>
      </c>
      <c r="S245" s="161">
        <f>'Datos_fuente'!P245</f>
        <v/>
      </c>
      <c r="T245" s="161">
        <f>IF(OR(S245="",S244=""),"",S245-S244)</f>
        <v/>
      </c>
      <c r="U245" s="160">
        <f>IF('Datos_fuente'!Q245="","",ASINH('Datos_fuente'!Q245/1000))</f>
        <v/>
      </c>
      <c r="V245" s="160">
        <f>IF(OR(U245="",U244=""),"",U245-U244)</f>
        <v/>
      </c>
      <c r="W245" s="160">
        <f>IF('Datos_fuente'!R245="","",ASINH('Datos_fuente'!R245/1000))</f>
        <v/>
      </c>
      <c r="X245" s="160">
        <f>IF(OR(W245="",W244=""),"",W245-W244)</f>
        <v/>
      </c>
      <c r="Y245" s="161">
        <f>'Datos_fuente'!W245</f>
        <v/>
      </c>
      <c r="Z245" s="161">
        <f>IF(OR(Y245="",Y244=""),"",Y245-Y244)</f>
        <v/>
      </c>
      <c r="AA245" s="160">
        <f>'Datos_fuente'!AB245</f>
        <v/>
      </c>
      <c r="AB245" s="160">
        <f>'Datos_fuente'!AC245</f>
        <v/>
      </c>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f>'Datos_fuente'!A246</f>
        <v/>
      </c>
      <c r="B246" s="160">
        <f>IF('Datos_fuente'!B246="","",LN('Datos_fuente'!B246))</f>
        <v/>
      </c>
      <c r="C246" s="160">
        <f>IF(OR(B246="",B245=""),"",B246-B245)</f>
        <v/>
      </c>
      <c r="D246" s="160">
        <f>IF('Datos_fuente'!C246="","",LN('Datos_fuente'!C246))</f>
        <v/>
      </c>
      <c r="E246" s="160">
        <f>IF(OR(D246="",D245=""),"",D246-D245)</f>
        <v/>
      </c>
      <c r="F246" s="160">
        <f>IF('Datos_fuente'!E246="","",LN('Datos_fuente'!E246))</f>
        <v/>
      </c>
      <c r="G246" s="160">
        <f>IF(OR(F246="",F245=""),"",F246-F245)</f>
        <v/>
      </c>
      <c r="H246" s="161">
        <f>'Datos_fuente'!H246</f>
        <v/>
      </c>
      <c r="I246" s="161">
        <f>IF(OR(H246="",H245=""),"",H246-H245)</f>
        <v/>
      </c>
      <c r="J246" s="161">
        <f>'Datos_fuente'!J246</f>
        <v/>
      </c>
      <c r="K246" s="161">
        <f>IF(OR(J246="",J245=""),"",J246-J245)</f>
        <v/>
      </c>
      <c r="L246" s="160">
        <f>IF('Datos_fuente'!K246="","",LN('Datos_fuente'!K246))</f>
        <v/>
      </c>
      <c r="M246" s="160">
        <f>IF(OR(L246="",L245=""),"",L246-L245)</f>
        <v/>
      </c>
      <c r="N246" s="160">
        <f>IF('Datos_fuente'!L246="","",LN('Datos_fuente'!L246))</f>
        <v/>
      </c>
      <c r="O246" s="160">
        <f>IF(OR(N246="",N245=""),"",N246-N245)</f>
        <v/>
      </c>
      <c r="P246" s="162">
        <f>'Datos_fuente'!M246</f>
        <v/>
      </c>
      <c r="Q246" s="160">
        <f>IF('Datos_fuente'!N246="","",LN('Datos_fuente'!N246))</f>
        <v/>
      </c>
      <c r="R246" s="160">
        <f>IF(OR(Q246="",Q245=""),"",Q246-Q245)</f>
        <v/>
      </c>
      <c r="S246" s="161">
        <f>'Datos_fuente'!P246</f>
        <v/>
      </c>
      <c r="T246" s="161">
        <f>IF(OR(S246="",S245=""),"",S246-S245)</f>
        <v/>
      </c>
      <c r="U246" s="160">
        <f>IF('Datos_fuente'!Q246="","",ASINH('Datos_fuente'!Q246/1000))</f>
        <v/>
      </c>
      <c r="V246" s="160">
        <f>IF(OR(U246="",U245=""),"",U246-U245)</f>
        <v/>
      </c>
      <c r="W246" s="160">
        <f>IF('Datos_fuente'!R246="","",ASINH('Datos_fuente'!R246/1000))</f>
        <v/>
      </c>
      <c r="X246" s="160">
        <f>IF(OR(W246="",W245=""),"",W246-W245)</f>
        <v/>
      </c>
      <c r="Y246" s="161">
        <f>'Datos_fuente'!W246</f>
        <v/>
      </c>
      <c r="Z246" s="161">
        <f>IF(OR(Y246="",Y245=""),"",Y246-Y245)</f>
        <v/>
      </c>
      <c r="AA246" s="160">
        <f>'Datos_fuente'!AB246</f>
        <v/>
      </c>
      <c r="AB246" s="160">
        <f>'Datos_fuente'!AC246</f>
        <v/>
      </c>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f>'Datos_fuente'!A247</f>
        <v/>
      </c>
      <c r="B247" s="160">
        <f>IF('Datos_fuente'!B247="","",LN('Datos_fuente'!B247))</f>
        <v/>
      </c>
      <c r="C247" s="160">
        <f>IF(OR(B247="",B246=""),"",B247-B246)</f>
        <v/>
      </c>
      <c r="D247" s="160">
        <f>IF('Datos_fuente'!C247="","",LN('Datos_fuente'!C247))</f>
        <v/>
      </c>
      <c r="E247" s="160">
        <f>IF(OR(D247="",D246=""),"",D247-D246)</f>
        <v/>
      </c>
      <c r="F247" s="160">
        <f>IF('Datos_fuente'!E247="","",LN('Datos_fuente'!E247))</f>
        <v/>
      </c>
      <c r="G247" s="160">
        <f>IF(OR(F247="",F246=""),"",F247-F246)</f>
        <v/>
      </c>
      <c r="H247" s="161">
        <f>'Datos_fuente'!H247</f>
        <v/>
      </c>
      <c r="I247" s="161">
        <f>IF(OR(H247="",H246=""),"",H247-H246)</f>
        <v/>
      </c>
      <c r="J247" s="161">
        <f>'Datos_fuente'!J247</f>
        <v/>
      </c>
      <c r="K247" s="161">
        <f>IF(OR(J247="",J246=""),"",J247-J246)</f>
        <v/>
      </c>
      <c r="L247" s="160">
        <f>IF('Datos_fuente'!K247="","",LN('Datos_fuente'!K247))</f>
        <v/>
      </c>
      <c r="M247" s="160">
        <f>IF(OR(L247="",L246=""),"",L247-L246)</f>
        <v/>
      </c>
      <c r="N247" s="160">
        <f>IF('Datos_fuente'!L247="","",LN('Datos_fuente'!L247))</f>
        <v/>
      </c>
      <c r="O247" s="160">
        <f>IF(OR(N247="",N246=""),"",N247-N246)</f>
        <v/>
      </c>
      <c r="P247" s="162">
        <f>'Datos_fuente'!M247</f>
        <v/>
      </c>
      <c r="Q247" s="160">
        <f>IF('Datos_fuente'!N247="","",LN('Datos_fuente'!N247))</f>
        <v/>
      </c>
      <c r="R247" s="160">
        <f>IF(OR(Q247="",Q246=""),"",Q247-Q246)</f>
        <v/>
      </c>
      <c r="S247" s="161">
        <f>'Datos_fuente'!P247</f>
        <v/>
      </c>
      <c r="T247" s="161">
        <f>IF(OR(S247="",S246=""),"",S247-S246)</f>
        <v/>
      </c>
      <c r="U247" s="160">
        <f>IF('Datos_fuente'!Q247="","",ASINH('Datos_fuente'!Q247/1000))</f>
        <v/>
      </c>
      <c r="V247" s="160">
        <f>IF(OR(U247="",U246=""),"",U247-U246)</f>
        <v/>
      </c>
      <c r="W247" s="160">
        <f>IF('Datos_fuente'!R247="","",ASINH('Datos_fuente'!R247/1000))</f>
        <v/>
      </c>
      <c r="X247" s="160">
        <f>IF(OR(W247="",W246=""),"",W247-W246)</f>
        <v/>
      </c>
      <c r="Y247" s="161">
        <f>'Datos_fuente'!W247</f>
        <v/>
      </c>
      <c r="Z247" s="161">
        <f>IF(OR(Y247="",Y246=""),"",Y247-Y246)</f>
        <v/>
      </c>
      <c r="AA247" s="160">
        <f>'Datos_fuente'!AB247</f>
        <v/>
      </c>
      <c r="AB247" s="160">
        <f>'Datos_fuente'!AC247</f>
        <v/>
      </c>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f>'Datos_fuente'!A248</f>
        <v/>
      </c>
      <c r="B248" s="160">
        <f>IF('Datos_fuente'!B248="","",LN('Datos_fuente'!B248))</f>
        <v/>
      </c>
      <c r="C248" s="160">
        <f>IF(OR(B248="",B247=""),"",B248-B247)</f>
        <v/>
      </c>
      <c r="D248" s="160">
        <f>IF('Datos_fuente'!C248="","",LN('Datos_fuente'!C248))</f>
        <v/>
      </c>
      <c r="E248" s="160">
        <f>IF(OR(D248="",D247=""),"",D248-D247)</f>
        <v/>
      </c>
      <c r="F248" s="160">
        <f>IF('Datos_fuente'!E248="","",LN('Datos_fuente'!E248))</f>
        <v/>
      </c>
      <c r="G248" s="160">
        <f>IF(OR(F248="",F247=""),"",F248-F247)</f>
        <v/>
      </c>
      <c r="H248" s="161">
        <f>'Datos_fuente'!H248</f>
        <v/>
      </c>
      <c r="I248" s="161">
        <f>IF(OR(H248="",H247=""),"",H248-H247)</f>
        <v/>
      </c>
      <c r="J248" s="161">
        <f>'Datos_fuente'!J248</f>
        <v/>
      </c>
      <c r="K248" s="161">
        <f>IF(OR(J248="",J247=""),"",J248-J247)</f>
        <v/>
      </c>
      <c r="L248" s="160">
        <f>IF('Datos_fuente'!K248="","",LN('Datos_fuente'!K248))</f>
        <v/>
      </c>
      <c r="M248" s="160">
        <f>IF(OR(L248="",L247=""),"",L248-L247)</f>
        <v/>
      </c>
      <c r="N248" s="160">
        <f>IF('Datos_fuente'!L248="","",LN('Datos_fuente'!L248))</f>
        <v/>
      </c>
      <c r="O248" s="160">
        <f>IF(OR(N248="",N247=""),"",N248-N247)</f>
        <v/>
      </c>
      <c r="P248" s="162">
        <f>'Datos_fuente'!M248</f>
        <v/>
      </c>
      <c r="Q248" s="160">
        <f>IF('Datos_fuente'!N248="","",LN('Datos_fuente'!N248))</f>
        <v/>
      </c>
      <c r="R248" s="160">
        <f>IF(OR(Q248="",Q247=""),"",Q248-Q247)</f>
        <v/>
      </c>
      <c r="S248" s="161">
        <f>'Datos_fuente'!P248</f>
        <v/>
      </c>
      <c r="T248" s="161">
        <f>IF(OR(S248="",S247=""),"",S248-S247)</f>
        <v/>
      </c>
      <c r="U248" s="160">
        <f>IF('Datos_fuente'!Q248="","",ASINH('Datos_fuente'!Q248/1000))</f>
        <v/>
      </c>
      <c r="V248" s="160">
        <f>IF(OR(U248="",U247=""),"",U248-U247)</f>
        <v/>
      </c>
      <c r="W248" s="160">
        <f>IF('Datos_fuente'!R248="","",ASINH('Datos_fuente'!R248/1000))</f>
        <v/>
      </c>
      <c r="X248" s="160">
        <f>IF(OR(W248="",W247=""),"",W248-W247)</f>
        <v/>
      </c>
      <c r="Y248" s="161">
        <f>'Datos_fuente'!W248</f>
        <v/>
      </c>
      <c r="Z248" s="161">
        <f>IF(OR(Y248="",Y247=""),"",Y248-Y247)</f>
        <v/>
      </c>
      <c r="AA248" s="160">
        <f>'Datos_fuente'!AB248</f>
        <v/>
      </c>
      <c r="AB248" s="160">
        <f>'Datos_fuente'!AC248</f>
        <v/>
      </c>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f>'Datos_fuente'!A249</f>
        <v/>
      </c>
      <c r="B249" s="160">
        <f>IF('Datos_fuente'!B249="","",LN('Datos_fuente'!B249))</f>
        <v/>
      </c>
      <c r="C249" s="160">
        <f>IF(OR(B249="",B248=""),"",B249-B248)</f>
        <v/>
      </c>
      <c r="D249" s="160">
        <f>IF('Datos_fuente'!C249="","",LN('Datos_fuente'!C249))</f>
        <v/>
      </c>
      <c r="E249" s="160">
        <f>IF(OR(D249="",D248=""),"",D249-D248)</f>
        <v/>
      </c>
      <c r="F249" s="160">
        <f>IF('Datos_fuente'!E249="","",LN('Datos_fuente'!E249))</f>
        <v/>
      </c>
      <c r="G249" s="160">
        <f>IF(OR(F249="",F248=""),"",F249-F248)</f>
        <v/>
      </c>
      <c r="H249" s="161">
        <f>'Datos_fuente'!H249</f>
        <v/>
      </c>
      <c r="I249" s="161">
        <f>IF(OR(H249="",H248=""),"",H249-H248)</f>
        <v/>
      </c>
      <c r="J249" s="161">
        <f>'Datos_fuente'!J249</f>
        <v/>
      </c>
      <c r="K249" s="161">
        <f>IF(OR(J249="",J248=""),"",J249-J248)</f>
        <v/>
      </c>
      <c r="L249" s="160">
        <f>IF('Datos_fuente'!K249="","",LN('Datos_fuente'!K249))</f>
        <v/>
      </c>
      <c r="M249" s="160">
        <f>IF(OR(L249="",L248=""),"",L249-L248)</f>
        <v/>
      </c>
      <c r="N249" s="160">
        <f>IF('Datos_fuente'!L249="","",LN('Datos_fuente'!L249))</f>
        <v/>
      </c>
      <c r="O249" s="160">
        <f>IF(OR(N249="",N248=""),"",N249-N248)</f>
        <v/>
      </c>
      <c r="P249" s="162">
        <f>'Datos_fuente'!M249</f>
        <v/>
      </c>
      <c r="Q249" s="160">
        <f>IF('Datos_fuente'!N249="","",LN('Datos_fuente'!N249))</f>
        <v/>
      </c>
      <c r="R249" s="160">
        <f>IF(OR(Q249="",Q248=""),"",Q249-Q248)</f>
        <v/>
      </c>
      <c r="S249" s="161">
        <f>'Datos_fuente'!P249</f>
        <v/>
      </c>
      <c r="T249" s="161">
        <f>IF(OR(S249="",S248=""),"",S249-S248)</f>
        <v/>
      </c>
      <c r="U249" s="160">
        <f>IF('Datos_fuente'!Q249="","",ASINH('Datos_fuente'!Q249/1000))</f>
        <v/>
      </c>
      <c r="V249" s="160">
        <f>IF(OR(U249="",U248=""),"",U249-U248)</f>
        <v/>
      </c>
      <c r="W249" s="160">
        <f>IF('Datos_fuente'!R249="","",ASINH('Datos_fuente'!R249/1000))</f>
        <v/>
      </c>
      <c r="X249" s="160">
        <f>IF(OR(W249="",W248=""),"",W249-W248)</f>
        <v/>
      </c>
      <c r="Y249" s="161">
        <f>'Datos_fuente'!W249</f>
        <v/>
      </c>
      <c r="Z249" s="161">
        <f>IF(OR(Y249="",Y248=""),"",Y249-Y248)</f>
        <v/>
      </c>
      <c r="AA249" s="160">
        <f>'Datos_fuente'!AB249</f>
        <v/>
      </c>
      <c r="AB249" s="160">
        <f>'Datos_fuente'!AC249</f>
        <v/>
      </c>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f>'Datos_fuente'!A250</f>
        <v/>
      </c>
      <c r="B250" s="160">
        <f>IF('Datos_fuente'!B250="","",LN('Datos_fuente'!B250))</f>
        <v/>
      </c>
      <c r="C250" s="160">
        <f>IF(OR(B250="",B249=""),"",B250-B249)</f>
        <v/>
      </c>
      <c r="D250" s="160">
        <f>IF('Datos_fuente'!C250="","",LN('Datos_fuente'!C250))</f>
        <v/>
      </c>
      <c r="E250" s="160">
        <f>IF(OR(D250="",D249=""),"",D250-D249)</f>
        <v/>
      </c>
      <c r="F250" s="160">
        <f>IF('Datos_fuente'!E250="","",LN('Datos_fuente'!E250))</f>
        <v/>
      </c>
      <c r="G250" s="160">
        <f>IF(OR(F250="",F249=""),"",F250-F249)</f>
        <v/>
      </c>
      <c r="H250" s="161">
        <f>'Datos_fuente'!H250</f>
        <v/>
      </c>
      <c r="I250" s="161">
        <f>IF(OR(H250="",H249=""),"",H250-H249)</f>
        <v/>
      </c>
      <c r="J250" s="161">
        <f>'Datos_fuente'!J250</f>
        <v/>
      </c>
      <c r="K250" s="161">
        <f>IF(OR(J250="",J249=""),"",J250-J249)</f>
        <v/>
      </c>
      <c r="L250" s="160">
        <f>IF('Datos_fuente'!K250="","",LN('Datos_fuente'!K250))</f>
        <v/>
      </c>
      <c r="M250" s="160">
        <f>IF(OR(L250="",L249=""),"",L250-L249)</f>
        <v/>
      </c>
      <c r="N250" s="160">
        <f>IF('Datos_fuente'!L250="","",LN('Datos_fuente'!L250))</f>
        <v/>
      </c>
      <c r="O250" s="160">
        <f>IF(OR(N250="",N249=""),"",N250-N249)</f>
        <v/>
      </c>
      <c r="P250" s="162">
        <f>'Datos_fuente'!M250</f>
        <v/>
      </c>
      <c r="Q250" s="160">
        <f>IF('Datos_fuente'!N250="","",LN('Datos_fuente'!N250))</f>
        <v/>
      </c>
      <c r="R250" s="160">
        <f>IF(OR(Q250="",Q249=""),"",Q250-Q249)</f>
        <v/>
      </c>
      <c r="S250" s="161">
        <f>'Datos_fuente'!P250</f>
        <v/>
      </c>
      <c r="T250" s="161">
        <f>IF(OR(S250="",S249=""),"",S250-S249)</f>
        <v/>
      </c>
      <c r="U250" s="160">
        <f>IF('Datos_fuente'!Q250="","",ASINH('Datos_fuente'!Q250/1000))</f>
        <v/>
      </c>
      <c r="V250" s="160">
        <f>IF(OR(U250="",U249=""),"",U250-U249)</f>
        <v/>
      </c>
      <c r="W250" s="160">
        <f>IF('Datos_fuente'!R250="","",ASINH('Datos_fuente'!R250/1000))</f>
        <v/>
      </c>
      <c r="X250" s="160">
        <f>IF(OR(W250="",W249=""),"",W250-W249)</f>
        <v/>
      </c>
      <c r="Y250" s="161">
        <f>'Datos_fuente'!W250</f>
        <v/>
      </c>
      <c r="Z250" s="161">
        <f>IF(OR(Y250="",Y249=""),"",Y250-Y249)</f>
        <v/>
      </c>
      <c r="AA250" s="160">
        <f>'Datos_fuente'!AB250</f>
        <v/>
      </c>
      <c r="AB250" s="160">
        <f>'Datos_fuente'!AC250</f>
        <v/>
      </c>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2">
    <mergeCell ref="A1:AB1"/>
    <mergeCell ref="A2:AB3"/>
  </mergeCell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12" customWidth="1" min="1" max="1"/>
    <col width="1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8" customWidth="1" min="13" max="13"/>
    <col width="18" customWidth="1" min="14" max="14"/>
    <col width="3" customWidth="1" min="15" max="15"/>
    <col width="12" customWidth="1" min="16" max="16"/>
    <col width="16" customWidth="1" min="17" max="17"/>
    <col width="16" customWidth="1" min="18" max="18"/>
    <col width="11" customWidth="1" min="19" max="19"/>
    <col width="11" customWidth="1" min="20" max="20"/>
    <col width="11" customWidth="1" min="21" max="21"/>
    <col width="11" customWidth="1" min="22" max="22"/>
    <col width="11" customWidth="1" min="23" max="23"/>
  </cols>
  <sheetData>
    <row r="1" ht="30" customHeight="1">
      <c r="A1" s="4" t="inlineStr">
        <is>
          <t>Modelo principal: variación mensual de la TRM</t>
        </is>
      </c>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7" t="inlineStr">
        <is>
          <t>OLS con errores estándar HAC (6 meses). BIC seleccionó cero rezagos adicionales de Δln(TRM). Términos de intercambio, dólar amplio y VIX entran en t; remesas, diferencial de tasas y déficit fiscal entran con un mes de rezago.</t>
        </is>
      </c>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c r="A5" s="62" t="inlineStr">
        <is>
          <t>Variable</t>
        </is>
      </c>
      <c r="B5" s="62" t="inlineStr">
        <is>
          <t>Coeficiente</t>
        </is>
      </c>
      <c r="C5" s="62" t="inlineStr">
        <is>
          <t>EE HAC</t>
        </is>
      </c>
      <c r="D5" s="62" t="inlineStr">
        <is>
          <t>t</t>
        </is>
      </c>
      <c r="E5" s="62" t="inlineStr">
        <is>
          <t>p-valor</t>
        </is>
      </c>
      <c r="F5" s="62" t="inlineStr">
        <is>
          <t>IC 95% inferior</t>
        </is>
      </c>
      <c r="G5" s="62" t="inlineStr">
        <is>
          <t>IC 95% superior</t>
        </is>
      </c>
      <c r="H5" s="64" t="n"/>
      <c r="I5" s="66" t="inlineStr">
        <is>
          <t>Indicador</t>
        </is>
      </c>
      <c r="J5" s="66" t="inlineStr">
        <is>
          <t>Valor</t>
        </is>
      </c>
      <c r="K5" s="66" t="inlineStr">
        <is>
          <t>Lectura</t>
        </is>
      </c>
      <c r="L5" s="66" t="inlineStr">
        <is>
          <t>Indicador</t>
        </is>
      </c>
      <c r="M5" s="66" t="inlineStr">
        <is>
          <t>Valor</t>
        </is>
      </c>
      <c r="N5" s="66" t="inlineStr">
        <is>
          <t>Lectura</t>
        </is>
      </c>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c r="A6" s="64" t="inlineStr">
        <is>
          <t>Intercepto</t>
        </is>
      </c>
      <c r="B6" s="163" t="n">
        <v>-0.0005941980394302418</v>
      </c>
      <c r="C6" s="163" t="n">
        <v>0.001687219723107834</v>
      </c>
      <c r="D6" s="163" t="n">
        <v>-0.3521758495898434</v>
      </c>
      <c r="E6" s="163" t="n">
        <v>0.725026083238444</v>
      </c>
      <c r="F6" s="163" t="n">
        <v>-0.003918429093483698</v>
      </c>
      <c r="G6" s="163" t="n">
        <v>0.002730033014623214</v>
      </c>
      <c r="H6" s="64" t="n"/>
      <c r="I6" s="67" t="inlineStr">
        <is>
          <t>R²</t>
        </is>
      </c>
      <c r="J6" s="164" t="n">
        <v>0.4944640026897998</v>
      </c>
      <c r="K6" s="67" t="inlineStr">
        <is>
          <t>Variación explicada dentro de muestra</t>
        </is>
      </c>
      <c r="L6" s="67" t="inlineStr">
        <is>
          <t>AIC</t>
        </is>
      </c>
      <c r="M6" s="165" t="n">
        <v>-1103.307429112625</v>
      </c>
      <c r="N6" s="67" t="inlineStr">
        <is>
          <t>Comparación relativa</t>
        </is>
      </c>
      <c r="O6" s="1" t="n"/>
      <c r="P6" s="1"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c r="A7" s="64" t="inlineStr">
        <is>
          <t>Δ ln términos de intercambio (t)</t>
        </is>
      </c>
      <c r="B7" s="163" t="n">
        <v>-0.1000762049255731</v>
      </c>
      <c r="C7" s="163" t="n">
        <v>0.02918486085314299</v>
      </c>
      <c r="D7" s="163" t="n">
        <v>-3.429045128196857</v>
      </c>
      <c r="E7" s="163" t="n">
        <v>0.0007166782361943295</v>
      </c>
      <c r="F7" s="163" t="n">
        <v>-0.157577441680643</v>
      </c>
      <c r="G7" s="163" t="n">
        <v>-0.04257496817050328</v>
      </c>
      <c r="H7" s="64" t="n"/>
      <c r="I7" s="67" t="inlineStr">
        <is>
          <t>R² ajustado</t>
        </is>
      </c>
      <c r="J7" s="164" t="n">
        <v>0.4792107613916473</v>
      </c>
      <c r="K7" s="67" t="inlineStr">
        <is>
          <t>Penaliza número de parámetros</t>
        </is>
      </c>
      <c r="L7" s="67" t="inlineStr">
        <is>
          <t>BIC</t>
        </is>
      </c>
      <c r="M7" s="165" t="n">
        <v>-1075.462317725889</v>
      </c>
      <c r="N7" s="67" t="inlineStr">
        <is>
          <t>Seleccionó p=0</t>
        </is>
      </c>
      <c r="O7" s="1" t="n"/>
      <c r="P7" s="1" t="n"/>
      <c r="Q7" s="1" t="n"/>
      <c r="R7" s="1" t="n"/>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c r="A8" s="64" t="inlineStr">
        <is>
          <t>Δ ln remesas 12m (t−1)</t>
        </is>
      </c>
      <c r="B8" s="163" t="n">
        <v>0.276518944955475</v>
      </c>
      <c r="C8" s="163" t="n">
        <v>0.1219398099265668</v>
      </c>
      <c r="D8" s="163" t="n">
        <v>2.26766750843713</v>
      </c>
      <c r="E8" s="163" t="n">
        <v>0.02427012879939084</v>
      </c>
      <c r="F8" s="163" t="n">
        <v>0.03626801774570462</v>
      </c>
      <c r="G8" s="163" t="n">
        <v>0.5167698721652454</v>
      </c>
      <c r="H8" s="64" t="n"/>
      <c r="I8" s="67" t="inlineStr">
        <is>
          <t>Observaciones</t>
        </is>
      </c>
      <c r="J8" s="67" t="n">
        <v>240</v>
      </c>
      <c r="K8" s="67" t="inlineStr">
        <is>
          <t>Mayo 2006–abril 2026</t>
        </is>
      </c>
      <c r="L8" s="67" t="inlineStr">
        <is>
          <t>HAC</t>
        </is>
      </c>
      <c r="M8" s="67" t="n">
        <v>6</v>
      </c>
      <c r="N8" s="67" t="inlineStr">
        <is>
          <t>Ventana mensual</t>
        </is>
      </c>
      <c r="O8" s="1" t="n"/>
      <c r="P8" s="1" t="n"/>
      <c r="Q8" s="1" t="n"/>
      <c r="R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c r="A9" s="64" t="inlineStr">
        <is>
          <t>Δ diferencial tasas (t−1)</t>
        </is>
      </c>
      <c r="B9" s="163" t="n">
        <v>-0.009896079617420034</v>
      </c>
      <c r="C9" s="163" t="n">
        <v>0.004877510647505789</v>
      </c>
      <c r="D9" s="163" t="n">
        <v>-2.028920146485091</v>
      </c>
      <c r="E9" s="163" t="n">
        <v>0.04360863803696154</v>
      </c>
      <c r="F9" s="163" t="n">
        <v>-0.01950595563940561</v>
      </c>
      <c r="G9" s="163" t="n">
        <v>-0.0002862035954344557</v>
      </c>
      <c r="H9" s="64" t="n"/>
      <c r="I9" s="67" t="inlineStr">
        <is>
          <t>Frecuencia</t>
        </is>
      </c>
      <c r="J9" s="67" t="inlineStr">
        <is>
          <t>Mensual</t>
        </is>
      </c>
      <c r="K9" s="67" t="inlineStr">
        <is>
          <t>Promedio mensual de series diarias</t>
        </is>
      </c>
      <c r="L9" s="67" t="inlineStr">
        <is>
          <t>Objetivo</t>
        </is>
      </c>
      <c r="M9" s="67" t="inlineStr">
        <is>
          <t>Δln(TRM)</t>
        </is>
      </c>
      <c r="N9" s="67" t="inlineStr">
        <is>
          <t>Aumento = depreciación</t>
        </is>
      </c>
      <c r="O9" s="1" t="n"/>
      <c r="P9" s="1" t="n"/>
      <c r="Q9" s="1" t="n"/>
      <c r="R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c r="A10" s="64" t="inlineStr">
        <is>
          <t>Δ déficit fiscal 12m/PIB (t−1)</t>
        </is>
      </c>
      <c r="B10" s="163" t="n">
        <v>0.004849277167179358</v>
      </c>
      <c r="C10" s="163" t="n">
        <v>0.0033134266478971</v>
      </c>
      <c r="D10" s="163" t="n">
        <v>1.463523319659725</v>
      </c>
      <c r="E10" s="163" t="n">
        <v>0.1446777718295575</v>
      </c>
      <c r="F10" s="163" t="n">
        <v>-0.001678974967035301</v>
      </c>
      <c r="G10" s="163" t="n">
        <v>0.01137752930139402</v>
      </c>
      <c r="H10" s="64" t="n"/>
      <c r="I10" s="64" t="n"/>
      <c r="J10" s="64" t="n"/>
      <c r="K10" s="64" t="n"/>
      <c r="L10" s="64" t="n"/>
      <c r="M10" s="64" t="n"/>
      <c r="N10" s="64" t="n"/>
      <c r="O10" s="1" t="n"/>
      <c r="P10" s="1" t="n"/>
      <c r="Q10" s="1" t="n"/>
      <c r="R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c r="A11" s="64" t="inlineStr">
        <is>
          <t>Δ ln índice dólar amplio (t)</t>
        </is>
      </c>
      <c r="B11" s="163" t="n">
        <v>1.274605932079815</v>
      </c>
      <c r="C11" s="163" t="n">
        <v>0.1509417238960593</v>
      </c>
      <c r="D11" s="163" t="n">
        <v>8.444357856662133</v>
      </c>
      <c r="E11" s="163" t="n">
        <v>3.353308358316788e-15</v>
      </c>
      <c r="F11" s="163" t="n">
        <v>0.97721421773724</v>
      </c>
      <c r="G11" s="163" t="n">
        <v>1.571997646422389</v>
      </c>
      <c r="H11" s="64" t="n"/>
      <c r="I11" s="64" t="n"/>
      <c r="J11" s="64" t="n"/>
      <c r="K11" s="64" t="n"/>
      <c r="L11" s="64" t="n"/>
      <c r="M11" s="64" t="n"/>
      <c r="N11" s="64"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c r="A12" s="64" t="inlineStr">
        <is>
          <t>Δ ln VIX (t)</t>
        </is>
      </c>
      <c r="B12" s="163" t="n">
        <v>0.03836051657743485</v>
      </c>
      <c r="C12" s="163" t="n">
        <v>0.009093650817425167</v>
      </c>
      <c r="D12" s="163" t="n">
        <v>4.218384601257043</v>
      </c>
      <c r="E12" s="163" t="n">
        <v>3.530123227255144e-05</v>
      </c>
      <c r="F12" s="163" t="n">
        <v>0.0204438243837701</v>
      </c>
      <c r="G12" s="163" t="n">
        <v>0.0562772087710996</v>
      </c>
      <c r="H12" s="64" t="n"/>
      <c r="I12" s="64" t="n"/>
      <c r="J12" s="64" t="n"/>
      <c r="K12" s="64" t="n"/>
      <c r="L12" s="64" t="n"/>
      <c r="M12" s="64" t="n"/>
      <c r="N12" s="64"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c r="A13" s="64" t="inlineStr">
        <is>
          <t>Dummy pandemia 2020</t>
        </is>
      </c>
      <c r="B13" s="163" t="n">
        <v>0.01081450203239373</v>
      </c>
      <c r="C13" s="163" t="n">
        <v>0.004615434872322</v>
      </c>
      <c r="D13" s="163" t="n">
        <v>2.343116592814798</v>
      </c>
      <c r="E13" s="163" t="n">
        <v>0.01996923875619308</v>
      </c>
      <c r="F13" s="163" t="n">
        <v>0.001720978693137785</v>
      </c>
      <c r="G13" s="163" t="n">
        <v>0.01990802537164967</v>
      </c>
      <c r="H13" s="64" t="n"/>
      <c r="I13" s="64" t="n"/>
      <c r="J13" s="64" t="n"/>
      <c r="K13" s="64" t="n"/>
      <c r="L13" s="64" t="n"/>
      <c r="M13" s="64" t="n"/>
      <c r="N13" s="64"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c r="A14" s="64" t="n"/>
      <c r="B14" s="64" t="n"/>
      <c r="C14" s="64" t="n"/>
      <c r="D14" s="64" t="n"/>
      <c r="E14" s="64" t="n"/>
      <c r="F14" s="64" t="n"/>
      <c r="G14" s="64" t="n"/>
      <c r="H14" s="64" t="n"/>
      <c r="I14" s="64" t="n"/>
      <c r="J14" s="64" t="n"/>
      <c r="K14" s="64" t="n"/>
      <c r="L14" s="64" t="n"/>
      <c r="M14" s="64" t="n"/>
      <c r="N14" s="64"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c r="A15" s="64" t="n"/>
      <c r="B15" s="64" t="n"/>
      <c r="C15" s="64" t="n"/>
      <c r="D15" s="64" t="n"/>
      <c r="E15" s="64" t="n"/>
      <c r="F15" s="64" t="n"/>
      <c r="G15" s="64" t="n"/>
      <c r="H15" s="64" t="n"/>
      <c r="I15" s="64" t="n"/>
      <c r="J15" s="64" t="n"/>
      <c r="K15" s="64" t="n"/>
      <c r="L15" s="64" t="n"/>
      <c r="M15" s="64" t="n"/>
      <c r="N15" s="64"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c r="A16" s="64" t="n"/>
      <c r="B16" s="64" t="n"/>
      <c r="C16" s="64" t="n"/>
      <c r="D16" s="64" t="n"/>
      <c r="E16" s="64" t="n"/>
      <c r="F16" s="64" t="n"/>
      <c r="G16" s="64" t="n"/>
      <c r="H16" s="64" t="n"/>
      <c r="I16" s="64" t="n"/>
      <c r="J16" s="64" t="n"/>
      <c r="K16" s="64" t="n"/>
      <c r="L16" s="64" t="n"/>
      <c r="M16" s="64" t="n"/>
      <c r="N16" s="64"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ht="42" customHeight="1">
      <c r="A17" s="62" t="inlineStr">
        <is>
          <t>Mes</t>
        </is>
      </c>
      <c r="B17" s="62" t="inlineStr">
        <is>
          <t>Δln TRM observado</t>
        </is>
      </c>
      <c r="C17" s="62" t="inlineStr">
        <is>
          <t>Constante</t>
        </is>
      </c>
      <c r="D17" s="62" t="inlineStr">
        <is>
          <t>Términos de intercambio</t>
        </is>
      </c>
      <c r="E17" s="62" t="inlineStr">
        <is>
          <t>Dólar amplio</t>
        </is>
      </c>
      <c r="F17" s="62" t="inlineStr">
        <is>
          <t>VIX</t>
        </is>
      </c>
      <c r="G17" s="62" t="inlineStr">
        <is>
          <t>Remesas t−1</t>
        </is>
      </c>
      <c r="H17" s="62" t="inlineStr">
        <is>
          <t>Tasas t−1</t>
        </is>
      </c>
      <c r="I17" s="62" t="inlineStr">
        <is>
          <t>Fiscal t−1</t>
        </is>
      </c>
      <c r="J17" s="62" t="inlineStr">
        <is>
          <t>Pandemia</t>
        </is>
      </c>
      <c r="K17" s="62" t="inlineStr">
        <is>
          <t>Δln TRM ajustado</t>
        </is>
      </c>
      <c r="L17" s="62" t="inlineStr">
        <is>
          <t>Residuo</t>
        </is>
      </c>
      <c r="M17" s="62" t="inlineStr">
        <is>
          <t>TRM observada</t>
        </is>
      </c>
      <c r="N17" s="62" t="inlineStr">
        <is>
          <t>TRM ajustada 1 paso</t>
        </is>
      </c>
      <c r="O17" s="1" t="n"/>
      <c r="P17" s="62" t="inlineStr">
        <is>
          <t>Mes</t>
        </is>
      </c>
      <c r="Q17" s="62" t="inlineStr">
        <is>
          <t>TRM observada</t>
        </is>
      </c>
      <c r="R17" s="62" t="inlineStr">
        <is>
          <t>TRM ajustada</t>
        </is>
      </c>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c r="A18" s="1">
        <f>'Transformaciones'!A11</f>
        <v/>
      </c>
      <c r="B18" s="160">
        <f>'Transformaciones'!C11</f>
        <v/>
      </c>
      <c r="C18" s="160">
        <f>$B$6</f>
        <v/>
      </c>
      <c r="D18" s="160">
        <f>$B$7*'Transformaciones'!E11</f>
        <v/>
      </c>
      <c r="E18" s="160">
        <f>$B$11*'Transformaciones'!M11</f>
        <v/>
      </c>
      <c r="F18" s="160">
        <f>$B$12*'Transformaciones'!O11</f>
        <v/>
      </c>
      <c r="G18" s="160">
        <f>$B$8*'Transformaciones'!G10</f>
        <v/>
      </c>
      <c r="H18" s="160">
        <f>$B$9*'Transformaciones'!I10</f>
        <v/>
      </c>
      <c r="I18" s="160">
        <f>$B$10*'Transformaciones'!K10</f>
        <v/>
      </c>
      <c r="J18" s="160">
        <f>$B$13*'Transformaciones'!P11</f>
        <v/>
      </c>
      <c r="K18" s="166">
        <f>SUM(C18:J18)</f>
        <v/>
      </c>
      <c r="L18" s="166">
        <f>B18-K18</f>
        <v/>
      </c>
      <c r="M18" s="167">
        <f>'Datos_fuente'!B11</f>
        <v/>
      </c>
      <c r="N18" s="167">
        <f>EXP('Transformaciones'!B10+K18)</f>
        <v/>
      </c>
      <c r="O18" s="1" t="n"/>
      <c r="P18" s="1">
        <f>A18</f>
        <v/>
      </c>
      <c r="Q18" s="168">
        <f>M18</f>
        <v/>
      </c>
      <c r="R18" s="168">
        <f>N18</f>
        <v/>
      </c>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c r="A19" s="1">
        <f>'Transformaciones'!A12</f>
        <v/>
      </c>
      <c r="B19" s="160">
        <f>'Transformaciones'!C12</f>
        <v/>
      </c>
      <c r="C19" s="160">
        <f>$B$6</f>
        <v/>
      </c>
      <c r="D19" s="160">
        <f>$B$7*'Transformaciones'!E12</f>
        <v/>
      </c>
      <c r="E19" s="160">
        <f>$B$11*'Transformaciones'!M12</f>
        <v/>
      </c>
      <c r="F19" s="160">
        <f>$B$12*'Transformaciones'!O12</f>
        <v/>
      </c>
      <c r="G19" s="160">
        <f>$B$8*'Transformaciones'!G11</f>
        <v/>
      </c>
      <c r="H19" s="160">
        <f>$B$9*'Transformaciones'!I11</f>
        <v/>
      </c>
      <c r="I19" s="160">
        <f>$B$10*'Transformaciones'!K11</f>
        <v/>
      </c>
      <c r="J19" s="160">
        <f>$B$13*'Transformaciones'!P12</f>
        <v/>
      </c>
      <c r="K19" s="166">
        <f>SUM(C19:J19)</f>
        <v/>
      </c>
      <c r="L19" s="166">
        <f>B19-K19</f>
        <v/>
      </c>
      <c r="M19" s="167">
        <f>'Datos_fuente'!B12</f>
        <v/>
      </c>
      <c r="N19" s="167">
        <f>EXP('Transformaciones'!B11+K19)</f>
        <v/>
      </c>
      <c r="O19" s="1" t="n"/>
      <c r="P19" s="1">
        <f>A30</f>
        <v/>
      </c>
      <c r="Q19" s="168">
        <f>M30</f>
        <v/>
      </c>
      <c r="R19" s="168">
        <f>N30</f>
        <v/>
      </c>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c r="A20" s="1">
        <f>'Transformaciones'!A13</f>
        <v/>
      </c>
      <c r="B20" s="160">
        <f>'Transformaciones'!C13</f>
        <v/>
      </c>
      <c r="C20" s="160">
        <f>$B$6</f>
        <v/>
      </c>
      <c r="D20" s="160">
        <f>$B$7*'Transformaciones'!E13</f>
        <v/>
      </c>
      <c r="E20" s="160">
        <f>$B$11*'Transformaciones'!M13</f>
        <v/>
      </c>
      <c r="F20" s="160">
        <f>$B$12*'Transformaciones'!O13</f>
        <v/>
      </c>
      <c r="G20" s="160">
        <f>$B$8*'Transformaciones'!G12</f>
        <v/>
      </c>
      <c r="H20" s="160">
        <f>$B$9*'Transformaciones'!I12</f>
        <v/>
      </c>
      <c r="I20" s="160">
        <f>$B$10*'Transformaciones'!K12</f>
        <v/>
      </c>
      <c r="J20" s="160">
        <f>$B$13*'Transformaciones'!P13</f>
        <v/>
      </c>
      <c r="K20" s="166">
        <f>SUM(C20:J20)</f>
        <v/>
      </c>
      <c r="L20" s="166">
        <f>B20-K20</f>
        <v/>
      </c>
      <c r="M20" s="167">
        <f>'Datos_fuente'!B13</f>
        <v/>
      </c>
      <c r="N20" s="167">
        <f>EXP('Transformaciones'!B12+K20)</f>
        <v/>
      </c>
      <c r="O20" s="1" t="n"/>
      <c r="P20" s="1">
        <f>A42</f>
        <v/>
      </c>
      <c r="Q20" s="168">
        <f>M42</f>
        <v/>
      </c>
      <c r="R20" s="168">
        <f>N42</f>
        <v/>
      </c>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c r="A21" s="1">
        <f>'Transformaciones'!A14</f>
        <v/>
      </c>
      <c r="B21" s="160">
        <f>'Transformaciones'!C14</f>
        <v/>
      </c>
      <c r="C21" s="160">
        <f>$B$6</f>
        <v/>
      </c>
      <c r="D21" s="160">
        <f>$B$7*'Transformaciones'!E14</f>
        <v/>
      </c>
      <c r="E21" s="160">
        <f>$B$11*'Transformaciones'!M14</f>
        <v/>
      </c>
      <c r="F21" s="160">
        <f>$B$12*'Transformaciones'!O14</f>
        <v/>
      </c>
      <c r="G21" s="160">
        <f>$B$8*'Transformaciones'!G13</f>
        <v/>
      </c>
      <c r="H21" s="160">
        <f>$B$9*'Transformaciones'!I13</f>
        <v/>
      </c>
      <c r="I21" s="160">
        <f>$B$10*'Transformaciones'!K13</f>
        <v/>
      </c>
      <c r="J21" s="160">
        <f>$B$13*'Transformaciones'!P14</f>
        <v/>
      </c>
      <c r="K21" s="166">
        <f>SUM(C21:J21)</f>
        <v/>
      </c>
      <c r="L21" s="166">
        <f>B21-K21</f>
        <v/>
      </c>
      <c r="M21" s="167">
        <f>'Datos_fuente'!B14</f>
        <v/>
      </c>
      <c r="N21" s="167">
        <f>EXP('Transformaciones'!B13+K21)</f>
        <v/>
      </c>
      <c r="O21" s="1" t="n"/>
      <c r="P21" s="1">
        <f>A54</f>
        <v/>
      </c>
      <c r="Q21" s="168">
        <f>M54</f>
        <v/>
      </c>
      <c r="R21" s="168">
        <f>N54</f>
        <v/>
      </c>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c r="A22" s="1">
        <f>'Transformaciones'!A15</f>
        <v/>
      </c>
      <c r="B22" s="160">
        <f>'Transformaciones'!C15</f>
        <v/>
      </c>
      <c r="C22" s="160">
        <f>$B$6</f>
        <v/>
      </c>
      <c r="D22" s="160">
        <f>$B$7*'Transformaciones'!E15</f>
        <v/>
      </c>
      <c r="E22" s="160">
        <f>$B$11*'Transformaciones'!M15</f>
        <v/>
      </c>
      <c r="F22" s="160">
        <f>$B$12*'Transformaciones'!O15</f>
        <v/>
      </c>
      <c r="G22" s="160">
        <f>$B$8*'Transformaciones'!G14</f>
        <v/>
      </c>
      <c r="H22" s="160">
        <f>$B$9*'Transformaciones'!I14</f>
        <v/>
      </c>
      <c r="I22" s="160">
        <f>$B$10*'Transformaciones'!K14</f>
        <v/>
      </c>
      <c r="J22" s="160">
        <f>$B$13*'Transformaciones'!P15</f>
        <v/>
      </c>
      <c r="K22" s="166">
        <f>SUM(C22:J22)</f>
        <v/>
      </c>
      <c r="L22" s="166">
        <f>B22-K22</f>
        <v/>
      </c>
      <c r="M22" s="167">
        <f>'Datos_fuente'!B15</f>
        <v/>
      </c>
      <c r="N22" s="167">
        <f>EXP('Transformaciones'!B14+K22)</f>
        <v/>
      </c>
      <c r="O22" s="1" t="n"/>
      <c r="P22" s="1">
        <f>A66</f>
        <v/>
      </c>
      <c r="Q22" s="168">
        <f>M66</f>
        <v/>
      </c>
      <c r="R22" s="168">
        <f>N66</f>
        <v/>
      </c>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c r="A23" s="1">
        <f>'Transformaciones'!A16</f>
        <v/>
      </c>
      <c r="B23" s="160">
        <f>'Transformaciones'!C16</f>
        <v/>
      </c>
      <c r="C23" s="160">
        <f>$B$6</f>
        <v/>
      </c>
      <c r="D23" s="160">
        <f>$B$7*'Transformaciones'!E16</f>
        <v/>
      </c>
      <c r="E23" s="160">
        <f>$B$11*'Transformaciones'!M16</f>
        <v/>
      </c>
      <c r="F23" s="160">
        <f>$B$12*'Transformaciones'!O16</f>
        <v/>
      </c>
      <c r="G23" s="160">
        <f>$B$8*'Transformaciones'!G15</f>
        <v/>
      </c>
      <c r="H23" s="160">
        <f>$B$9*'Transformaciones'!I15</f>
        <v/>
      </c>
      <c r="I23" s="160">
        <f>$B$10*'Transformaciones'!K15</f>
        <v/>
      </c>
      <c r="J23" s="160">
        <f>$B$13*'Transformaciones'!P16</f>
        <v/>
      </c>
      <c r="K23" s="166">
        <f>SUM(C23:J23)</f>
        <v/>
      </c>
      <c r="L23" s="166">
        <f>B23-K23</f>
        <v/>
      </c>
      <c r="M23" s="167">
        <f>'Datos_fuente'!B16</f>
        <v/>
      </c>
      <c r="N23" s="167">
        <f>EXP('Transformaciones'!B15+K23)</f>
        <v/>
      </c>
      <c r="O23" s="1" t="n"/>
      <c r="P23" s="1">
        <f>A78</f>
        <v/>
      </c>
      <c r="Q23" s="168">
        <f>M78</f>
        <v/>
      </c>
      <c r="R23" s="168">
        <f>N78</f>
        <v/>
      </c>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c r="A24" s="1">
        <f>'Transformaciones'!A17</f>
        <v/>
      </c>
      <c r="B24" s="160">
        <f>'Transformaciones'!C17</f>
        <v/>
      </c>
      <c r="C24" s="160">
        <f>$B$6</f>
        <v/>
      </c>
      <c r="D24" s="160">
        <f>$B$7*'Transformaciones'!E17</f>
        <v/>
      </c>
      <c r="E24" s="160">
        <f>$B$11*'Transformaciones'!M17</f>
        <v/>
      </c>
      <c r="F24" s="160">
        <f>$B$12*'Transformaciones'!O17</f>
        <v/>
      </c>
      <c r="G24" s="160">
        <f>$B$8*'Transformaciones'!G16</f>
        <v/>
      </c>
      <c r="H24" s="160">
        <f>$B$9*'Transformaciones'!I16</f>
        <v/>
      </c>
      <c r="I24" s="160">
        <f>$B$10*'Transformaciones'!K16</f>
        <v/>
      </c>
      <c r="J24" s="160">
        <f>$B$13*'Transformaciones'!P17</f>
        <v/>
      </c>
      <c r="K24" s="166">
        <f>SUM(C24:J24)</f>
        <v/>
      </c>
      <c r="L24" s="166">
        <f>B24-K24</f>
        <v/>
      </c>
      <c r="M24" s="167">
        <f>'Datos_fuente'!B17</f>
        <v/>
      </c>
      <c r="N24" s="167">
        <f>EXP('Transformaciones'!B16+K24)</f>
        <v/>
      </c>
      <c r="O24" s="1" t="n"/>
      <c r="P24" s="1">
        <f>A90</f>
        <v/>
      </c>
      <c r="Q24" s="168">
        <f>M90</f>
        <v/>
      </c>
      <c r="R24" s="168">
        <f>N90</f>
        <v/>
      </c>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c r="A25" s="1">
        <f>'Transformaciones'!A18</f>
        <v/>
      </c>
      <c r="B25" s="160">
        <f>'Transformaciones'!C18</f>
        <v/>
      </c>
      <c r="C25" s="160">
        <f>$B$6</f>
        <v/>
      </c>
      <c r="D25" s="160">
        <f>$B$7*'Transformaciones'!E18</f>
        <v/>
      </c>
      <c r="E25" s="160">
        <f>$B$11*'Transformaciones'!M18</f>
        <v/>
      </c>
      <c r="F25" s="160">
        <f>$B$12*'Transformaciones'!O18</f>
        <v/>
      </c>
      <c r="G25" s="160">
        <f>$B$8*'Transformaciones'!G17</f>
        <v/>
      </c>
      <c r="H25" s="160">
        <f>$B$9*'Transformaciones'!I17</f>
        <v/>
      </c>
      <c r="I25" s="160">
        <f>$B$10*'Transformaciones'!K17</f>
        <v/>
      </c>
      <c r="J25" s="160">
        <f>$B$13*'Transformaciones'!P18</f>
        <v/>
      </c>
      <c r="K25" s="166">
        <f>SUM(C25:J25)</f>
        <v/>
      </c>
      <c r="L25" s="166">
        <f>B25-K25</f>
        <v/>
      </c>
      <c r="M25" s="167">
        <f>'Datos_fuente'!B18</f>
        <v/>
      </c>
      <c r="N25" s="167">
        <f>EXP('Transformaciones'!B17+K25)</f>
        <v/>
      </c>
      <c r="O25" s="1" t="n"/>
      <c r="P25" s="1">
        <f>A102</f>
        <v/>
      </c>
      <c r="Q25" s="168">
        <f>M102</f>
        <v/>
      </c>
      <c r="R25" s="168">
        <f>N102</f>
        <v/>
      </c>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c r="A26" s="1">
        <f>'Transformaciones'!A19</f>
        <v/>
      </c>
      <c r="B26" s="160">
        <f>'Transformaciones'!C19</f>
        <v/>
      </c>
      <c r="C26" s="160">
        <f>$B$6</f>
        <v/>
      </c>
      <c r="D26" s="160">
        <f>$B$7*'Transformaciones'!E19</f>
        <v/>
      </c>
      <c r="E26" s="160">
        <f>$B$11*'Transformaciones'!M19</f>
        <v/>
      </c>
      <c r="F26" s="160">
        <f>$B$12*'Transformaciones'!O19</f>
        <v/>
      </c>
      <c r="G26" s="160">
        <f>$B$8*'Transformaciones'!G18</f>
        <v/>
      </c>
      <c r="H26" s="160">
        <f>$B$9*'Transformaciones'!I18</f>
        <v/>
      </c>
      <c r="I26" s="160">
        <f>$B$10*'Transformaciones'!K18</f>
        <v/>
      </c>
      <c r="J26" s="160">
        <f>$B$13*'Transformaciones'!P19</f>
        <v/>
      </c>
      <c r="K26" s="166">
        <f>SUM(C26:J26)</f>
        <v/>
      </c>
      <c r="L26" s="166">
        <f>B26-K26</f>
        <v/>
      </c>
      <c r="M26" s="167">
        <f>'Datos_fuente'!B19</f>
        <v/>
      </c>
      <c r="N26" s="167">
        <f>EXP('Transformaciones'!B18+K26)</f>
        <v/>
      </c>
      <c r="O26" s="1" t="n"/>
      <c r="P26" s="1">
        <f>A114</f>
        <v/>
      </c>
      <c r="Q26" s="168">
        <f>M114</f>
        <v/>
      </c>
      <c r="R26" s="168">
        <f>N114</f>
        <v/>
      </c>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c r="A27" s="1">
        <f>'Transformaciones'!A20</f>
        <v/>
      </c>
      <c r="B27" s="160">
        <f>'Transformaciones'!C20</f>
        <v/>
      </c>
      <c r="C27" s="160">
        <f>$B$6</f>
        <v/>
      </c>
      <c r="D27" s="160">
        <f>$B$7*'Transformaciones'!E20</f>
        <v/>
      </c>
      <c r="E27" s="160">
        <f>$B$11*'Transformaciones'!M20</f>
        <v/>
      </c>
      <c r="F27" s="160">
        <f>$B$12*'Transformaciones'!O20</f>
        <v/>
      </c>
      <c r="G27" s="160">
        <f>$B$8*'Transformaciones'!G19</f>
        <v/>
      </c>
      <c r="H27" s="160">
        <f>$B$9*'Transformaciones'!I19</f>
        <v/>
      </c>
      <c r="I27" s="160">
        <f>$B$10*'Transformaciones'!K19</f>
        <v/>
      </c>
      <c r="J27" s="160">
        <f>$B$13*'Transformaciones'!P20</f>
        <v/>
      </c>
      <c r="K27" s="166">
        <f>SUM(C27:J27)</f>
        <v/>
      </c>
      <c r="L27" s="166">
        <f>B27-K27</f>
        <v/>
      </c>
      <c r="M27" s="167">
        <f>'Datos_fuente'!B20</f>
        <v/>
      </c>
      <c r="N27" s="167">
        <f>EXP('Transformaciones'!B19+K27)</f>
        <v/>
      </c>
      <c r="O27" s="1" t="n"/>
      <c r="P27" s="1">
        <f>A126</f>
        <v/>
      </c>
      <c r="Q27" s="168">
        <f>M126</f>
        <v/>
      </c>
      <c r="R27" s="168">
        <f>N126</f>
        <v/>
      </c>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c r="A28" s="1">
        <f>'Transformaciones'!A21</f>
        <v/>
      </c>
      <c r="B28" s="160">
        <f>'Transformaciones'!C21</f>
        <v/>
      </c>
      <c r="C28" s="160">
        <f>$B$6</f>
        <v/>
      </c>
      <c r="D28" s="160">
        <f>$B$7*'Transformaciones'!E21</f>
        <v/>
      </c>
      <c r="E28" s="160">
        <f>$B$11*'Transformaciones'!M21</f>
        <v/>
      </c>
      <c r="F28" s="160">
        <f>$B$12*'Transformaciones'!O21</f>
        <v/>
      </c>
      <c r="G28" s="160">
        <f>$B$8*'Transformaciones'!G20</f>
        <v/>
      </c>
      <c r="H28" s="160">
        <f>$B$9*'Transformaciones'!I20</f>
        <v/>
      </c>
      <c r="I28" s="160">
        <f>$B$10*'Transformaciones'!K20</f>
        <v/>
      </c>
      <c r="J28" s="160">
        <f>$B$13*'Transformaciones'!P21</f>
        <v/>
      </c>
      <c r="K28" s="166">
        <f>SUM(C28:J28)</f>
        <v/>
      </c>
      <c r="L28" s="166">
        <f>B28-K28</f>
        <v/>
      </c>
      <c r="M28" s="167">
        <f>'Datos_fuente'!B21</f>
        <v/>
      </c>
      <c r="N28" s="167">
        <f>EXP('Transformaciones'!B20+K28)</f>
        <v/>
      </c>
      <c r="O28" s="1" t="n"/>
      <c r="P28" s="1">
        <f>A138</f>
        <v/>
      </c>
      <c r="Q28" s="168">
        <f>M138</f>
        <v/>
      </c>
      <c r="R28" s="168">
        <f>N138</f>
        <v/>
      </c>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c r="A29" s="1">
        <f>'Transformaciones'!A22</f>
        <v/>
      </c>
      <c r="B29" s="160">
        <f>'Transformaciones'!C22</f>
        <v/>
      </c>
      <c r="C29" s="160">
        <f>$B$6</f>
        <v/>
      </c>
      <c r="D29" s="160">
        <f>$B$7*'Transformaciones'!E22</f>
        <v/>
      </c>
      <c r="E29" s="160">
        <f>$B$11*'Transformaciones'!M22</f>
        <v/>
      </c>
      <c r="F29" s="160">
        <f>$B$12*'Transformaciones'!O22</f>
        <v/>
      </c>
      <c r="G29" s="160">
        <f>$B$8*'Transformaciones'!G21</f>
        <v/>
      </c>
      <c r="H29" s="160">
        <f>$B$9*'Transformaciones'!I21</f>
        <v/>
      </c>
      <c r="I29" s="160">
        <f>$B$10*'Transformaciones'!K21</f>
        <v/>
      </c>
      <c r="J29" s="160">
        <f>$B$13*'Transformaciones'!P22</f>
        <v/>
      </c>
      <c r="K29" s="166">
        <f>SUM(C29:J29)</f>
        <v/>
      </c>
      <c r="L29" s="166">
        <f>B29-K29</f>
        <v/>
      </c>
      <c r="M29" s="167">
        <f>'Datos_fuente'!B22</f>
        <v/>
      </c>
      <c r="N29" s="167">
        <f>EXP('Transformaciones'!B21+K29)</f>
        <v/>
      </c>
      <c r="O29" s="1" t="n"/>
      <c r="P29" s="1">
        <f>A150</f>
        <v/>
      </c>
      <c r="Q29" s="168">
        <f>M150</f>
        <v/>
      </c>
      <c r="R29" s="168">
        <f>N150</f>
        <v/>
      </c>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c r="A30" s="1">
        <f>'Transformaciones'!A23</f>
        <v/>
      </c>
      <c r="B30" s="160">
        <f>'Transformaciones'!C23</f>
        <v/>
      </c>
      <c r="C30" s="160">
        <f>$B$6</f>
        <v/>
      </c>
      <c r="D30" s="160">
        <f>$B$7*'Transformaciones'!E23</f>
        <v/>
      </c>
      <c r="E30" s="160">
        <f>$B$11*'Transformaciones'!M23</f>
        <v/>
      </c>
      <c r="F30" s="160">
        <f>$B$12*'Transformaciones'!O23</f>
        <v/>
      </c>
      <c r="G30" s="160">
        <f>$B$8*'Transformaciones'!G22</f>
        <v/>
      </c>
      <c r="H30" s="160">
        <f>$B$9*'Transformaciones'!I22</f>
        <v/>
      </c>
      <c r="I30" s="160">
        <f>$B$10*'Transformaciones'!K22</f>
        <v/>
      </c>
      <c r="J30" s="160">
        <f>$B$13*'Transformaciones'!P23</f>
        <v/>
      </c>
      <c r="K30" s="166">
        <f>SUM(C30:J30)</f>
        <v/>
      </c>
      <c r="L30" s="166">
        <f>B30-K30</f>
        <v/>
      </c>
      <c r="M30" s="167">
        <f>'Datos_fuente'!B23</f>
        <v/>
      </c>
      <c r="N30" s="167">
        <f>EXP('Transformaciones'!B22+K30)</f>
        <v/>
      </c>
      <c r="O30" s="1" t="n"/>
      <c r="P30" s="1">
        <f>A162</f>
        <v/>
      </c>
      <c r="Q30" s="168">
        <f>M162</f>
        <v/>
      </c>
      <c r="R30" s="168">
        <f>N162</f>
        <v/>
      </c>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c r="A31" s="1">
        <f>'Transformaciones'!A24</f>
        <v/>
      </c>
      <c r="B31" s="160">
        <f>'Transformaciones'!C24</f>
        <v/>
      </c>
      <c r="C31" s="160">
        <f>$B$6</f>
        <v/>
      </c>
      <c r="D31" s="160">
        <f>$B$7*'Transformaciones'!E24</f>
        <v/>
      </c>
      <c r="E31" s="160">
        <f>$B$11*'Transformaciones'!M24</f>
        <v/>
      </c>
      <c r="F31" s="160">
        <f>$B$12*'Transformaciones'!O24</f>
        <v/>
      </c>
      <c r="G31" s="160">
        <f>$B$8*'Transformaciones'!G23</f>
        <v/>
      </c>
      <c r="H31" s="160">
        <f>$B$9*'Transformaciones'!I23</f>
        <v/>
      </c>
      <c r="I31" s="160">
        <f>$B$10*'Transformaciones'!K23</f>
        <v/>
      </c>
      <c r="J31" s="160">
        <f>$B$13*'Transformaciones'!P24</f>
        <v/>
      </c>
      <c r="K31" s="166">
        <f>SUM(C31:J31)</f>
        <v/>
      </c>
      <c r="L31" s="166">
        <f>B31-K31</f>
        <v/>
      </c>
      <c r="M31" s="167">
        <f>'Datos_fuente'!B24</f>
        <v/>
      </c>
      <c r="N31" s="167">
        <f>EXP('Transformaciones'!B23+K31)</f>
        <v/>
      </c>
      <c r="O31" s="1" t="n"/>
      <c r="P31" s="1">
        <f>A174</f>
        <v/>
      </c>
      <c r="Q31" s="168">
        <f>M174</f>
        <v/>
      </c>
      <c r="R31" s="168">
        <f>N174</f>
        <v/>
      </c>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c r="A32" s="1">
        <f>'Transformaciones'!A25</f>
        <v/>
      </c>
      <c r="B32" s="160">
        <f>'Transformaciones'!C25</f>
        <v/>
      </c>
      <c r="C32" s="160">
        <f>$B$6</f>
        <v/>
      </c>
      <c r="D32" s="160">
        <f>$B$7*'Transformaciones'!E25</f>
        <v/>
      </c>
      <c r="E32" s="160">
        <f>$B$11*'Transformaciones'!M25</f>
        <v/>
      </c>
      <c r="F32" s="160">
        <f>$B$12*'Transformaciones'!O25</f>
        <v/>
      </c>
      <c r="G32" s="160">
        <f>$B$8*'Transformaciones'!G24</f>
        <v/>
      </c>
      <c r="H32" s="160">
        <f>$B$9*'Transformaciones'!I24</f>
        <v/>
      </c>
      <c r="I32" s="160">
        <f>$B$10*'Transformaciones'!K24</f>
        <v/>
      </c>
      <c r="J32" s="160">
        <f>$B$13*'Transformaciones'!P25</f>
        <v/>
      </c>
      <c r="K32" s="166">
        <f>SUM(C32:J32)</f>
        <v/>
      </c>
      <c r="L32" s="166">
        <f>B32-K32</f>
        <v/>
      </c>
      <c r="M32" s="167">
        <f>'Datos_fuente'!B25</f>
        <v/>
      </c>
      <c r="N32" s="167">
        <f>EXP('Transformaciones'!B24+K32)</f>
        <v/>
      </c>
      <c r="O32" s="1" t="n"/>
      <c r="P32" s="1">
        <f>A186</f>
        <v/>
      </c>
      <c r="Q32" s="168">
        <f>M186</f>
        <v/>
      </c>
      <c r="R32" s="168">
        <f>N186</f>
        <v/>
      </c>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1">
        <f>'Transformaciones'!A26</f>
        <v/>
      </c>
      <c r="B33" s="160">
        <f>'Transformaciones'!C26</f>
        <v/>
      </c>
      <c r="C33" s="160">
        <f>$B$6</f>
        <v/>
      </c>
      <c r="D33" s="160">
        <f>$B$7*'Transformaciones'!E26</f>
        <v/>
      </c>
      <c r="E33" s="160">
        <f>$B$11*'Transformaciones'!M26</f>
        <v/>
      </c>
      <c r="F33" s="160">
        <f>$B$12*'Transformaciones'!O26</f>
        <v/>
      </c>
      <c r="G33" s="160">
        <f>$B$8*'Transformaciones'!G25</f>
        <v/>
      </c>
      <c r="H33" s="160">
        <f>$B$9*'Transformaciones'!I25</f>
        <v/>
      </c>
      <c r="I33" s="160">
        <f>$B$10*'Transformaciones'!K25</f>
        <v/>
      </c>
      <c r="J33" s="160">
        <f>$B$13*'Transformaciones'!P26</f>
        <v/>
      </c>
      <c r="K33" s="166">
        <f>SUM(C33:J33)</f>
        <v/>
      </c>
      <c r="L33" s="166">
        <f>B33-K33</f>
        <v/>
      </c>
      <c r="M33" s="167">
        <f>'Datos_fuente'!B26</f>
        <v/>
      </c>
      <c r="N33" s="167">
        <f>EXP('Transformaciones'!B25+K33)</f>
        <v/>
      </c>
      <c r="O33" s="1" t="n"/>
      <c r="P33" s="1">
        <f>A198</f>
        <v/>
      </c>
      <c r="Q33" s="168">
        <f>M198</f>
        <v/>
      </c>
      <c r="R33" s="168">
        <f>N198</f>
        <v/>
      </c>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1">
        <f>'Transformaciones'!A27</f>
        <v/>
      </c>
      <c r="B34" s="160">
        <f>'Transformaciones'!C27</f>
        <v/>
      </c>
      <c r="C34" s="160">
        <f>$B$6</f>
        <v/>
      </c>
      <c r="D34" s="160">
        <f>$B$7*'Transformaciones'!E27</f>
        <v/>
      </c>
      <c r="E34" s="160">
        <f>$B$11*'Transformaciones'!M27</f>
        <v/>
      </c>
      <c r="F34" s="160">
        <f>$B$12*'Transformaciones'!O27</f>
        <v/>
      </c>
      <c r="G34" s="160">
        <f>$B$8*'Transformaciones'!G26</f>
        <v/>
      </c>
      <c r="H34" s="160">
        <f>$B$9*'Transformaciones'!I26</f>
        <v/>
      </c>
      <c r="I34" s="160">
        <f>$B$10*'Transformaciones'!K26</f>
        <v/>
      </c>
      <c r="J34" s="160">
        <f>$B$13*'Transformaciones'!P27</f>
        <v/>
      </c>
      <c r="K34" s="166">
        <f>SUM(C34:J34)</f>
        <v/>
      </c>
      <c r="L34" s="166">
        <f>B34-K34</f>
        <v/>
      </c>
      <c r="M34" s="167">
        <f>'Datos_fuente'!B27</f>
        <v/>
      </c>
      <c r="N34" s="167">
        <f>EXP('Transformaciones'!B26+K34)</f>
        <v/>
      </c>
      <c r="O34" s="1" t="n"/>
      <c r="P34" s="1">
        <f>A210</f>
        <v/>
      </c>
      <c r="Q34" s="168">
        <f>M210</f>
        <v/>
      </c>
      <c r="R34" s="168">
        <f>N210</f>
        <v/>
      </c>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1">
        <f>'Transformaciones'!A28</f>
        <v/>
      </c>
      <c r="B35" s="160">
        <f>'Transformaciones'!C28</f>
        <v/>
      </c>
      <c r="C35" s="160">
        <f>$B$6</f>
        <v/>
      </c>
      <c r="D35" s="160">
        <f>$B$7*'Transformaciones'!E28</f>
        <v/>
      </c>
      <c r="E35" s="160">
        <f>$B$11*'Transformaciones'!M28</f>
        <v/>
      </c>
      <c r="F35" s="160">
        <f>$B$12*'Transformaciones'!O28</f>
        <v/>
      </c>
      <c r="G35" s="160">
        <f>$B$8*'Transformaciones'!G27</f>
        <v/>
      </c>
      <c r="H35" s="160">
        <f>$B$9*'Transformaciones'!I27</f>
        <v/>
      </c>
      <c r="I35" s="160">
        <f>$B$10*'Transformaciones'!K27</f>
        <v/>
      </c>
      <c r="J35" s="160">
        <f>$B$13*'Transformaciones'!P28</f>
        <v/>
      </c>
      <c r="K35" s="166">
        <f>SUM(C35:J35)</f>
        <v/>
      </c>
      <c r="L35" s="166">
        <f>B35-K35</f>
        <v/>
      </c>
      <c r="M35" s="167">
        <f>'Datos_fuente'!B28</f>
        <v/>
      </c>
      <c r="N35" s="167">
        <f>EXP('Transformaciones'!B27+K35)</f>
        <v/>
      </c>
      <c r="O35" s="1" t="n"/>
      <c r="P35" s="1">
        <f>A222</f>
        <v/>
      </c>
      <c r="Q35" s="168">
        <f>M222</f>
        <v/>
      </c>
      <c r="R35" s="168">
        <f>N222</f>
        <v/>
      </c>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1">
        <f>'Transformaciones'!A29</f>
        <v/>
      </c>
      <c r="B36" s="160">
        <f>'Transformaciones'!C29</f>
        <v/>
      </c>
      <c r="C36" s="160">
        <f>$B$6</f>
        <v/>
      </c>
      <c r="D36" s="160">
        <f>$B$7*'Transformaciones'!E29</f>
        <v/>
      </c>
      <c r="E36" s="160">
        <f>$B$11*'Transformaciones'!M29</f>
        <v/>
      </c>
      <c r="F36" s="160">
        <f>$B$12*'Transformaciones'!O29</f>
        <v/>
      </c>
      <c r="G36" s="160">
        <f>$B$8*'Transformaciones'!G28</f>
        <v/>
      </c>
      <c r="H36" s="160">
        <f>$B$9*'Transformaciones'!I28</f>
        <v/>
      </c>
      <c r="I36" s="160">
        <f>$B$10*'Transformaciones'!K28</f>
        <v/>
      </c>
      <c r="J36" s="160">
        <f>$B$13*'Transformaciones'!P29</f>
        <v/>
      </c>
      <c r="K36" s="166">
        <f>SUM(C36:J36)</f>
        <v/>
      </c>
      <c r="L36" s="166">
        <f>B36-K36</f>
        <v/>
      </c>
      <c r="M36" s="167">
        <f>'Datos_fuente'!B29</f>
        <v/>
      </c>
      <c r="N36" s="167">
        <f>EXP('Transformaciones'!B28+K36)</f>
        <v/>
      </c>
      <c r="O36" s="1" t="n"/>
      <c r="P36" s="1">
        <f>A234</f>
        <v/>
      </c>
      <c r="Q36" s="168">
        <f>M234</f>
        <v/>
      </c>
      <c r="R36" s="168">
        <f>N234</f>
        <v/>
      </c>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c r="A37" s="1">
        <f>'Transformaciones'!A30</f>
        <v/>
      </c>
      <c r="B37" s="160">
        <f>'Transformaciones'!C30</f>
        <v/>
      </c>
      <c r="C37" s="160">
        <f>$B$6</f>
        <v/>
      </c>
      <c r="D37" s="160">
        <f>$B$7*'Transformaciones'!E30</f>
        <v/>
      </c>
      <c r="E37" s="160">
        <f>$B$11*'Transformaciones'!M30</f>
        <v/>
      </c>
      <c r="F37" s="160">
        <f>$B$12*'Transformaciones'!O30</f>
        <v/>
      </c>
      <c r="G37" s="160">
        <f>$B$8*'Transformaciones'!G29</f>
        <v/>
      </c>
      <c r="H37" s="160">
        <f>$B$9*'Transformaciones'!I29</f>
        <v/>
      </c>
      <c r="I37" s="160">
        <f>$B$10*'Transformaciones'!K29</f>
        <v/>
      </c>
      <c r="J37" s="160">
        <f>$B$13*'Transformaciones'!P30</f>
        <v/>
      </c>
      <c r="K37" s="166">
        <f>SUM(C37:J37)</f>
        <v/>
      </c>
      <c r="L37" s="166">
        <f>B37-K37</f>
        <v/>
      </c>
      <c r="M37" s="167">
        <f>'Datos_fuente'!B30</f>
        <v/>
      </c>
      <c r="N37" s="167">
        <f>EXP('Transformaciones'!B29+K37)</f>
        <v/>
      </c>
      <c r="O37" s="1" t="n"/>
      <c r="P37" s="1">
        <f>A246</f>
        <v/>
      </c>
      <c r="Q37" s="168">
        <f>M246</f>
        <v/>
      </c>
      <c r="R37" s="168">
        <f>N246</f>
        <v/>
      </c>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c r="A38" s="1">
        <f>'Transformaciones'!A31</f>
        <v/>
      </c>
      <c r="B38" s="160">
        <f>'Transformaciones'!C31</f>
        <v/>
      </c>
      <c r="C38" s="160">
        <f>$B$6</f>
        <v/>
      </c>
      <c r="D38" s="160">
        <f>$B$7*'Transformaciones'!E31</f>
        <v/>
      </c>
      <c r="E38" s="160">
        <f>$B$11*'Transformaciones'!M31</f>
        <v/>
      </c>
      <c r="F38" s="160">
        <f>$B$12*'Transformaciones'!O31</f>
        <v/>
      </c>
      <c r="G38" s="160">
        <f>$B$8*'Transformaciones'!G30</f>
        <v/>
      </c>
      <c r="H38" s="160">
        <f>$B$9*'Transformaciones'!I30</f>
        <v/>
      </c>
      <c r="I38" s="160">
        <f>$B$10*'Transformaciones'!K30</f>
        <v/>
      </c>
      <c r="J38" s="160">
        <f>$B$13*'Transformaciones'!P31</f>
        <v/>
      </c>
      <c r="K38" s="166">
        <f>SUM(C38:J38)</f>
        <v/>
      </c>
      <c r="L38" s="166">
        <f>B38-K38</f>
        <v/>
      </c>
      <c r="M38" s="167">
        <f>'Datos_fuente'!B31</f>
        <v/>
      </c>
      <c r="N38" s="167">
        <f>EXP('Transformaciones'!B30+K38)</f>
        <v/>
      </c>
      <c r="O38" s="1" t="n"/>
      <c r="P38" s="1">
        <f>A257</f>
        <v/>
      </c>
      <c r="Q38" s="168">
        <f>M257</f>
        <v/>
      </c>
      <c r="R38" s="168">
        <f>N257</f>
        <v/>
      </c>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1">
        <f>'Transformaciones'!A32</f>
        <v/>
      </c>
      <c r="B39" s="160">
        <f>'Transformaciones'!C32</f>
        <v/>
      </c>
      <c r="C39" s="160">
        <f>$B$6</f>
        <v/>
      </c>
      <c r="D39" s="160">
        <f>$B$7*'Transformaciones'!E32</f>
        <v/>
      </c>
      <c r="E39" s="160">
        <f>$B$11*'Transformaciones'!M32</f>
        <v/>
      </c>
      <c r="F39" s="160">
        <f>$B$12*'Transformaciones'!O32</f>
        <v/>
      </c>
      <c r="G39" s="160">
        <f>$B$8*'Transformaciones'!G31</f>
        <v/>
      </c>
      <c r="H39" s="160">
        <f>$B$9*'Transformaciones'!I31</f>
        <v/>
      </c>
      <c r="I39" s="160">
        <f>$B$10*'Transformaciones'!K31</f>
        <v/>
      </c>
      <c r="J39" s="160">
        <f>$B$13*'Transformaciones'!P32</f>
        <v/>
      </c>
      <c r="K39" s="166">
        <f>SUM(C39:J39)</f>
        <v/>
      </c>
      <c r="L39" s="166">
        <f>B39-K39</f>
        <v/>
      </c>
      <c r="M39" s="167">
        <f>'Datos_fuente'!B32</f>
        <v/>
      </c>
      <c r="N39" s="167">
        <f>EXP('Transformaciones'!B31+K39)</f>
        <v/>
      </c>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1">
        <f>'Transformaciones'!A33</f>
        <v/>
      </c>
      <c r="B40" s="160">
        <f>'Transformaciones'!C33</f>
        <v/>
      </c>
      <c r="C40" s="160">
        <f>$B$6</f>
        <v/>
      </c>
      <c r="D40" s="160">
        <f>$B$7*'Transformaciones'!E33</f>
        <v/>
      </c>
      <c r="E40" s="160">
        <f>$B$11*'Transformaciones'!M33</f>
        <v/>
      </c>
      <c r="F40" s="160">
        <f>$B$12*'Transformaciones'!O33</f>
        <v/>
      </c>
      <c r="G40" s="160">
        <f>$B$8*'Transformaciones'!G32</f>
        <v/>
      </c>
      <c r="H40" s="160">
        <f>$B$9*'Transformaciones'!I32</f>
        <v/>
      </c>
      <c r="I40" s="160">
        <f>$B$10*'Transformaciones'!K32</f>
        <v/>
      </c>
      <c r="J40" s="160">
        <f>$B$13*'Transformaciones'!P33</f>
        <v/>
      </c>
      <c r="K40" s="166">
        <f>SUM(C40:J40)</f>
        <v/>
      </c>
      <c r="L40" s="166">
        <f>B40-K40</f>
        <v/>
      </c>
      <c r="M40" s="167">
        <f>'Datos_fuente'!B33</f>
        <v/>
      </c>
      <c r="N40" s="167">
        <f>EXP('Transformaciones'!B32+K40)</f>
        <v/>
      </c>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1">
        <f>'Transformaciones'!A34</f>
        <v/>
      </c>
      <c r="B41" s="160">
        <f>'Transformaciones'!C34</f>
        <v/>
      </c>
      <c r="C41" s="160">
        <f>$B$6</f>
        <v/>
      </c>
      <c r="D41" s="160">
        <f>$B$7*'Transformaciones'!E34</f>
        <v/>
      </c>
      <c r="E41" s="160">
        <f>$B$11*'Transformaciones'!M34</f>
        <v/>
      </c>
      <c r="F41" s="160">
        <f>$B$12*'Transformaciones'!O34</f>
        <v/>
      </c>
      <c r="G41" s="160">
        <f>$B$8*'Transformaciones'!G33</f>
        <v/>
      </c>
      <c r="H41" s="160">
        <f>$B$9*'Transformaciones'!I33</f>
        <v/>
      </c>
      <c r="I41" s="160">
        <f>$B$10*'Transformaciones'!K33</f>
        <v/>
      </c>
      <c r="J41" s="160">
        <f>$B$13*'Transformaciones'!P34</f>
        <v/>
      </c>
      <c r="K41" s="166">
        <f>SUM(C41:J41)</f>
        <v/>
      </c>
      <c r="L41" s="166">
        <f>B41-K41</f>
        <v/>
      </c>
      <c r="M41" s="167">
        <f>'Datos_fuente'!B34</f>
        <v/>
      </c>
      <c r="N41" s="167">
        <f>EXP('Transformaciones'!B33+K41)</f>
        <v/>
      </c>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1">
        <f>'Transformaciones'!A35</f>
        <v/>
      </c>
      <c r="B42" s="160">
        <f>'Transformaciones'!C35</f>
        <v/>
      </c>
      <c r="C42" s="160">
        <f>$B$6</f>
        <v/>
      </c>
      <c r="D42" s="160">
        <f>$B$7*'Transformaciones'!E35</f>
        <v/>
      </c>
      <c r="E42" s="160">
        <f>$B$11*'Transformaciones'!M35</f>
        <v/>
      </c>
      <c r="F42" s="160">
        <f>$B$12*'Transformaciones'!O35</f>
        <v/>
      </c>
      <c r="G42" s="160">
        <f>$B$8*'Transformaciones'!G34</f>
        <v/>
      </c>
      <c r="H42" s="160">
        <f>$B$9*'Transformaciones'!I34</f>
        <v/>
      </c>
      <c r="I42" s="160">
        <f>$B$10*'Transformaciones'!K34</f>
        <v/>
      </c>
      <c r="J42" s="160">
        <f>$B$13*'Transformaciones'!P35</f>
        <v/>
      </c>
      <c r="K42" s="166">
        <f>SUM(C42:J42)</f>
        <v/>
      </c>
      <c r="L42" s="166">
        <f>B42-K42</f>
        <v/>
      </c>
      <c r="M42" s="167">
        <f>'Datos_fuente'!B35</f>
        <v/>
      </c>
      <c r="N42" s="167">
        <f>EXP('Transformaciones'!B34+K42)</f>
        <v/>
      </c>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1">
        <f>'Transformaciones'!A36</f>
        <v/>
      </c>
      <c r="B43" s="160">
        <f>'Transformaciones'!C36</f>
        <v/>
      </c>
      <c r="C43" s="160">
        <f>$B$6</f>
        <v/>
      </c>
      <c r="D43" s="160">
        <f>$B$7*'Transformaciones'!E36</f>
        <v/>
      </c>
      <c r="E43" s="160">
        <f>$B$11*'Transformaciones'!M36</f>
        <v/>
      </c>
      <c r="F43" s="160">
        <f>$B$12*'Transformaciones'!O36</f>
        <v/>
      </c>
      <c r="G43" s="160">
        <f>$B$8*'Transformaciones'!G35</f>
        <v/>
      </c>
      <c r="H43" s="160">
        <f>$B$9*'Transformaciones'!I35</f>
        <v/>
      </c>
      <c r="I43" s="160">
        <f>$B$10*'Transformaciones'!K35</f>
        <v/>
      </c>
      <c r="J43" s="160">
        <f>$B$13*'Transformaciones'!P36</f>
        <v/>
      </c>
      <c r="K43" s="166">
        <f>SUM(C43:J43)</f>
        <v/>
      </c>
      <c r="L43" s="166">
        <f>B43-K43</f>
        <v/>
      </c>
      <c r="M43" s="167">
        <f>'Datos_fuente'!B36</f>
        <v/>
      </c>
      <c r="N43" s="167">
        <f>EXP('Transformaciones'!B35+K43)</f>
        <v/>
      </c>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1">
        <f>'Transformaciones'!A37</f>
        <v/>
      </c>
      <c r="B44" s="160">
        <f>'Transformaciones'!C37</f>
        <v/>
      </c>
      <c r="C44" s="160">
        <f>$B$6</f>
        <v/>
      </c>
      <c r="D44" s="160">
        <f>$B$7*'Transformaciones'!E37</f>
        <v/>
      </c>
      <c r="E44" s="160">
        <f>$B$11*'Transformaciones'!M37</f>
        <v/>
      </c>
      <c r="F44" s="160">
        <f>$B$12*'Transformaciones'!O37</f>
        <v/>
      </c>
      <c r="G44" s="160">
        <f>$B$8*'Transformaciones'!G36</f>
        <v/>
      </c>
      <c r="H44" s="160">
        <f>$B$9*'Transformaciones'!I36</f>
        <v/>
      </c>
      <c r="I44" s="160">
        <f>$B$10*'Transformaciones'!K36</f>
        <v/>
      </c>
      <c r="J44" s="160">
        <f>$B$13*'Transformaciones'!P37</f>
        <v/>
      </c>
      <c r="K44" s="166">
        <f>SUM(C44:J44)</f>
        <v/>
      </c>
      <c r="L44" s="166">
        <f>B44-K44</f>
        <v/>
      </c>
      <c r="M44" s="167">
        <f>'Datos_fuente'!B37</f>
        <v/>
      </c>
      <c r="N44" s="167">
        <f>EXP('Transformaciones'!B36+K44)</f>
        <v/>
      </c>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1">
        <f>'Transformaciones'!A38</f>
        <v/>
      </c>
      <c r="B45" s="160">
        <f>'Transformaciones'!C38</f>
        <v/>
      </c>
      <c r="C45" s="160">
        <f>$B$6</f>
        <v/>
      </c>
      <c r="D45" s="160">
        <f>$B$7*'Transformaciones'!E38</f>
        <v/>
      </c>
      <c r="E45" s="160">
        <f>$B$11*'Transformaciones'!M38</f>
        <v/>
      </c>
      <c r="F45" s="160">
        <f>$B$12*'Transformaciones'!O38</f>
        <v/>
      </c>
      <c r="G45" s="160">
        <f>$B$8*'Transformaciones'!G37</f>
        <v/>
      </c>
      <c r="H45" s="160">
        <f>$B$9*'Transformaciones'!I37</f>
        <v/>
      </c>
      <c r="I45" s="160">
        <f>$B$10*'Transformaciones'!K37</f>
        <v/>
      </c>
      <c r="J45" s="160">
        <f>$B$13*'Transformaciones'!P38</f>
        <v/>
      </c>
      <c r="K45" s="166">
        <f>SUM(C45:J45)</f>
        <v/>
      </c>
      <c r="L45" s="166">
        <f>B45-K45</f>
        <v/>
      </c>
      <c r="M45" s="167">
        <f>'Datos_fuente'!B38</f>
        <v/>
      </c>
      <c r="N45" s="167">
        <f>EXP('Transformaciones'!B37+K45)</f>
        <v/>
      </c>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1">
        <f>'Transformaciones'!A39</f>
        <v/>
      </c>
      <c r="B46" s="160">
        <f>'Transformaciones'!C39</f>
        <v/>
      </c>
      <c r="C46" s="160">
        <f>$B$6</f>
        <v/>
      </c>
      <c r="D46" s="160">
        <f>$B$7*'Transformaciones'!E39</f>
        <v/>
      </c>
      <c r="E46" s="160">
        <f>$B$11*'Transformaciones'!M39</f>
        <v/>
      </c>
      <c r="F46" s="160">
        <f>$B$12*'Transformaciones'!O39</f>
        <v/>
      </c>
      <c r="G46" s="160">
        <f>$B$8*'Transformaciones'!G38</f>
        <v/>
      </c>
      <c r="H46" s="160">
        <f>$B$9*'Transformaciones'!I38</f>
        <v/>
      </c>
      <c r="I46" s="160">
        <f>$B$10*'Transformaciones'!K38</f>
        <v/>
      </c>
      <c r="J46" s="160">
        <f>$B$13*'Transformaciones'!P39</f>
        <v/>
      </c>
      <c r="K46" s="166">
        <f>SUM(C46:J46)</f>
        <v/>
      </c>
      <c r="L46" s="166">
        <f>B46-K46</f>
        <v/>
      </c>
      <c r="M46" s="167">
        <f>'Datos_fuente'!B39</f>
        <v/>
      </c>
      <c r="N46" s="167">
        <f>EXP('Transformaciones'!B38+K46)</f>
        <v/>
      </c>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1">
        <f>'Transformaciones'!A40</f>
        <v/>
      </c>
      <c r="B47" s="160">
        <f>'Transformaciones'!C40</f>
        <v/>
      </c>
      <c r="C47" s="160">
        <f>$B$6</f>
        <v/>
      </c>
      <c r="D47" s="160">
        <f>$B$7*'Transformaciones'!E40</f>
        <v/>
      </c>
      <c r="E47" s="160">
        <f>$B$11*'Transformaciones'!M40</f>
        <v/>
      </c>
      <c r="F47" s="160">
        <f>$B$12*'Transformaciones'!O40</f>
        <v/>
      </c>
      <c r="G47" s="160">
        <f>$B$8*'Transformaciones'!G39</f>
        <v/>
      </c>
      <c r="H47" s="160">
        <f>$B$9*'Transformaciones'!I39</f>
        <v/>
      </c>
      <c r="I47" s="160">
        <f>$B$10*'Transformaciones'!K39</f>
        <v/>
      </c>
      <c r="J47" s="160">
        <f>$B$13*'Transformaciones'!P40</f>
        <v/>
      </c>
      <c r="K47" s="166">
        <f>SUM(C47:J47)</f>
        <v/>
      </c>
      <c r="L47" s="166">
        <f>B47-K47</f>
        <v/>
      </c>
      <c r="M47" s="167">
        <f>'Datos_fuente'!B40</f>
        <v/>
      </c>
      <c r="N47" s="167">
        <f>EXP('Transformaciones'!B39+K47)</f>
        <v/>
      </c>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1">
        <f>'Transformaciones'!A41</f>
        <v/>
      </c>
      <c r="B48" s="160">
        <f>'Transformaciones'!C41</f>
        <v/>
      </c>
      <c r="C48" s="160">
        <f>$B$6</f>
        <v/>
      </c>
      <c r="D48" s="160">
        <f>$B$7*'Transformaciones'!E41</f>
        <v/>
      </c>
      <c r="E48" s="160">
        <f>$B$11*'Transformaciones'!M41</f>
        <v/>
      </c>
      <c r="F48" s="160">
        <f>$B$12*'Transformaciones'!O41</f>
        <v/>
      </c>
      <c r="G48" s="160">
        <f>$B$8*'Transformaciones'!G40</f>
        <v/>
      </c>
      <c r="H48" s="160">
        <f>$B$9*'Transformaciones'!I40</f>
        <v/>
      </c>
      <c r="I48" s="160">
        <f>$B$10*'Transformaciones'!K40</f>
        <v/>
      </c>
      <c r="J48" s="160">
        <f>$B$13*'Transformaciones'!P41</f>
        <v/>
      </c>
      <c r="K48" s="166">
        <f>SUM(C48:J48)</f>
        <v/>
      </c>
      <c r="L48" s="166">
        <f>B48-K48</f>
        <v/>
      </c>
      <c r="M48" s="167">
        <f>'Datos_fuente'!B41</f>
        <v/>
      </c>
      <c r="N48" s="167">
        <f>EXP('Transformaciones'!B40+K48)</f>
        <v/>
      </c>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1">
        <f>'Transformaciones'!A42</f>
        <v/>
      </c>
      <c r="B49" s="160">
        <f>'Transformaciones'!C42</f>
        <v/>
      </c>
      <c r="C49" s="160">
        <f>$B$6</f>
        <v/>
      </c>
      <c r="D49" s="160">
        <f>$B$7*'Transformaciones'!E42</f>
        <v/>
      </c>
      <c r="E49" s="160">
        <f>$B$11*'Transformaciones'!M42</f>
        <v/>
      </c>
      <c r="F49" s="160">
        <f>$B$12*'Transformaciones'!O42</f>
        <v/>
      </c>
      <c r="G49" s="160">
        <f>$B$8*'Transformaciones'!G41</f>
        <v/>
      </c>
      <c r="H49" s="160">
        <f>$B$9*'Transformaciones'!I41</f>
        <v/>
      </c>
      <c r="I49" s="160">
        <f>$B$10*'Transformaciones'!K41</f>
        <v/>
      </c>
      <c r="J49" s="160">
        <f>$B$13*'Transformaciones'!P42</f>
        <v/>
      </c>
      <c r="K49" s="166">
        <f>SUM(C49:J49)</f>
        <v/>
      </c>
      <c r="L49" s="166">
        <f>B49-K49</f>
        <v/>
      </c>
      <c r="M49" s="167">
        <f>'Datos_fuente'!B42</f>
        <v/>
      </c>
      <c r="N49" s="167">
        <f>EXP('Transformaciones'!B41+K49)</f>
        <v/>
      </c>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1">
        <f>'Transformaciones'!A43</f>
        <v/>
      </c>
      <c r="B50" s="160">
        <f>'Transformaciones'!C43</f>
        <v/>
      </c>
      <c r="C50" s="160">
        <f>$B$6</f>
        <v/>
      </c>
      <c r="D50" s="160">
        <f>$B$7*'Transformaciones'!E43</f>
        <v/>
      </c>
      <c r="E50" s="160">
        <f>$B$11*'Transformaciones'!M43</f>
        <v/>
      </c>
      <c r="F50" s="160">
        <f>$B$12*'Transformaciones'!O43</f>
        <v/>
      </c>
      <c r="G50" s="160">
        <f>$B$8*'Transformaciones'!G42</f>
        <v/>
      </c>
      <c r="H50" s="160">
        <f>$B$9*'Transformaciones'!I42</f>
        <v/>
      </c>
      <c r="I50" s="160">
        <f>$B$10*'Transformaciones'!K42</f>
        <v/>
      </c>
      <c r="J50" s="160">
        <f>$B$13*'Transformaciones'!P43</f>
        <v/>
      </c>
      <c r="K50" s="166">
        <f>SUM(C50:J50)</f>
        <v/>
      </c>
      <c r="L50" s="166">
        <f>B50-K50</f>
        <v/>
      </c>
      <c r="M50" s="167">
        <f>'Datos_fuente'!B43</f>
        <v/>
      </c>
      <c r="N50" s="167">
        <f>EXP('Transformaciones'!B42+K50)</f>
        <v/>
      </c>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1">
        <f>'Transformaciones'!A44</f>
        <v/>
      </c>
      <c r="B51" s="160">
        <f>'Transformaciones'!C44</f>
        <v/>
      </c>
      <c r="C51" s="160">
        <f>$B$6</f>
        <v/>
      </c>
      <c r="D51" s="160">
        <f>$B$7*'Transformaciones'!E44</f>
        <v/>
      </c>
      <c r="E51" s="160">
        <f>$B$11*'Transformaciones'!M44</f>
        <v/>
      </c>
      <c r="F51" s="160">
        <f>$B$12*'Transformaciones'!O44</f>
        <v/>
      </c>
      <c r="G51" s="160">
        <f>$B$8*'Transformaciones'!G43</f>
        <v/>
      </c>
      <c r="H51" s="160">
        <f>$B$9*'Transformaciones'!I43</f>
        <v/>
      </c>
      <c r="I51" s="160">
        <f>$B$10*'Transformaciones'!K43</f>
        <v/>
      </c>
      <c r="J51" s="160">
        <f>$B$13*'Transformaciones'!P44</f>
        <v/>
      </c>
      <c r="K51" s="166">
        <f>SUM(C51:J51)</f>
        <v/>
      </c>
      <c r="L51" s="166">
        <f>B51-K51</f>
        <v/>
      </c>
      <c r="M51" s="167">
        <f>'Datos_fuente'!B44</f>
        <v/>
      </c>
      <c r="N51" s="167">
        <f>EXP('Transformaciones'!B43+K51)</f>
        <v/>
      </c>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1">
        <f>'Transformaciones'!A45</f>
        <v/>
      </c>
      <c r="B52" s="160">
        <f>'Transformaciones'!C45</f>
        <v/>
      </c>
      <c r="C52" s="160">
        <f>$B$6</f>
        <v/>
      </c>
      <c r="D52" s="160">
        <f>$B$7*'Transformaciones'!E45</f>
        <v/>
      </c>
      <c r="E52" s="160">
        <f>$B$11*'Transformaciones'!M45</f>
        <v/>
      </c>
      <c r="F52" s="160">
        <f>$B$12*'Transformaciones'!O45</f>
        <v/>
      </c>
      <c r="G52" s="160">
        <f>$B$8*'Transformaciones'!G44</f>
        <v/>
      </c>
      <c r="H52" s="160">
        <f>$B$9*'Transformaciones'!I44</f>
        <v/>
      </c>
      <c r="I52" s="160">
        <f>$B$10*'Transformaciones'!K44</f>
        <v/>
      </c>
      <c r="J52" s="160">
        <f>$B$13*'Transformaciones'!P45</f>
        <v/>
      </c>
      <c r="K52" s="166">
        <f>SUM(C52:J52)</f>
        <v/>
      </c>
      <c r="L52" s="166">
        <f>B52-K52</f>
        <v/>
      </c>
      <c r="M52" s="167">
        <f>'Datos_fuente'!B45</f>
        <v/>
      </c>
      <c r="N52" s="167">
        <f>EXP('Transformaciones'!B44+K52)</f>
        <v/>
      </c>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1">
        <f>'Transformaciones'!A46</f>
        <v/>
      </c>
      <c r="B53" s="160">
        <f>'Transformaciones'!C46</f>
        <v/>
      </c>
      <c r="C53" s="160">
        <f>$B$6</f>
        <v/>
      </c>
      <c r="D53" s="160">
        <f>$B$7*'Transformaciones'!E46</f>
        <v/>
      </c>
      <c r="E53" s="160">
        <f>$B$11*'Transformaciones'!M46</f>
        <v/>
      </c>
      <c r="F53" s="160">
        <f>$B$12*'Transformaciones'!O46</f>
        <v/>
      </c>
      <c r="G53" s="160">
        <f>$B$8*'Transformaciones'!G45</f>
        <v/>
      </c>
      <c r="H53" s="160">
        <f>$B$9*'Transformaciones'!I45</f>
        <v/>
      </c>
      <c r="I53" s="160">
        <f>$B$10*'Transformaciones'!K45</f>
        <v/>
      </c>
      <c r="J53" s="160">
        <f>$B$13*'Transformaciones'!P46</f>
        <v/>
      </c>
      <c r="K53" s="166">
        <f>SUM(C53:J53)</f>
        <v/>
      </c>
      <c r="L53" s="166">
        <f>B53-K53</f>
        <v/>
      </c>
      <c r="M53" s="167">
        <f>'Datos_fuente'!B46</f>
        <v/>
      </c>
      <c r="N53" s="167">
        <f>EXP('Transformaciones'!B45+K53)</f>
        <v/>
      </c>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1">
        <f>'Transformaciones'!A47</f>
        <v/>
      </c>
      <c r="B54" s="160">
        <f>'Transformaciones'!C47</f>
        <v/>
      </c>
      <c r="C54" s="160">
        <f>$B$6</f>
        <v/>
      </c>
      <c r="D54" s="160">
        <f>$B$7*'Transformaciones'!E47</f>
        <v/>
      </c>
      <c r="E54" s="160">
        <f>$B$11*'Transformaciones'!M47</f>
        <v/>
      </c>
      <c r="F54" s="160">
        <f>$B$12*'Transformaciones'!O47</f>
        <v/>
      </c>
      <c r="G54" s="160">
        <f>$B$8*'Transformaciones'!G46</f>
        <v/>
      </c>
      <c r="H54" s="160">
        <f>$B$9*'Transformaciones'!I46</f>
        <v/>
      </c>
      <c r="I54" s="160">
        <f>$B$10*'Transformaciones'!K46</f>
        <v/>
      </c>
      <c r="J54" s="160">
        <f>$B$13*'Transformaciones'!P47</f>
        <v/>
      </c>
      <c r="K54" s="166">
        <f>SUM(C54:J54)</f>
        <v/>
      </c>
      <c r="L54" s="166">
        <f>B54-K54</f>
        <v/>
      </c>
      <c r="M54" s="167">
        <f>'Datos_fuente'!B47</f>
        <v/>
      </c>
      <c r="N54" s="167">
        <f>EXP('Transformaciones'!B46+K54)</f>
        <v/>
      </c>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1">
        <f>'Transformaciones'!A48</f>
        <v/>
      </c>
      <c r="B55" s="160">
        <f>'Transformaciones'!C48</f>
        <v/>
      </c>
      <c r="C55" s="160">
        <f>$B$6</f>
        <v/>
      </c>
      <c r="D55" s="160">
        <f>$B$7*'Transformaciones'!E48</f>
        <v/>
      </c>
      <c r="E55" s="160">
        <f>$B$11*'Transformaciones'!M48</f>
        <v/>
      </c>
      <c r="F55" s="160">
        <f>$B$12*'Transformaciones'!O48</f>
        <v/>
      </c>
      <c r="G55" s="160">
        <f>$B$8*'Transformaciones'!G47</f>
        <v/>
      </c>
      <c r="H55" s="160">
        <f>$B$9*'Transformaciones'!I47</f>
        <v/>
      </c>
      <c r="I55" s="160">
        <f>$B$10*'Transformaciones'!K47</f>
        <v/>
      </c>
      <c r="J55" s="160">
        <f>$B$13*'Transformaciones'!P48</f>
        <v/>
      </c>
      <c r="K55" s="166">
        <f>SUM(C55:J55)</f>
        <v/>
      </c>
      <c r="L55" s="166">
        <f>B55-K55</f>
        <v/>
      </c>
      <c r="M55" s="167">
        <f>'Datos_fuente'!B48</f>
        <v/>
      </c>
      <c r="N55" s="167">
        <f>EXP('Transformaciones'!B47+K55)</f>
        <v/>
      </c>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1">
        <f>'Transformaciones'!A49</f>
        <v/>
      </c>
      <c r="B56" s="160">
        <f>'Transformaciones'!C49</f>
        <v/>
      </c>
      <c r="C56" s="160">
        <f>$B$6</f>
        <v/>
      </c>
      <c r="D56" s="160">
        <f>$B$7*'Transformaciones'!E49</f>
        <v/>
      </c>
      <c r="E56" s="160">
        <f>$B$11*'Transformaciones'!M49</f>
        <v/>
      </c>
      <c r="F56" s="160">
        <f>$B$12*'Transformaciones'!O49</f>
        <v/>
      </c>
      <c r="G56" s="160">
        <f>$B$8*'Transformaciones'!G48</f>
        <v/>
      </c>
      <c r="H56" s="160">
        <f>$B$9*'Transformaciones'!I48</f>
        <v/>
      </c>
      <c r="I56" s="160">
        <f>$B$10*'Transformaciones'!K48</f>
        <v/>
      </c>
      <c r="J56" s="160">
        <f>$B$13*'Transformaciones'!P49</f>
        <v/>
      </c>
      <c r="K56" s="166">
        <f>SUM(C56:J56)</f>
        <v/>
      </c>
      <c r="L56" s="166">
        <f>B56-K56</f>
        <v/>
      </c>
      <c r="M56" s="167">
        <f>'Datos_fuente'!B49</f>
        <v/>
      </c>
      <c r="N56" s="167">
        <f>EXP('Transformaciones'!B48+K56)</f>
        <v/>
      </c>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1">
        <f>'Transformaciones'!A50</f>
        <v/>
      </c>
      <c r="B57" s="160">
        <f>'Transformaciones'!C50</f>
        <v/>
      </c>
      <c r="C57" s="160">
        <f>$B$6</f>
        <v/>
      </c>
      <c r="D57" s="160">
        <f>$B$7*'Transformaciones'!E50</f>
        <v/>
      </c>
      <c r="E57" s="160">
        <f>$B$11*'Transformaciones'!M50</f>
        <v/>
      </c>
      <c r="F57" s="160">
        <f>$B$12*'Transformaciones'!O50</f>
        <v/>
      </c>
      <c r="G57" s="160">
        <f>$B$8*'Transformaciones'!G49</f>
        <v/>
      </c>
      <c r="H57" s="160">
        <f>$B$9*'Transformaciones'!I49</f>
        <v/>
      </c>
      <c r="I57" s="160">
        <f>$B$10*'Transformaciones'!K49</f>
        <v/>
      </c>
      <c r="J57" s="160">
        <f>$B$13*'Transformaciones'!P50</f>
        <v/>
      </c>
      <c r="K57" s="166">
        <f>SUM(C57:J57)</f>
        <v/>
      </c>
      <c r="L57" s="166">
        <f>B57-K57</f>
        <v/>
      </c>
      <c r="M57" s="167">
        <f>'Datos_fuente'!B50</f>
        <v/>
      </c>
      <c r="N57" s="167">
        <f>EXP('Transformaciones'!B49+K57)</f>
        <v/>
      </c>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1">
        <f>'Transformaciones'!A51</f>
        <v/>
      </c>
      <c r="B58" s="160">
        <f>'Transformaciones'!C51</f>
        <v/>
      </c>
      <c r="C58" s="160">
        <f>$B$6</f>
        <v/>
      </c>
      <c r="D58" s="160">
        <f>$B$7*'Transformaciones'!E51</f>
        <v/>
      </c>
      <c r="E58" s="160">
        <f>$B$11*'Transformaciones'!M51</f>
        <v/>
      </c>
      <c r="F58" s="160">
        <f>$B$12*'Transformaciones'!O51</f>
        <v/>
      </c>
      <c r="G58" s="160">
        <f>$B$8*'Transformaciones'!G50</f>
        <v/>
      </c>
      <c r="H58" s="160">
        <f>$B$9*'Transformaciones'!I50</f>
        <v/>
      </c>
      <c r="I58" s="160">
        <f>$B$10*'Transformaciones'!K50</f>
        <v/>
      </c>
      <c r="J58" s="160">
        <f>$B$13*'Transformaciones'!P51</f>
        <v/>
      </c>
      <c r="K58" s="166">
        <f>SUM(C58:J58)</f>
        <v/>
      </c>
      <c r="L58" s="166">
        <f>B58-K58</f>
        <v/>
      </c>
      <c r="M58" s="167">
        <f>'Datos_fuente'!B51</f>
        <v/>
      </c>
      <c r="N58" s="167">
        <f>EXP('Transformaciones'!B50+K58)</f>
        <v/>
      </c>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f>'Transformaciones'!A52</f>
        <v/>
      </c>
      <c r="B59" s="160">
        <f>'Transformaciones'!C52</f>
        <v/>
      </c>
      <c r="C59" s="160">
        <f>$B$6</f>
        <v/>
      </c>
      <c r="D59" s="160">
        <f>$B$7*'Transformaciones'!E52</f>
        <v/>
      </c>
      <c r="E59" s="160">
        <f>$B$11*'Transformaciones'!M52</f>
        <v/>
      </c>
      <c r="F59" s="160">
        <f>$B$12*'Transformaciones'!O52</f>
        <v/>
      </c>
      <c r="G59" s="160">
        <f>$B$8*'Transformaciones'!G51</f>
        <v/>
      </c>
      <c r="H59" s="160">
        <f>$B$9*'Transformaciones'!I51</f>
        <v/>
      </c>
      <c r="I59" s="160">
        <f>$B$10*'Transformaciones'!K51</f>
        <v/>
      </c>
      <c r="J59" s="160">
        <f>$B$13*'Transformaciones'!P52</f>
        <v/>
      </c>
      <c r="K59" s="166">
        <f>SUM(C59:J59)</f>
        <v/>
      </c>
      <c r="L59" s="166">
        <f>B59-K59</f>
        <v/>
      </c>
      <c r="M59" s="167">
        <f>'Datos_fuente'!B52</f>
        <v/>
      </c>
      <c r="N59" s="167">
        <f>EXP('Transformaciones'!B51+K59)</f>
        <v/>
      </c>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f>'Transformaciones'!A53</f>
        <v/>
      </c>
      <c r="B60" s="160">
        <f>'Transformaciones'!C53</f>
        <v/>
      </c>
      <c r="C60" s="160">
        <f>$B$6</f>
        <v/>
      </c>
      <c r="D60" s="160">
        <f>$B$7*'Transformaciones'!E53</f>
        <v/>
      </c>
      <c r="E60" s="160">
        <f>$B$11*'Transformaciones'!M53</f>
        <v/>
      </c>
      <c r="F60" s="160">
        <f>$B$12*'Transformaciones'!O53</f>
        <v/>
      </c>
      <c r="G60" s="160">
        <f>$B$8*'Transformaciones'!G52</f>
        <v/>
      </c>
      <c r="H60" s="160">
        <f>$B$9*'Transformaciones'!I52</f>
        <v/>
      </c>
      <c r="I60" s="160">
        <f>$B$10*'Transformaciones'!K52</f>
        <v/>
      </c>
      <c r="J60" s="160">
        <f>$B$13*'Transformaciones'!P53</f>
        <v/>
      </c>
      <c r="K60" s="166">
        <f>SUM(C60:J60)</f>
        <v/>
      </c>
      <c r="L60" s="166">
        <f>B60-K60</f>
        <v/>
      </c>
      <c r="M60" s="167">
        <f>'Datos_fuente'!B53</f>
        <v/>
      </c>
      <c r="N60" s="167">
        <f>EXP('Transformaciones'!B52+K60)</f>
        <v/>
      </c>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1">
        <f>'Transformaciones'!A54</f>
        <v/>
      </c>
      <c r="B61" s="160">
        <f>'Transformaciones'!C54</f>
        <v/>
      </c>
      <c r="C61" s="160">
        <f>$B$6</f>
        <v/>
      </c>
      <c r="D61" s="160">
        <f>$B$7*'Transformaciones'!E54</f>
        <v/>
      </c>
      <c r="E61" s="160">
        <f>$B$11*'Transformaciones'!M54</f>
        <v/>
      </c>
      <c r="F61" s="160">
        <f>$B$12*'Transformaciones'!O54</f>
        <v/>
      </c>
      <c r="G61" s="160">
        <f>$B$8*'Transformaciones'!G53</f>
        <v/>
      </c>
      <c r="H61" s="160">
        <f>$B$9*'Transformaciones'!I53</f>
        <v/>
      </c>
      <c r="I61" s="160">
        <f>$B$10*'Transformaciones'!K53</f>
        <v/>
      </c>
      <c r="J61" s="160">
        <f>$B$13*'Transformaciones'!P54</f>
        <v/>
      </c>
      <c r="K61" s="166">
        <f>SUM(C61:J61)</f>
        <v/>
      </c>
      <c r="L61" s="166">
        <f>B61-K61</f>
        <v/>
      </c>
      <c r="M61" s="167">
        <f>'Datos_fuente'!B54</f>
        <v/>
      </c>
      <c r="N61" s="167">
        <f>EXP('Transformaciones'!B53+K61)</f>
        <v/>
      </c>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1">
        <f>'Transformaciones'!A55</f>
        <v/>
      </c>
      <c r="B62" s="160">
        <f>'Transformaciones'!C55</f>
        <v/>
      </c>
      <c r="C62" s="160">
        <f>$B$6</f>
        <v/>
      </c>
      <c r="D62" s="160">
        <f>$B$7*'Transformaciones'!E55</f>
        <v/>
      </c>
      <c r="E62" s="160">
        <f>$B$11*'Transformaciones'!M55</f>
        <v/>
      </c>
      <c r="F62" s="160">
        <f>$B$12*'Transformaciones'!O55</f>
        <v/>
      </c>
      <c r="G62" s="160">
        <f>$B$8*'Transformaciones'!G54</f>
        <v/>
      </c>
      <c r="H62" s="160">
        <f>$B$9*'Transformaciones'!I54</f>
        <v/>
      </c>
      <c r="I62" s="160">
        <f>$B$10*'Transformaciones'!K54</f>
        <v/>
      </c>
      <c r="J62" s="160">
        <f>$B$13*'Transformaciones'!P55</f>
        <v/>
      </c>
      <c r="K62" s="166">
        <f>SUM(C62:J62)</f>
        <v/>
      </c>
      <c r="L62" s="166">
        <f>B62-K62</f>
        <v/>
      </c>
      <c r="M62" s="167">
        <f>'Datos_fuente'!B55</f>
        <v/>
      </c>
      <c r="N62" s="167">
        <f>EXP('Transformaciones'!B54+K62)</f>
        <v/>
      </c>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f>'Transformaciones'!A56</f>
        <v/>
      </c>
      <c r="B63" s="160">
        <f>'Transformaciones'!C56</f>
        <v/>
      </c>
      <c r="C63" s="160">
        <f>$B$6</f>
        <v/>
      </c>
      <c r="D63" s="160">
        <f>$B$7*'Transformaciones'!E56</f>
        <v/>
      </c>
      <c r="E63" s="160">
        <f>$B$11*'Transformaciones'!M56</f>
        <v/>
      </c>
      <c r="F63" s="160">
        <f>$B$12*'Transformaciones'!O56</f>
        <v/>
      </c>
      <c r="G63" s="160">
        <f>$B$8*'Transformaciones'!G55</f>
        <v/>
      </c>
      <c r="H63" s="160">
        <f>$B$9*'Transformaciones'!I55</f>
        <v/>
      </c>
      <c r="I63" s="160">
        <f>$B$10*'Transformaciones'!K55</f>
        <v/>
      </c>
      <c r="J63" s="160">
        <f>$B$13*'Transformaciones'!P56</f>
        <v/>
      </c>
      <c r="K63" s="166">
        <f>SUM(C63:J63)</f>
        <v/>
      </c>
      <c r="L63" s="166">
        <f>B63-K63</f>
        <v/>
      </c>
      <c r="M63" s="167">
        <f>'Datos_fuente'!B56</f>
        <v/>
      </c>
      <c r="N63" s="167">
        <f>EXP('Transformaciones'!B55+K63)</f>
        <v/>
      </c>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f>'Transformaciones'!A57</f>
        <v/>
      </c>
      <c r="B64" s="160">
        <f>'Transformaciones'!C57</f>
        <v/>
      </c>
      <c r="C64" s="160">
        <f>$B$6</f>
        <v/>
      </c>
      <c r="D64" s="160">
        <f>$B$7*'Transformaciones'!E57</f>
        <v/>
      </c>
      <c r="E64" s="160">
        <f>$B$11*'Transformaciones'!M57</f>
        <v/>
      </c>
      <c r="F64" s="160">
        <f>$B$12*'Transformaciones'!O57</f>
        <v/>
      </c>
      <c r="G64" s="160">
        <f>$B$8*'Transformaciones'!G56</f>
        <v/>
      </c>
      <c r="H64" s="160">
        <f>$B$9*'Transformaciones'!I56</f>
        <v/>
      </c>
      <c r="I64" s="160">
        <f>$B$10*'Transformaciones'!K56</f>
        <v/>
      </c>
      <c r="J64" s="160">
        <f>$B$13*'Transformaciones'!P57</f>
        <v/>
      </c>
      <c r="K64" s="166">
        <f>SUM(C64:J64)</f>
        <v/>
      </c>
      <c r="L64" s="166">
        <f>B64-K64</f>
        <v/>
      </c>
      <c r="M64" s="167">
        <f>'Datos_fuente'!B57</f>
        <v/>
      </c>
      <c r="N64" s="167">
        <f>EXP('Transformaciones'!B56+K64)</f>
        <v/>
      </c>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f>'Transformaciones'!A58</f>
        <v/>
      </c>
      <c r="B65" s="160">
        <f>'Transformaciones'!C58</f>
        <v/>
      </c>
      <c r="C65" s="160">
        <f>$B$6</f>
        <v/>
      </c>
      <c r="D65" s="160">
        <f>$B$7*'Transformaciones'!E58</f>
        <v/>
      </c>
      <c r="E65" s="160">
        <f>$B$11*'Transformaciones'!M58</f>
        <v/>
      </c>
      <c r="F65" s="160">
        <f>$B$12*'Transformaciones'!O58</f>
        <v/>
      </c>
      <c r="G65" s="160">
        <f>$B$8*'Transformaciones'!G57</f>
        <v/>
      </c>
      <c r="H65" s="160">
        <f>$B$9*'Transformaciones'!I57</f>
        <v/>
      </c>
      <c r="I65" s="160">
        <f>$B$10*'Transformaciones'!K57</f>
        <v/>
      </c>
      <c r="J65" s="160">
        <f>$B$13*'Transformaciones'!P58</f>
        <v/>
      </c>
      <c r="K65" s="166">
        <f>SUM(C65:J65)</f>
        <v/>
      </c>
      <c r="L65" s="166">
        <f>B65-K65</f>
        <v/>
      </c>
      <c r="M65" s="167">
        <f>'Datos_fuente'!B58</f>
        <v/>
      </c>
      <c r="N65" s="167">
        <f>EXP('Transformaciones'!B57+K65)</f>
        <v/>
      </c>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f>'Transformaciones'!A59</f>
        <v/>
      </c>
      <c r="B66" s="160">
        <f>'Transformaciones'!C59</f>
        <v/>
      </c>
      <c r="C66" s="160">
        <f>$B$6</f>
        <v/>
      </c>
      <c r="D66" s="160">
        <f>$B$7*'Transformaciones'!E59</f>
        <v/>
      </c>
      <c r="E66" s="160">
        <f>$B$11*'Transformaciones'!M59</f>
        <v/>
      </c>
      <c r="F66" s="160">
        <f>$B$12*'Transformaciones'!O59</f>
        <v/>
      </c>
      <c r="G66" s="160">
        <f>$B$8*'Transformaciones'!G58</f>
        <v/>
      </c>
      <c r="H66" s="160">
        <f>$B$9*'Transformaciones'!I58</f>
        <v/>
      </c>
      <c r="I66" s="160">
        <f>$B$10*'Transformaciones'!K58</f>
        <v/>
      </c>
      <c r="J66" s="160">
        <f>$B$13*'Transformaciones'!P59</f>
        <v/>
      </c>
      <c r="K66" s="166">
        <f>SUM(C66:J66)</f>
        <v/>
      </c>
      <c r="L66" s="166">
        <f>B66-K66</f>
        <v/>
      </c>
      <c r="M66" s="167">
        <f>'Datos_fuente'!B59</f>
        <v/>
      </c>
      <c r="N66" s="167">
        <f>EXP('Transformaciones'!B58+K66)</f>
        <v/>
      </c>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f>'Transformaciones'!A60</f>
        <v/>
      </c>
      <c r="B67" s="160">
        <f>'Transformaciones'!C60</f>
        <v/>
      </c>
      <c r="C67" s="160">
        <f>$B$6</f>
        <v/>
      </c>
      <c r="D67" s="160">
        <f>$B$7*'Transformaciones'!E60</f>
        <v/>
      </c>
      <c r="E67" s="160">
        <f>$B$11*'Transformaciones'!M60</f>
        <v/>
      </c>
      <c r="F67" s="160">
        <f>$B$12*'Transformaciones'!O60</f>
        <v/>
      </c>
      <c r="G67" s="160">
        <f>$B$8*'Transformaciones'!G59</f>
        <v/>
      </c>
      <c r="H67" s="160">
        <f>$B$9*'Transformaciones'!I59</f>
        <v/>
      </c>
      <c r="I67" s="160">
        <f>$B$10*'Transformaciones'!K59</f>
        <v/>
      </c>
      <c r="J67" s="160">
        <f>$B$13*'Transformaciones'!P60</f>
        <v/>
      </c>
      <c r="K67" s="166">
        <f>SUM(C67:J67)</f>
        <v/>
      </c>
      <c r="L67" s="166">
        <f>B67-K67</f>
        <v/>
      </c>
      <c r="M67" s="167">
        <f>'Datos_fuente'!B60</f>
        <v/>
      </c>
      <c r="N67" s="167">
        <f>EXP('Transformaciones'!B59+K67)</f>
        <v/>
      </c>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f>'Transformaciones'!A61</f>
        <v/>
      </c>
      <c r="B68" s="160">
        <f>'Transformaciones'!C61</f>
        <v/>
      </c>
      <c r="C68" s="160">
        <f>$B$6</f>
        <v/>
      </c>
      <c r="D68" s="160">
        <f>$B$7*'Transformaciones'!E61</f>
        <v/>
      </c>
      <c r="E68" s="160">
        <f>$B$11*'Transformaciones'!M61</f>
        <v/>
      </c>
      <c r="F68" s="160">
        <f>$B$12*'Transformaciones'!O61</f>
        <v/>
      </c>
      <c r="G68" s="160">
        <f>$B$8*'Transformaciones'!G60</f>
        <v/>
      </c>
      <c r="H68" s="160">
        <f>$B$9*'Transformaciones'!I60</f>
        <v/>
      </c>
      <c r="I68" s="160">
        <f>$B$10*'Transformaciones'!K60</f>
        <v/>
      </c>
      <c r="J68" s="160">
        <f>$B$13*'Transformaciones'!P61</f>
        <v/>
      </c>
      <c r="K68" s="166">
        <f>SUM(C68:J68)</f>
        <v/>
      </c>
      <c r="L68" s="166">
        <f>B68-K68</f>
        <v/>
      </c>
      <c r="M68" s="167">
        <f>'Datos_fuente'!B61</f>
        <v/>
      </c>
      <c r="N68" s="167">
        <f>EXP('Transformaciones'!B60+K68)</f>
        <v/>
      </c>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f>'Transformaciones'!A62</f>
        <v/>
      </c>
      <c r="B69" s="160">
        <f>'Transformaciones'!C62</f>
        <v/>
      </c>
      <c r="C69" s="160">
        <f>$B$6</f>
        <v/>
      </c>
      <c r="D69" s="160">
        <f>$B$7*'Transformaciones'!E62</f>
        <v/>
      </c>
      <c r="E69" s="160">
        <f>$B$11*'Transformaciones'!M62</f>
        <v/>
      </c>
      <c r="F69" s="160">
        <f>$B$12*'Transformaciones'!O62</f>
        <v/>
      </c>
      <c r="G69" s="160">
        <f>$B$8*'Transformaciones'!G61</f>
        <v/>
      </c>
      <c r="H69" s="160">
        <f>$B$9*'Transformaciones'!I61</f>
        <v/>
      </c>
      <c r="I69" s="160">
        <f>$B$10*'Transformaciones'!K61</f>
        <v/>
      </c>
      <c r="J69" s="160">
        <f>$B$13*'Transformaciones'!P62</f>
        <v/>
      </c>
      <c r="K69" s="166">
        <f>SUM(C69:J69)</f>
        <v/>
      </c>
      <c r="L69" s="166">
        <f>B69-K69</f>
        <v/>
      </c>
      <c r="M69" s="167">
        <f>'Datos_fuente'!B62</f>
        <v/>
      </c>
      <c r="N69" s="167">
        <f>EXP('Transformaciones'!B61+K69)</f>
        <v/>
      </c>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f>'Transformaciones'!A63</f>
        <v/>
      </c>
      <c r="B70" s="160">
        <f>'Transformaciones'!C63</f>
        <v/>
      </c>
      <c r="C70" s="160">
        <f>$B$6</f>
        <v/>
      </c>
      <c r="D70" s="160">
        <f>$B$7*'Transformaciones'!E63</f>
        <v/>
      </c>
      <c r="E70" s="160">
        <f>$B$11*'Transformaciones'!M63</f>
        <v/>
      </c>
      <c r="F70" s="160">
        <f>$B$12*'Transformaciones'!O63</f>
        <v/>
      </c>
      <c r="G70" s="160">
        <f>$B$8*'Transformaciones'!G62</f>
        <v/>
      </c>
      <c r="H70" s="160">
        <f>$B$9*'Transformaciones'!I62</f>
        <v/>
      </c>
      <c r="I70" s="160">
        <f>$B$10*'Transformaciones'!K62</f>
        <v/>
      </c>
      <c r="J70" s="160">
        <f>$B$13*'Transformaciones'!P63</f>
        <v/>
      </c>
      <c r="K70" s="166">
        <f>SUM(C70:J70)</f>
        <v/>
      </c>
      <c r="L70" s="166">
        <f>B70-K70</f>
        <v/>
      </c>
      <c r="M70" s="167">
        <f>'Datos_fuente'!B63</f>
        <v/>
      </c>
      <c r="N70" s="167">
        <f>EXP('Transformaciones'!B62+K70)</f>
        <v/>
      </c>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f>'Transformaciones'!A64</f>
        <v/>
      </c>
      <c r="B71" s="160">
        <f>'Transformaciones'!C64</f>
        <v/>
      </c>
      <c r="C71" s="160">
        <f>$B$6</f>
        <v/>
      </c>
      <c r="D71" s="160">
        <f>$B$7*'Transformaciones'!E64</f>
        <v/>
      </c>
      <c r="E71" s="160">
        <f>$B$11*'Transformaciones'!M64</f>
        <v/>
      </c>
      <c r="F71" s="160">
        <f>$B$12*'Transformaciones'!O64</f>
        <v/>
      </c>
      <c r="G71" s="160">
        <f>$B$8*'Transformaciones'!G63</f>
        <v/>
      </c>
      <c r="H71" s="160">
        <f>$B$9*'Transformaciones'!I63</f>
        <v/>
      </c>
      <c r="I71" s="160">
        <f>$B$10*'Transformaciones'!K63</f>
        <v/>
      </c>
      <c r="J71" s="160">
        <f>$B$13*'Transformaciones'!P64</f>
        <v/>
      </c>
      <c r="K71" s="166">
        <f>SUM(C71:J71)</f>
        <v/>
      </c>
      <c r="L71" s="166">
        <f>B71-K71</f>
        <v/>
      </c>
      <c r="M71" s="167">
        <f>'Datos_fuente'!B64</f>
        <v/>
      </c>
      <c r="N71" s="167">
        <f>EXP('Transformaciones'!B63+K71)</f>
        <v/>
      </c>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f>'Transformaciones'!A65</f>
        <v/>
      </c>
      <c r="B72" s="160">
        <f>'Transformaciones'!C65</f>
        <v/>
      </c>
      <c r="C72" s="160">
        <f>$B$6</f>
        <v/>
      </c>
      <c r="D72" s="160">
        <f>$B$7*'Transformaciones'!E65</f>
        <v/>
      </c>
      <c r="E72" s="160">
        <f>$B$11*'Transformaciones'!M65</f>
        <v/>
      </c>
      <c r="F72" s="160">
        <f>$B$12*'Transformaciones'!O65</f>
        <v/>
      </c>
      <c r="G72" s="160">
        <f>$B$8*'Transformaciones'!G64</f>
        <v/>
      </c>
      <c r="H72" s="160">
        <f>$B$9*'Transformaciones'!I64</f>
        <v/>
      </c>
      <c r="I72" s="160">
        <f>$B$10*'Transformaciones'!K64</f>
        <v/>
      </c>
      <c r="J72" s="160">
        <f>$B$13*'Transformaciones'!P65</f>
        <v/>
      </c>
      <c r="K72" s="166">
        <f>SUM(C72:J72)</f>
        <v/>
      </c>
      <c r="L72" s="166">
        <f>B72-K72</f>
        <v/>
      </c>
      <c r="M72" s="167">
        <f>'Datos_fuente'!B65</f>
        <v/>
      </c>
      <c r="N72" s="167">
        <f>EXP('Transformaciones'!B64+K72)</f>
        <v/>
      </c>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f>'Transformaciones'!A66</f>
        <v/>
      </c>
      <c r="B73" s="160">
        <f>'Transformaciones'!C66</f>
        <v/>
      </c>
      <c r="C73" s="160">
        <f>$B$6</f>
        <v/>
      </c>
      <c r="D73" s="160">
        <f>$B$7*'Transformaciones'!E66</f>
        <v/>
      </c>
      <c r="E73" s="160">
        <f>$B$11*'Transformaciones'!M66</f>
        <v/>
      </c>
      <c r="F73" s="160">
        <f>$B$12*'Transformaciones'!O66</f>
        <v/>
      </c>
      <c r="G73" s="160">
        <f>$B$8*'Transformaciones'!G65</f>
        <v/>
      </c>
      <c r="H73" s="160">
        <f>$B$9*'Transformaciones'!I65</f>
        <v/>
      </c>
      <c r="I73" s="160">
        <f>$B$10*'Transformaciones'!K65</f>
        <v/>
      </c>
      <c r="J73" s="160">
        <f>$B$13*'Transformaciones'!P66</f>
        <v/>
      </c>
      <c r="K73" s="166">
        <f>SUM(C73:J73)</f>
        <v/>
      </c>
      <c r="L73" s="166">
        <f>B73-K73</f>
        <v/>
      </c>
      <c r="M73" s="167">
        <f>'Datos_fuente'!B66</f>
        <v/>
      </c>
      <c r="N73" s="167">
        <f>EXP('Transformaciones'!B65+K73)</f>
        <v/>
      </c>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f>'Transformaciones'!A67</f>
        <v/>
      </c>
      <c r="B74" s="160">
        <f>'Transformaciones'!C67</f>
        <v/>
      </c>
      <c r="C74" s="160">
        <f>$B$6</f>
        <v/>
      </c>
      <c r="D74" s="160">
        <f>$B$7*'Transformaciones'!E67</f>
        <v/>
      </c>
      <c r="E74" s="160">
        <f>$B$11*'Transformaciones'!M67</f>
        <v/>
      </c>
      <c r="F74" s="160">
        <f>$B$12*'Transformaciones'!O67</f>
        <v/>
      </c>
      <c r="G74" s="160">
        <f>$B$8*'Transformaciones'!G66</f>
        <v/>
      </c>
      <c r="H74" s="160">
        <f>$B$9*'Transformaciones'!I66</f>
        <v/>
      </c>
      <c r="I74" s="160">
        <f>$B$10*'Transformaciones'!K66</f>
        <v/>
      </c>
      <c r="J74" s="160">
        <f>$B$13*'Transformaciones'!P67</f>
        <v/>
      </c>
      <c r="K74" s="166">
        <f>SUM(C74:J74)</f>
        <v/>
      </c>
      <c r="L74" s="166">
        <f>B74-K74</f>
        <v/>
      </c>
      <c r="M74" s="167">
        <f>'Datos_fuente'!B67</f>
        <v/>
      </c>
      <c r="N74" s="167">
        <f>EXP('Transformaciones'!B66+K74)</f>
        <v/>
      </c>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f>'Transformaciones'!A68</f>
        <v/>
      </c>
      <c r="B75" s="160">
        <f>'Transformaciones'!C68</f>
        <v/>
      </c>
      <c r="C75" s="160">
        <f>$B$6</f>
        <v/>
      </c>
      <c r="D75" s="160">
        <f>$B$7*'Transformaciones'!E68</f>
        <v/>
      </c>
      <c r="E75" s="160">
        <f>$B$11*'Transformaciones'!M68</f>
        <v/>
      </c>
      <c r="F75" s="160">
        <f>$B$12*'Transformaciones'!O68</f>
        <v/>
      </c>
      <c r="G75" s="160">
        <f>$B$8*'Transformaciones'!G67</f>
        <v/>
      </c>
      <c r="H75" s="160">
        <f>$B$9*'Transformaciones'!I67</f>
        <v/>
      </c>
      <c r="I75" s="160">
        <f>$B$10*'Transformaciones'!K67</f>
        <v/>
      </c>
      <c r="J75" s="160">
        <f>$B$13*'Transformaciones'!P68</f>
        <v/>
      </c>
      <c r="K75" s="166">
        <f>SUM(C75:J75)</f>
        <v/>
      </c>
      <c r="L75" s="166">
        <f>B75-K75</f>
        <v/>
      </c>
      <c r="M75" s="167">
        <f>'Datos_fuente'!B68</f>
        <v/>
      </c>
      <c r="N75" s="167">
        <f>EXP('Transformaciones'!B67+K75)</f>
        <v/>
      </c>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f>'Transformaciones'!A69</f>
        <v/>
      </c>
      <c r="B76" s="160">
        <f>'Transformaciones'!C69</f>
        <v/>
      </c>
      <c r="C76" s="160">
        <f>$B$6</f>
        <v/>
      </c>
      <c r="D76" s="160">
        <f>$B$7*'Transformaciones'!E69</f>
        <v/>
      </c>
      <c r="E76" s="160">
        <f>$B$11*'Transformaciones'!M69</f>
        <v/>
      </c>
      <c r="F76" s="160">
        <f>$B$12*'Transformaciones'!O69</f>
        <v/>
      </c>
      <c r="G76" s="160">
        <f>$B$8*'Transformaciones'!G68</f>
        <v/>
      </c>
      <c r="H76" s="160">
        <f>$B$9*'Transformaciones'!I68</f>
        <v/>
      </c>
      <c r="I76" s="160">
        <f>$B$10*'Transformaciones'!K68</f>
        <v/>
      </c>
      <c r="J76" s="160">
        <f>$B$13*'Transformaciones'!P69</f>
        <v/>
      </c>
      <c r="K76" s="166">
        <f>SUM(C76:J76)</f>
        <v/>
      </c>
      <c r="L76" s="166">
        <f>B76-K76</f>
        <v/>
      </c>
      <c r="M76" s="167">
        <f>'Datos_fuente'!B69</f>
        <v/>
      </c>
      <c r="N76" s="167">
        <f>EXP('Transformaciones'!B68+K76)</f>
        <v/>
      </c>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f>'Transformaciones'!A70</f>
        <v/>
      </c>
      <c r="B77" s="160">
        <f>'Transformaciones'!C70</f>
        <v/>
      </c>
      <c r="C77" s="160">
        <f>$B$6</f>
        <v/>
      </c>
      <c r="D77" s="160">
        <f>$B$7*'Transformaciones'!E70</f>
        <v/>
      </c>
      <c r="E77" s="160">
        <f>$B$11*'Transformaciones'!M70</f>
        <v/>
      </c>
      <c r="F77" s="160">
        <f>$B$12*'Transformaciones'!O70</f>
        <v/>
      </c>
      <c r="G77" s="160">
        <f>$B$8*'Transformaciones'!G69</f>
        <v/>
      </c>
      <c r="H77" s="160">
        <f>$B$9*'Transformaciones'!I69</f>
        <v/>
      </c>
      <c r="I77" s="160">
        <f>$B$10*'Transformaciones'!K69</f>
        <v/>
      </c>
      <c r="J77" s="160">
        <f>$B$13*'Transformaciones'!P70</f>
        <v/>
      </c>
      <c r="K77" s="166">
        <f>SUM(C77:J77)</f>
        <v/>
      </c>
      <c r="L77" s="166">
        <f>B77-K77</f>
        <v/>
      </c>
      <c r="M77" s="167">
        <f>'Datos_fuente'!B70</f>
        <v/>
      </c>
      <c r="N77" s="167">
        <f>EXP('Transformaciones'!B69+K77)</f>
        <v/>
      </c>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f>'Transformaciones'!A71</f>
        <v/>
      </c>
      <c r="B78" s="160">
        <f>'Transformaciones'!C71</f>
        <v/>
      </c>
      <c r="C78" s="160">
        <f>$B$6</f>
        <v/>
      </c>
      <c r="D78" s="160">
        <f>$B$7*'Transformaciones'!E71</f>
        <v/>
      </c>
      <c r="E78" s="160">
        <f>$B$11*'Transformaciones'!M71</f>
        <v/>
      </c>
      <c r="F78" s="160">
        <f>$B$12*'Transformaciones'!O71</f>
        <v/>
      </c>
      <c r="G78" s="160">
        <f>$B$8*'Transformaciones'!G70</f>
        <v/>
      </c>
      <c r="H78" s="160">
        <f>$B$9*'Transformaciones'!I70</f>
        <v/>
      </c>
      <c r="I78" s="160">
        <f>$B$10*'Transformaciones'!K70</f>
        <v/>
      </c>
      <c r="J78" s="160">
        <f>$B$13*'Transformaciones'!P71</f>
        <v/>
      </c>
      <c r="K78" s="166">
        <f>SUM(C78:J78)</f>
        <v/>
      </c>
      <c r="L78" s="166">
        <f>B78-K78</f>
        <v/>
      </c>
      <c r="M78" s="167">
        <f>'Datos_fuente'!B71</f>
        <v/>
      </c>
      <c r="N78" s="167">
        <f>EXP('Transformaciones'!B70+K78)</f>
        <v/>
      </c>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f>'Transformaciones'!A72</f>
        <v/>
      </c>
      <c r="B79" s="160">
        <f>'Transformaciones'!C72</f>
        <v/>
      </c>
      <c r="C79" s="160">
        <f>$B$6</f>
        <v/>
      </c>
      <c r="D79" s="160">
        <f>$B$7*'Transformaciones'!E72</f>
        <v/>
      </c>
      <c r="E79" s="160">
        <f>$B$11*'Transformaciones'!M72</f>
        <v/>
      </c>
      <c r="F79" s="160">
        <f>$B$12*'Transformaciones'!O72</f>
        <v/>
      </c>
      <c r="G79" s="160">
        <f>$B$8*'Transformaciones'!G71</f>
        <v/>
      </c>
      <c r="H79" s="160">
        <f>$B$9*'Transformaciones'!I71</f>
        <v/>
      </c>
      <c r="I79" s="160">
        <f>$B$10*'Transformaciones'!K71</f>
        <v/>
      </c>
      <c r="J79" s="160">
        <f>$B$13*'Transformaciones'!P72</f>
        <v/>
      </c>
      <c r="K79" s="166">
        <f>SUM(C79:J79)</f>
        <v/>
      </c>
      <c r="L79" s="166">
        <f>B79-K79</f>
        <v/>
      </c>
      <c r="M79" s="167">
        <f>'Datos_fuente'!B72</f>
        <v/>
      </c>
      <c r="N79" s="167">
        <f>EXP('Transformaciones'!B71+K79)</f>
        <v/>
      </c>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f>'Transformaciones'!A73</f>
        <v/>
      </c>
      <c r="B80" s="160">
        <f>'Transformaciones'!C73</f>
        <v/>
      </c>
      <c r="C80" s="160">
        <f>$B$6</f>
        <v/>
      </c>
      <c r="D80" s="160">
        <f>$B$7*'Transformaciones'!E73</f>
        <v/>
      </c>
      <c r="E80" s="160">
        <f>$B$11*'Transformaciones'!M73</f>
        <v/>
      </c>
      <c r="F80" s="160">
        <f>$B$12*'Transformaciones'!O73</f>
        <v/>
      </c>
      <c r="G80" s="160">
        <f>$B$8*'Transformaciones'!G72</f>
        <v/>
      </c>
      <c r="H80" s="160">
        <f>$B$9*'Transformaciones'!I72</f>
        <v/>
      </c>
      <c r="I80" s="160">
        <f>$B$10*'Transformaciones'!K72</f>
        <v/>
      </c>
      <c r="J80" s="160">
        <f>$B$13*'Transformaciones'!P73</f>
        <v/>
      </c>
      <c r="K80" s="166">
        <f>SUM(C80:J80)</f>
        <v/>
      </c>
      <c r="L80" s="166">
        <f>B80-K80</f>
        <v/>
      </c>
      <c r="M80" s="167">
        <f>'Datos_fuente'!B73</f>
        <v/>
      </c>
      <c r="N80" s="167">
        <f>EXP('Transformaciones'!B72+K80)</f>
        <v/>
      </c>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f>'Transformaciones'!A74</f>
        <v/>
      </c>
      <c r="B81" s="160">
        <f>'Transformaciones'!C74</f>
        <v/>
      </c>
      <c r="C81" s="160">
        <f>$B$6</f>
        <v/>
      </c>
      <c r="D81" s="160">
        <f>$B$7*'Transformaciones'!E74</f>
        <v/>
      </c>
      <c r="E81" s="160">
        <f>$B$11*'Transformaciones'!M74</f>
        <v/>
      </c>
      <c r="F81" s="160">
        <f>$B$12*'Transformaciones'!O74</f>
        <v/>
      </c>
      <c r="G81" s="160">
        <f>$B$8*'Transformaciones'!G73</f>
        <v/>
      </c>
      <c r="H81" s="160">
        <f>$B$9*'Transformaciones'!I73</f>
        <v/>
      </c>
      <c r="I81" s="160">
        <f>$B$10*'Transformaciones'!K73</f>
        <v/>
      </c>
      <c r="J81" s="160">
        <f>$B$13*'Transformaciones'!P74</f>
        <v/>
      </c>
      <c r="K81" s="166">
        <f>SUM(C81:J81)</f>
        <v/>
      </c>
      <c r="L81" s="166">
        <f>B81-K81</f>
        <v/>
      </c>
      <c r="M81" s="167">
        <f>'Datos_fuente'!B74</f>
        <v/>
      </c>
      <c r="N81" s="167">
        <f>EXP('Transformaciones'!B73+K81)</f>
        <v/>
      </c>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f>'Transformaciones'!A75</f>
        <v/>
      </c>
      <c r="B82" s="160">
        <f>'Transformaciones'!C75</f>
        <v/>
      </c>
      <c r="C82" s="160">
        <f>$B$6</f>
        <v/>
      </c>
      <c r="D82" s="160">
        <f>$B$7*'Transformaciones'!E75</f>
        <v/>
      </c>
      <c r="E82" s="160">
        <f>$B$11*'Transformaciones'!M75</f>
        <v/>
      </c>
      <c r="F82" s="160">
        <f>$B$12*'Transformaciones'!O75</f>
        <v/>
      </c>
      <c r="G82" s="160">
        <f>$B$8*'Transformaciones'!G74</f>
        <v/>
      </c>
      <c r="H82" s="160">
        <f>$B$9*'Transformaciones'!I74</f>
        <v/>
      </c>
      <c r="I82" s="160">
        <f>$B$10*'Transformaciones'!K74</f>
        <v/>
      </c>
      <c r="J82" s="160">
        <f>$B$13*'Transformaciones'!P75</f>
        <v/>
      </c>
      <c r="K82" s="166">
        <f>SUM(C82:J82)</f>
        <v/>
      </c>
      <c r="L82" s="166">
        <f>B82-K82</f>
        <v/>
      </c>
      <c r="M82" s="167">
        <f>'Datos_fuente'!B75</f>
        <v/>
      </c>
      <c r="N82" s="167">
        <f>EXP('Transformaciones'!B74+K82)</f>
        <v/>
      </c>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f>'Transformaciones'!A76</f>
        <v/>
      </c>
      <c r="B83" s="160">
        <f>'Transformaciones'!C76</f>
        <v/>
      </c>
      <c r="C83" s="160">
        <f>$B$6</f>
        <v/>
      </c>
      <c r="D83" s="160">
        <f>$B$7*'Transformaciones'!E76</f>
        <v/>
      </c>
      <c r="E83" s="160">
        <f>$B$11*'Transformaciones'!M76</f>
        <v/>
      </c>
      <c r="F83" s="160">
        <f>$B$12*'Transformaciones'!O76</f>
        <v/>
      </c>
      <c r="G83" s="160">
        <f>$B$8*'Transformaciones'!G75</f>
        <v/>
      </c>
      <c r="H83" s="160">
        <f>$B$9*'Transformaciones'!I75</f>
        <v/>
      </c>
      <c r="I83" s="160">
        <f>$B$10*'Transformaciones'!K75</f>
        <v/>
      </c>
      <c r="J83" s="160">
        <f>$B$13*'Transformaciones'!P76</f>
        <v/>
      </c>
      <c r="K83" s="166">
        <f>SUM(C83:J83)</f>
        <v/>
      </c>
      <c r="L83" s="166">
        <f>B83-K83</f>
        <v/>
      </c>
      <c r="M83" s="167">
        <f>'Datos_fuente'!B76</f>
        <v/>
      </c>
      <c r="N83" s="167">
        <f>EXP('Transformaciones'!B75+K83)</f>
        <v/>
      </c>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f>'Transformaciones'!A77</f>
        <v/>
      </c>
      <c r="B84" s="160">
        <f>'Transformaciones'!C77</f>
        <v/>
      </c>
      <c r="C84" s="160">
        <f>$B$6</f>
        <v/>
      </c>
      <c r="D84" s="160">
        <f>$B$7*'Transformaciones'!E77</f>
        <v/>
      </c>
      <c r="E84" s="160">
        <f>$B$11*'Transformaciones'!M77</f>
        <v/>
      </c>
      <c r="F84" s="160">
        <f>$B$12*'Transformaciones'!O77</f>
        <v/>
      </c>
      <c r="G84" s="160">
        <f>$B$8*'Transformaciones'!G76</f>
        <v/>
      </c>
      <c r="H84" s="160">
        <f>$B$9*'Transformaciones'!I76</f>
        <v/>
      </c>
      <c r="I84" s="160">
        <f>$B$10*'Transformaciones'!K76</f>
        <v/>
      </c>
      <c r="J84" s="160">
        <f>$B$13*'Transformaciones'!P77</f>
        <v/>
      </c>
      <c r="K84" s="166">
        <f>SUM(C84:J84)</f>
        <v/>
      </c>
      <c r="L84" s="166">
        <f>B84-K84</f>
        <v/>
      </c>
      <c r="M84" s="167">
        <f>'Datos_fuente'!B77</f>
        <v/>
      </c>
      <c r="N84" s="167">
        <f>EXP('Transformaciones'!B76+K84)</f>
        <v/>
      </c>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f>'Transformaciones'!A78</f>
        <v/>
      </c>
      <c r="B85" s="160">
        <f>'Transformaciones'!C78</f>
        <v/>
      </c>
      <c r="C85" s="160">
        <f>$B$6</f>
        <v/>
      </c>
      <c r="D85" s="160">
        <f>$B$7*'Transformaciones'!E78</f>
        <v/>
      </c>
      <c r="E85" s="160">
        <f>$B$11*'Transformaciones'!M78</f>
        <v/>
      </c>
      <c r="F85" s="160">
        <f>$B$12*'Transformaciones'!O78</f>
        <v/>
      </c>
      <c r="G85" s="160">
        <f>$B$8*'Transformaciones'!G77</f>
        <v/>
      </c>
      <c r="H85" s="160">
        <f>$B$9*'Transformaciones'!I77</f>
        <v/>
      </c>
      <c r="I85" s="160">
        <f>$B$10*'Transformaciones'!K77</f>
        <v/>
      </c>
      <c r="J85" s="160">
        <f>$B$13*'Transformaciones'!P78</f>
        <v/>
      </c>
      <c r="K85" s="166">
        <f>SUM(C85:J85)</f>
        <v/>
      </c>
      <c r="L85" s="166">
        <f>B85-K85</f>
        <v/>
      </c>
      <c r="M85" s="167">
        <f>'Datos_fuente'!B78</f>
        <v/>
      </c>
      <c r="N85" s="167">
        <f>EXP('Transformaciones'!B77+K85)</f>
        <v/>
      </c>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f>'Transformaciones'!A79</f>
        <v/>
      </c>
      <c r="B86" s="160">
        <f>'Transformaciones'!C79</f>
        <v/>
      </c>
      <c r="C86" s="160">
        <f>$B$6</f>
        <v/>
      </c>
      <c r="D86" s="160">
        <f>$B$7*'Transformaciones'!E79</f>
        <v/>
      </c>
      <c r="E86" s="160">
        <f>$B$11*'Transformaciones'!M79</f>
        <v/>
      </c>
      <c r="F86" s="160">
        <f>$B$12*'Transformaciones'!O79</f>
        <v/>
      </c>
      <c r="G86" s="160">
        <f>$B$8*'Transformaciones'!G78</f>
        <v/>
      </c>
      <c r="H86" s="160">
        <f>$B$9*'Transformaciones'!I78</f>
        <v/>
      </c>
      <c r="I86" s="160">
        <f>$B$10*'Transformaciones'!K78</f>
        <v/>
      </c>
      <c r="J86" s="160">
        <f>$B$13*'Transformaciones'!P79</f>
        <v/>
      </c>
      <c r="K86" s="166">
        <f>SUM(C86:J86)</f>
        <v/>
      </c>
      <c r="L86" s="166">
        <f>B86-K86</f>
        <v/>
      </c>
      <c r="M86" s="167">
        <f>'Datos_fuente'!B79</f>
        <v/>
      </c>
      <c r="N86" s="167">
        <f>EXP('Transformaciones'!B78+K86)</f>
        <v/>
      </c>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f>'Transformaciones'!A80</f>
        <v/>
      </c>
      <c r="B87" s="160">
        <f>'Transformaciones'!C80</f>
        <v/>
      </c>
      <c r="C87" s="160">
        <f>$B$6</f>
        <v/>
      </c>
      <c r="D87" s="160">
        <f>$B$7*'Transformaciones'!E80</f>
        <v/>
      </c>
      <c r="E87" s="160">
        <f>$B$11*'Transformaciones'!M80</f>
        <v/>
      </c>
      <c r="F87" s="160">
        <f>$B$12*'Transformaciones'!O80</f>
        <v/>
      </c>
      <c r="G87" s="160">
        <f>$B$8*'Transformaciones'!G79</f>
        <v/>
      </c>
      <c r="H87" s="160">
        <f>$B$9*'Transformaciones'!I79</f>
        <v/>
      </c>
      <c r="I87" s="160">
        <f>$B$10*'Transformaciones'!K79</f>
        <v/>
      </c>
      <c r="J87" s="160">
        <f>$B$13*'Transformaciones'!P80</f>
        <v/>
      </c>
      <c r="K87" s="166">
        <f>SUM(C87:J87)</f>
        <v/>
      </c>
      <c r="L87" s="166">
        <f>B87-K87</f>
        <v/>
      </c>
      <c r="M87" s="167">
        <f>'Datos_fuente'!B80</f>
        <v/>
      </c>
      <c r="N87" s="167">
        <f>EXP('Transformaciones'!B79+K87)</f>
        <v/>
      </c>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f>'Transformaciones'!A81</f>
        <v/>
      </c>
      <c r="B88" s="160">
        <f>'Transformaciones'!C81</f>
        <v/>
      </c>
      <c r="C88" s="160">
        <f>$B$6</f>
        <v/>
      </c>
      <c r="D88" s="160">
        <f>$B$7*'Transformaciones'!E81</f>
        <v/>
      </c>
      <c r="E88" s="160">
        <f>$B$11*'Transformaciones'!M81</f>
        <v/>
      </c>
      <c r="F88" s="160">
        <f>$B$12*'Transformaciones'!O81</f>
        <v/>
      </c>
      <c r="G88" s="160">
        <f>$B$8*'Transformaciones'!G80</f>
        <v/>
      </c>
      <c r="H88" s="160">
        <f>$B$9*'Transformaciones'!I80</f>
        <v/>
      </c>
      <c r="I88" s="160">
        <f>$B$10*'Transformaciones'!K80</f>
        <v/>
      </c>
      <c r="J88" s="160">
        <f>$B$13*'Transformaciones'!P81</f>
        <v/>
      </c>
      <c r="K88" s="166">
        <f>SUM(C88:J88)</f>
        <v/>
      </c>
      <c r="L88" s="166">
        <f>B88-K88</f>
        <v/>
      </c>
      <c r="M88" s="167">
        <f>'Datos_fuente'!B81</f>
        <v/>
      </c>
      <c r="N88" s="167">
        <f>EXP('Transformaciones'!B80+K88)</f>
        <v/>
      </c>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f>'Transformaciones'!A82</f>
        <v/>
      </c>
      <c r="B89" s="160">
        <f>'Transformaciones'!C82</f>
        <v/>
      </c>
      <c r="C89" s="160">
        <f>$B$6</f>
        <v/>
      </c>
      <c r="D89" s="160">
        <f>$B$7*'Transformaciones'!E82</f>
        <v/>
      </c>
      <c r="E89" s="160">
        <f>$B$11*'Transformaciones'!M82</f>
        <v/>
      </c>
      <c r="F89" s="160">
        <f>$B$12*'Transformaciones'!O82</f>
        <v/>
      </c>
      <c r="G89" s="160">
        <f>$B$8*'Transformaciones'!G81</f>
        <v/>
      </c>
      <c r="H89" s="160">
        <f>$B$9*'Transformaciones'!I81</f>
        <v/>
      </c>
      <c r="I89" s="160">
        <f>$B$10*'Transformaciones'!K81</f>
        <v/>
      </c>
      <c r="J89" s="160">
        <f>$B$13*'Transformaciones'!P82</f>
        <v/>
      </c>
      <c r="K89" s="166">
        <f>SUM(C89:J89)</f>
        <v/>
      </c>
      <c r="L89" s="166">
        <f>B89-K89</f>
        <v/>
      </c>
      <c r="M89" s="167">
        <f>'Datos_fuente'!B82</f>
        <v/>
      </c>
      <c r="N89" s="167">
        <f>EXP('Transformaciones'!B81+K89)</f>
        <v/>
      </c>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f>'Transformaciones'!A83</f>
        <v/>
      </c>
      <c r="B90" s="160">
        <f>'Transformaciones'!C83</f>
        <v/>
      </c>
      <c r="C90" s="160">
        <f>$B$6</f>
        <v/>
      </c>
      <c r="D90" s="160">
        <f>$B$7*'Transformaciones'!E83</f>
        <v/>
      </c>
      <c r="E90" s="160">
        <f>$B$11*'Transformaciones'!M83</f>
        <v/>
      </c>
      <c r="F90" s="160">
        <f>$B$12*'Transformaciones'!O83</f>
        <v/>
      </c>
      <c r="G90" s="160">
        <f>$B$8*'Transformaciones'!G82</f>
        <v/>
      </c>
      <c r="H90" s="160">
        <f>$B$9*'Transformaciones'!I82</f>
        <v/>
      </c>
      <c r="I90" s="160">
        <f>$B$10*'Transformaciones'!K82</f>
        <v/>
      </c>
      <c r="J90" s="160">
        <f>$B$13*'Transformaciones'!P83</f>
        <v/>
      </c>
      <c r="K90" s="166">
        <f>SUM(C90:J90)</f>
        <v/>
      </c>
      <c r="L90" s="166">
        <f>B90-K90</f>
        <v/>
      </c>
      <c r="M90" s="167">
        <f>'Datos_fuente'!B83</f>
        <v/>
      </c>
      <c r="N90" s="167">
        <f>EXP('Transformaciones'!B82+K90)</f>
        <v/>
      </c>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f>'Transformaciones'!A84</f>
        <v/>
      </c>
      <c r="B91" s="160">
        <f>'Transformaciones'!C84</f>
        <v/>
      </c>
      <c r="C91" s="160">
        <f>$B$6</f>
        <v/>
      </c>
      <c r="D91" s="160">
        <f>$B$7*'Transformaciones'!E84</f>
        <v/>
      </c>
      <c r="E91" s="160">
        <f>$B$11*'Transformaciones'!M84</f>
        <v/>
      </c>
      <c r="F91" s="160">
        <f>$B$12*'Transformaciones'!O84</f>
        <v/>
      </c>
      <c r="G91" s="160">
        <f>$B$8*'Transformaciones'!G83</f>
        <v/>
      </c>
      <c r="H91" s="160">
        <f>$B$9*'Transformaciones'!I83</f>
        <v/>
      </c>
      <c r="I91" s="160">
        <f>$B$10*'Transformaciones'!K83</f>
        <v/>
      </c>
      <c r="J91" s="160">
        <f>$B$13*'Transformaciones'!P84</f>
        <v/>
      </c>
      <c r="K91" s="166">
        <f>SUM(C91:J91)</f>
        <v/>
      </c>
      <c r="L91" s="166">
        <f>B91-K91</f>
        <v/>
      </c>
      <c r="M91" s="167">
        <f>'Datos_fuente'!B84</f>
        <v/>
      </c>
      <c r="N91" s="167">
        <f>EXP('Transformaciones'!B83+K91)</f>
        <v/>
      </c>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f>'Transformaciones'!A85</f>
        <v/>
      </c>
      <c r="B92" s="160">
        <f>'Transformaciones'!C85</f>
        <v/>
      </c>
      <c r="C92" s="160">
        <f>$B$6</f>
        <v/>
      </c>
      <c r="D92" s="160">
        <f>$B$7*'Transformaciones'!E85</f>
        <v/>
      </c>
      <c r="E92" s="160">
        <f>$B$11*'Transformaciones'!M85</f>
        <v/>
      </c>
      <c r="F92" s="160">
        <f>$B$12*'Transformaciones'!O85</f>
        <v/>
      </c>
      <c r="G92" s="160">
        <f>$B$8*'Transformaciones'!G84</f>
        <v/>
      </c>
      <c r="H92" s="160">
        <f>$B$9*'Transformaciones'!I84</f>
        <v/>
      </c>
      <c r="I92" s="160">
        <f>$B$10*'Transformaciones'!K84</f>
        <v/>
      </c>
      <c r="J92" s="160">
        <f>$B$13*'Transformaciones'!P85</f>
        <v/>
      </c>
      <c r="K92" s="166">
        <f>SUM(C92:J92)</f>
        <v/>
      </c>
      <c r="L92" s="166">
        <f>B92-K92</f>
        <v/>
      </c>
      <c r="M92" s="167">
        <f>'Datos_fuente'!B85</f>
        <v/>
      </c>
      <c r="N92" s="167">
        <f>EXP('Transformaciones'!B84+K92)</f>
        <v/>
      </c>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f>'Transformaciones'!A86</f>
        <v/>
      </c>
      <c r="B93" s="160">
        <f>'Transformaciones'!C86</f>
        <v/>
      </c>
      <c r="C93" s="160">
        <f>$B$6</f>
        <v/>
      </c>
      <c r="D93" s="160">
        <f>$B$7*'Transformaciones'!E86</f>
        <v/>
      </c>
      <c r="E93" s="160">
        <f>$B$11*'Transformaciones'!M86</f>
        <v/>
      </c>
      <c r="F93" s="160">
        <f>$B$12*'Transformaciones'!O86</f>
        <v/>
      </c>
      <c r="G93" s="160">
        <f>$B$8*'Transformaciones'!G85</f>
        <v/>
      </c>
      <c r="H93" s="160">
        <f>$B$9*'Transformaciones'!I85</f>
        <v/>
      </c>
      <c r="I93" s="160">
        <f>$B$10*'Transformaciones'!K85</f>
        <v/>
      </c>
      <c r="J93" s="160">
        <f>$B$13*'Transformaciones'!P86</f>
        <v/>
      </c>
      <c r="K93" s="166">
        <f>SUM(C93:J93)</f>
        <v/>
      </c>
      <c r="L93" s="166">
        <f>B93-K93</f>
        <v/>
      </c>
      <c r="M93" s="167">
        <f>'Datos_fuente'!B86</f>
        <v/>
      </c>
      <c r="N93" s="167">
        <f>EXP('Transformaciones'!B85+K93)</f>
        <v/>
      </c>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f>'Transformaciones'!A87</f>
        <v/>
      </c>
      <c r="B94" s="160">
        <f>'Transformaciones'!C87</f>
        <v/>
      </c>
      <c r="C94" s="160">
        <f>$B$6</f>
        <v/>
      </c>
      <c r="D94" s="160">
        <f>$B$7*'Transformaciones'!E87</f>
        <v/>
      </c>
      <c r="E94" s="160">
        <f>$B$11*'Transformaciones'!M87</f>
        <v/>
      </c>
      <c r="F94" s="160">
        <f>$B$12*'Transformaciones'!O87</f>
        <v/>
      </c>
      <c r="G94" s="160">
        <f>$B$8*'Transformaciones'!G86</f>
        <v/>
      </c>
      <c r="H94" s="160">
        <f>$B$9*'Transformaciones'!I86</f>
        <v/>
      </c>
      <c r="I94" s="160">
        <f>$B$10*'Transformaciones'!K86</f>
        <v/>
      </c>
      <c r="J94" s="160">
        <f>$B$13*'Transformaciones'!P87</f>
        <v/>
      </c>
      <c r="K94" s="166">
        <f>SUM(C94:J94)</f>
        <v/>
      </c>
      <c r="L94" s="166">
        <f>B94-K94</f>
        <v/>
      </c>
      <c r="M94" s="167">
        <f>'Datos_fuente'!B87</f>
        <v/>
      </c>
      <c r="N94" s="167">
        <f>EXP('Transformaciones'!B86+K94)</f>
        <v/>
      </c>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f>'Transformaciones'!A88</f>
        <v/>
      </c>
      <c r="B95" s="160">
        <f>'Transformaciones'!C88</f>
        <v/>
      </c>
      <c r="C95" s="160">
        <f>$B$6</f>
        <v/>
      </c>
      <c r="D95" s="160">
        <f>$B$7*'Transformaciones'!E88</f>
        <v/>
      </c>
      <c r="E95" s="160">
        <f>$B$11*'Transformaciones'!M88</f>
        <v/>
      </c>
      <c r="F95" s="160">
        <f>$B$12*'Transformaciones'!O88</f>
        <v/>
      </c>
      <c r="G95" s="160">
        <f>$B$8*'Transformaciones'!G87</f>
        <v/>
      </c>
      <c r="H95" s="160">
        <f>$B$9*'Transformaciones'!I87</f>
        <v/>
      </c>
      <c r="I95" s="160">
        <f>$B$10*'Transformaciones'!K87</f>
        <v/>
      </c>
      <c r="J95" s="160">
        <f>$B$13*'Transformaciones'!P88</f>
        <v/>
      </c>
      <c r="K95" s="166">
        <f>SUM(C95:J95)</f>
        <v/>
      </c>
      <c r="L95" s="166">
        <f>B95-K95</f>
        <v/>
      </c>
      <c r="M95" s="167">
        <f>'Datos_fuente'!B88</f>
        <v/>
      </c>
      <c r="N95" s="167">
        <f>EXP('Transformaciones'!B87+K95)</f>
        <v/>
      </c>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f>'Transformaciones'!A89</f>
        <v/>
      </c>
      <c r="B96" s="160">
        <f>'Transformaciones'!C89</f>
        <v/>
      </c>
      <c r="C96" s="160">
        <f>$B$6</f>
        <v/>
      </c>
      <c r="D96" s="160">
        <f>$B$7*'Transformaciones'!E89</f>
        <v/>
      </c>
      <c r="E96" s="160">
        <f>$B$11*'Transformaciones'!M89</f>
        <v/>
      </c>
      <c r="F96" s="160">
        <f>$B$12*'Transformaciones'!O89</f>
        <v/>
      </c>
      <c r="G96" s="160">
        <f>$B$8*'Transformaciones'!G88</f>
        <v/>
      </c>
      <c r="H96" s="160">
        <f>$B$9*'Transformaciones'!I88</f>
        <v/>
      </c>
      <c r="I96" s="160">
        <f>$B$10*'Transformaciones'!K88</f>
        <v/>
      </c>
      <c r="J96" s="160">
        <f>$B$13*'Transformaciones'!P89</f>
        <v/>
      </c>
      <c r="K96" s="166">
        <f>SUM(C96:J96)</f>
        <v/>
      </c>
      <c r="L96" s="166">
        <f>B96-K96</f>
        <v/>
      </c>
      <c r="M96" s="167">
        <f>'Datos_fuente'!B89</f>
        <v/>
      </c>
      <c r="N96" s="167">
        <f>EXP('Transformaciones'!B88+K96)</f>
        <v/>
      </c>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f>'Transformaciones'!A90</f>
        <v/>
      </c>
      <c r="B97" s="160">
        <f>'Transformaciones'!C90</f>
        <v/>
      </c>
      <c r="C97" s="160">
        <f>$B$6</f>
        <v/>
      </c>
      <c r="D97" s="160">
        <f>$B$7*'Transformaciones'!E90</f>
        <v/>
      </c>
      <c r="E97" s="160">
        <f>$B$11*'Transformaciones'!M90</f>
        <v/>
      </c>
      <c r="F97" s="160">
        <f>$B$12*'Transformaciones'!O90</f>
        <v/>
      </c>
      <c r="G97" s="160">
        <f>$B$8*'Transformaciones'!G89</f>
        <v/>
      </c>
      <c r="H97" s="160">
        <f>$B$9*'Transformaciones'!I89</f>
        <v/>
      </c>
      <c r="I97" s="160">
        <f>$B$10*'Transformaciones'!K89</f>
        <v/>
      </c>
      <c r="J97" s="160">
        <f>$B$13*'Transformaciones'!P90</f>
        <v/>
      </c>
      <c r="K97" s="166">
        <f>SUM(C97:J97)</f>
        <v/>
      </c>
      <c r="L97" s="166">
        <f>B97-K97</f>
        <v/>
      </c>
      <c r="M97" s="167">
        <f>'Datos_fuente'!B90</f>
        <v/>
      </c>
      <c r="N97" s="167">
        <f>EXP('Transformaciones'!B89+K97)</f>
        <v/>
      </c>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f>'Transformaciones'!A91</f>
        <v/>
      </c>
      <c r="B98" s="160">
        <f>'Transformaciones'!C91</f>
        <v/>
      </c>
      <c r="C98" s="160">
        <f>$B$6</f>
        <v/>
      </c>
      <c r="D98" s="160">
        <f>$B$7*'Transformaciones'!E91</f>
        <v/>
      </c>
      <c r="E98" s="160">
        <f>$B$11*'Transformaciones'!M91</f>
        <v/>
      </c>
      <c r="F98" s="160">
        <f>$B$12*'Transformaciones'!O91</f>
        <v/>
      </c>
      <c r="G98" s="160">
        <f>$B$8*'Transformaciones'!G90</f>
        <v/>
      </c>
      <c r="H98" s="160">
        <f>$B$9*'Transformaciones'!I90</f>
        <v/>
      </c>
      <c r="I98" s="160">
        <f>$B$10*'Transformaciones'!K90</f>
        <v/>
      </c>
      <c r="J98" s="160">
        <f>$B$13*'Transformaciones'!P91</f>
        <v/>
      </c>
      <c r="K98" s="166">
        <f>SUM(C98:J98)</f>
        <v/>
      </c>
      <c r="L98" s="166">
        <f>B98-K98</f>
        <v/>
      </c>
      <c r="M98" s="167">
        <f>'Datos_fuente'!B91</f>
        <v/>
      </c>
      <c r="N98" s="167">
        <f>EXP('Transformaciones'!B90+K98)</f>
        <v/>
      </c>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f>'Transformaciones'!A92</f>
        <v/>
      </c>
      <c r="B99" s="160">
        <f>'Transformaciones'!C92</f>
        <v/>
      </c>
      <c r="C99" s="160">
        <f>$B$6</f>
        <v/>
      </c>
      <c r="D99" s="160">
        <f>$B$7*'Transformaciones'!E92</f>
        <v/>
      </c>
      <c r="E99" s="160">
        <f>$B$11*'Transformaciones'!M92</f>
        <v/>
      </c>
      <c r="F99" s="160">
        <f>$B$12*'Transformaciones'!O92</f>
        <v/>
      </c>
      <c r="G99" s="160">
        <f>$B$8*'Transformaciones'!G91</f>
        <v/>
      </c>
      <c r="H99" s="160">
        <f>$B$9*'Transformaciones'!I91</f>
        <v/>
      </c>
      <c r="I99" s="160">
        <f>$B$10*'Transformaciones'!K91</f>
        <v/>
      </c>
      <c r="J99" s="160">
        <f>$B$13*'Transformaciones'!P92</f>
        <v/>
      </c>
      <c r="K99" s="166">
        <f>SUM(C99:J99)</f>
        <v/>
      </c>
      <c r="L99" s="166">
        <f>B99-K99</f>
        <v/>
      </c>
      <c r="M99" s="167">
        <f>'Datos_fuente'!B92</f>
        <v/>
      </c>
      <c r="N99" s="167">
        <f>EXP('Transformaciones'!B91+K99)</f>
        <v/>
      </c>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f>'Transformaciones'!A93</f>
        <v/>
      </c>
      <c r="B100" s="160">
        <f>'Transformaciones'!C93</f>
        <v/>
      </c>
      <c r="C100" s="160">
        <f>$B$6</f>
        <v/>
      </c>
      <c r="D100" s="160">
        <f>$B$7*'Transformaciones'!E93</f>
        <v/>
      </c>
      <c r="E100" s="160">
        <f>$B$11*'Transformaciones'!M93</f>
        <v/>
      </c>
      <c r="F100" s="160">
        <f>$B$12*'Transformaciones'!O93</f>
        <v/>
      </c>
      <c r="G100" s="160">
        <f>$B$8*'Transformaciones'!G92</f>
        <v/>
      </c>
      <c r="H100" s="160">
        <f>$B$9*'Transformaciones'!I92</f>
        <v/>
      </c>
      <c r="I100" s="160">
        <f>$B$10*'Transformaciones'!K92</f>
        <v/>
      </c>
      <c r="J100" s="160">
        <f>$B$13*'Transformaciones'!P93</f>
        <v/>
      </c>
      <c r="K100" s="166">
        <f>SUM(C100:J100)</f>
        <v/>
      </c>
      <c r="L100" s="166">
        <f>B100-K100</f>
        <v/>
      </c>
      <c r="M100" s="167">
        <f>'Datos_fuente'!B93</f>
        <v/>
      </c>
      <c r="N100" s="167">
        <f>EXP('Transformaciones'!B92+K100)</f>
        <v/>
      </c>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f>'Transformaciones'!A94</f>
        <v/>
      </c>
      <c r="B101" s="160">
        <f>'Transformaciones'!C94</f>
        <v/>
      </c>
      <c r="C101" s="160">
        <f>$B$6</f>
        <v/>
      </c>
      <c r="D101" s="160">
        <f>$B$7*'Transformaciones'!E94</f>
        <v/>
      </c>
      <c r="E101" s="160">
        <f>$B$11*'Transformaciones'!M94</f>
        <v/>
      </c>
      <c r="F101" s="160">
        <f>$B$12*'Transformaciones'!O94</f>
        <v/>
      </c>
      <c r="G101" s="160">
        <f>$B$8*'Transformaciones'!G93</f>
        <v/>
      </c>
      <c r="H101" s="160">
        <f>$B$9*'Transformaciones'!I93</f>
        <v/>
      </c>
      <c r="I101" s="160">
        <f>$B$10*'Transformaciones'!K93</f>
        <v/>
      </c>
      <c r="J101" s="160">
        <f>$B$13*'Transformaciones'!P94</f>
        <v/>
      </c>
      <c r="K101" s="166">
        <f>SUM(C101:J101)</f>
        <v/>
      </c>
      <c r="L101" s="166">
        <f>B101-K101</f>
        <v/>
      </c>
      <c r="M101" s="167">
        <f>'Datos_fuente'!B94</f>
        <v/>
      </c>
      <c r="N101" s="167">
        <f>EXP('Transformaciones'!B93+K101)</f>
        <v/>
      </c>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f>'Transformaciones'!A95</f>
        <v/>
      </c>
      <c r="B102" s="160">
        <f>'Transformaciones'!C95</f>
        <v/>
      </c>
      <c r="C102" s="160">
        <f>$B$6</f>
        <v/>
      </c>
      <c r="D102" s="160">
        <f>$B$7*'Transformaciones'!E95</f>
        <v/>
      </c>
      <c r="E102" s="160">
        <f>$B$11*'Transformaciones'!M95</f>
        <v/>
      </c>
      <c r="F102" s="160">
        <f>$B$12*'Transformaciones'!O95</f>
        <v/>
      </c>
      <c r="G102" s="160">
        <f>$B$8*'Transformaciones'!G94</f>
        <v/>
      </c>
      <c r="H102" s="160">
        <f>$B$9*'Transformaciones'!I94</f>
        <v/>
      </c>
      <c r="I102" s="160">
        <f>$B$10*'Transformaciones'!K94</f>
        <v/>
      </c>
      <c r="J102" s="160">
        <f>$B$13*'Transformaciones'!P95</f>
        <v/>
      </c>
      <c r="K102" s="166">
        <f>SUM(C102:J102)</f>
        <v/>
      </c>
      <c r="L102" s="166">
        <f>B102-K102</f>
        <v/>
      </c>
      <c r="M102" s="167">
        <f>'Datos_fuente'!B95</f>
        <v/>
      </c>
      <c r="N102" s="167">
        <f>EXP('Transformaciones'!B94+K102)</f>
        <v/>
      </c>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f>'Transformaciones'!A96</f>
        <v/>
      </c>
      <c r="B103" s="160">
        <f>'Transformaciones'!C96</f>
        <v/>
      </c>
      <c r="C103" s="160">
        <f>$B$6</f>
        <v/>
      </c>
      <c r="D103" s="160">
        <f>$B$7*'Transformaciones'!E96</f>
        <v/>
      </c>
      <c r="E103" s="160">
        <f>$B$11*'Transformaciones'!M96</f>
        <v/>
      </c>
      <c r="F103" s="160">
        <f>$B$12*'Transformaciones'!O96</f>
        <v/>
      </c>
      <c r="G103" s="160">
        <f>$B$8*'Transformaciones'!G95</f>
        <v/>
      </c>
      <c r="H103" s="160">
        <f>$B$9*'Transformaciones'!I95</f>
        <v/>
      </c>
      <c r="I103" s="160">
        <f>$B$10*'Transformaciones'!K95</f>
        <v/>
      </c>
      <c r="J103" s="160">
        <f>$B$13*'Transformaciones'!P96</f>
        <v/>
      </c>
      <c r="K103" s="166">
        <f>SUM(C103:J103)</f>
        <v/>
      </c>
      <c r="L103" s="166">
        <f>B103-K103</f>
        <v/>
      </c>
      <c r="M103" s="167">
        <f>'Datos_fuente'!B96</f>
        <v/>
      </c>
      <c r="N103" s="167">
        <f>EXP('Transformaciones'!B95+K103)</f>
        <v/>
      </c>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f>'Transformaciones'!A97</f>
        <v/>
      </c>
      <c r="B104" s="160">
        <f>'Transformaciones'!C97</f>
        <v/>
      </c>
      <c r="C104" s="160">
        <f>$B$6</f>
        <v/>
      </c>
      <c r="D104" s="160">
        <f>$B$7*'Transformaciones'!E97</f>
        <v/>
      </c>
      <c r="E104" s="160">
        <f>$B$11*'Transformaciones'!M97</f>
        <v/>
      </c>
      <c r="F104" s="160">
        <f>$B$12*'Transformaciones'!O97</f>
        <v/>
      </c>
      <c r="G104" s="160">
        <f>$B$8*'Transformaciones'!G96</f>
        <v/>
      </c>
      <c r="H104" s="160">
        <f>$B$9*'Transformaciones'!I96</f>
        <v/>
      </c>
      <c r="I104" s="160">
        <f>$B$10*'Transformaciones'!K96</f>
        <v/>
      </c>
      <c r="J104" s="160">
        <f>$B$13*'Transformaciones'!P97</f>
        <v/>
      </c>
      <c r="K104" s="166">
        <f>SUM(C104:J104)</f>
        <v/>
      </c>
      <c r="L104" s="166">
        <f>B104-K104</f>
        <v/>
      </c>
      <c r="M104" s="167">
        <f>'Datos_fuente'!B97</f>
        <v/>
      </c>
      <c r="N104" s="167">
        <f>EXP('Transformaciones'!B96+K104)</f>
        <v/>
      </c>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f>'Transformaciones'!A98</f>
        <v/>
      </c>
      <c r="B105" s="160">
        <f>'Transformaciones'!C98</f>
        <v/>
      </c>
      <c r="C105" s="160">
        <f>$B$6</f>
        <v/>
      </c>
      <c r="D105" s="160">
        <f>$B$7*'Transformaciones'!E98</f>
        <v/>
      </c>
      <c r="E105" s="160">
        <f>$B$11*'Transformaciones'!M98</f>
        <v/>
      </c>
      <c r="F105" s="160">
        <f>$B$12*'Transformaciones'!O98</f>
        <v/>
      </c>
      <c r="G105" s="160">
        <f>$B$8*'Transformaciones'!G97</f>
        <v/>
      </c>
      <c r="H105" s="160">
        <f>$B$9*'Transformaciones'!I97</f>
        <v/>
      </c>
      <c r="I105" s="160">
        <f>$B$10*'Transformaciones'!K97</f>
        <v/>
      </c>
      <c r="J105" s="160">
        <f>$B$13*'Transformaciones'!P98</f>
        <v/>
      </c>
      <c r="K105" s="166">
        <f>SUM(C105:J105)</f>
        <v/>
      </c>
      <c r="L105" s="166">
        <f>B105-K105</f>
        <v/>
      </c>
      <c r="M105" s="167">
        <f>'Datos_fuente'!B98</f>
        <v/>
      </c>
      <c r="N105" s="167">
        <f>EXP('Transformaciones'!B97+K105)</f>
        <v/>
      </c>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f>'Transformaciones'!A99</f>
        <v/>
      </c>
      <c r="B106" s="160">
        <f>'Transformaciones'!C99</f>
        <v/>
      </c>
      <c r="C106" s="160">
        <f>$B$6</f>
        <v/>
      </c>
      <c r="D106" s="160">
        <f>$B$7*'Transformaciones'!E99</f>
        <v/>
      </c>
      <c r="E106" s="160">
        <f>$B$11*'Transformaciones'!M99</f>
        <v/>
      </c>
      <c r="F106" s="160">
        <f>$B$12*'Transformaciones'!O99</f>
        <v/>
      </c>
      <c r="G106" s="160">
        <f>$B$8*'Transformaciones'!G98</f>
        <v/>
      </c>
      <c r="H106" s="160">
        <f>$B$9*'Transformaciones'!I98</f>
        <v/>
      </c>
      <c r="I106" s="160">
        <f>$B$10*'Transformaciones'!K98</f>
        <v/>
      </c>
      <c r="J106" s="160">
        <f>$B$13*'Transformaciones'!P99</f>
        <v/>
      </c>
      <c r="K106" s="166">
        <f>SUM(C106:J106)</f>
        <v/>
      </c>
      <c r="L106" s="166">
        <f>B106-K106</f>
        <v/>
      </c>
      <c r="M106" s="167">
        <f>'Datos_fuente'!B99</f>
        <v/>
      </c>
      <c r="N106" s="167">
        <f>EXP('Transformaciones'!B98+K106)</f>
        <v/>
      </c>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f>'Transformaciones'!A100</f>
        <v/>
      </c>
      <c r="B107" s="160">
        <f>'Transformaciones'!C100</f>
        <v/>
      </c>
      <c r="C107" s="160">
        <f>$B$6</f>
        <v/>
      </c>
      <c r="D107" s="160">
        <f>$B$7*'Transformaciones'!E100</f>
        <v/>
      </c>
      <c r="E107" s="160">
        <f>$B$11*'Transformaciones'!M100</f>
        <v/>
      </c>
      <c r="F107" s="160">
        <f>$B$12*'Transformaciones'!O100</f>
        <v/>
      </c>
      <c r="G107" s="160">
        <f>$B$8*'Transformaciones'!G99</f>
        <v/>
      </c>
      <c r="H107" s="160">
        <f>$B$9*'Transformaciones'!I99</f>
        <v/>
      </c>
      <c r="I107" s="160">
        <f>$B$10*'Transformaciones'!K99</f>
        <v/>
      </c>
      <c r="J107" s="160">
        <f>$B$13*'Transformaciones'!P100</f>
        <v/>
      </c>
      <c r="K107" s="166">
        <f>SUM(C107:J107)</f>
        <v/>
      </c>
      <c r="L107" s="166">
        <f>B107-K107</f>
        <v/>
      </c>
      <c r="M107" s="167">
        <f>'Datos_fuente'!B100</f>
        <v/>
      </c>
      <c r="N107" s="167">
        <f>EXP('Transformaciones'!B99+K107)</f>
        <v/>
      </c>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f>'Transformaciones'!A101</f>
        <v/>
      </c>
      <c r="B108" s="160">
        <f>'Transformaciones'!C101</f>
        <v/>
      </c>
      <c r="C108" s="160">
        <f>$B$6</f>
        <v/>
      </c>
      <c r="D108" s="160">
        <f>$B$7*'Transformaciones'!E101</f>
        <v/>
      </c>
      <c r="E108" s="160">
        <f>$B$11*'Transformaciones'!M101</f>
        <v/>
      </c>
      <c r="F108" s="160">
        <f>$B$12*'Transformaciones'!O101</f>
        <v/>
      </c>
      <c r="G108" s="160">
        <f>$B$8*'Transformaciones'!G100</f>
        <v/>
      </c>
      <c r="H108" s="160">
        <f>$B$9*'Transformaciones'!I100</f>
        <v/>
      </c>
      <c r="I108" s="160">
        <f>$B$10*'Transformaciones'!K100</f>
        <v/>
      </c>
      <c r="J108" s="160">
        <f>$B$13*'Transformaciones'!P101</f>
        <v/>
      </c>
      <c r="K108" s="166">
        <f>SUM(C108:J108)</f>
        <v/>
      </c>
      <c r="L108" s="166">
        <f>B108-K108</f>
        <v/>
      </c>
      <c r="M108" s="167">
        <f>'Datos_fuente'!B101</f>
        <v/>
      </c>
      <c r="N108" s="167">
        <f>EXP('Transformaciones'!B100+K108)</f>
        <v/>
      </c>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f>'Transformaciones'!A102</f>
        <v/>
      </c>
      <c r="B109" s="160">
        <f>'Transformaciones'!C102</f>
        <v/>
      </c>
      <c r="C109" s="160">
        <f>$B$6</f>
        <v/>
      </c>
      <c r="D109" s="160">
        <f>$B$7*'Transformaciones'!E102</f>
        <v/>
      </c>
      <c r="E109" s="160">
        <f>$B$11*'Transformaciones'!M102</f>
        <v/>
      </c>
      <c r="F109" s="160">
        <f>$B$12*'Transformaciones'!O102</f>
        <v/>
      </c>
      <c r="G109" s="160">
        <f>$B$8*'Transformaciones'!G101</f>
        <v/>
      </c>
      <c r="H109" s="160">
        <f>$B$9*'Transformaciones'!I101</f>
        <v/>
      </c>
      <c r="I109" s="160">
        <f>$B$10*'Transformaciones'!K101</f>
        <v/>
      </c>
      <c r="J109" s="160">
        <f>$B$13*'Transformaciones'!P102</f>
        <v/>
      </c>
      <c r="K109" s="166">
        <f>SUM(C109:J109)</f>
        <v/>
      </c>
      <c r="L109" s="166">
        <f>B109-K109</f>
        <v/>
      </c>
      <c r="M109" s="167">
        <f>'Datos_fuente'!B102</f>
        <v/>
      </c>
      <c r="N109" s="167">
        <f>EXP('Transformaciones'!B101+K109)</f>
        <v/>
      </c>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f>'Transformaciones'!A103</f>
        <v/>
      </c>
      <c r="B110" s="160">
        <f>'Transformaciones'!C103</f>
        <v/>
      </c>
      <c r="C110" s="160">
        <f>$B$6</f>
        <v/>
      </c>
      <c r="D110" s="160">
        <f>$B$7*'Transformaciones'!E103</f>
        <v/>
      </c>
      <c r="E110" s="160">
        <f>$B$11*'Transformaciones'!M103</f>
        <v/>
      </c>
      <c r="F110" s="160">
        <f>$B$12*'Transformaciones'!O103</f>
        <v/>
      </c>
      <c r="G110" s="160">
        <f>$B$8*'Transformaciones'!G102</f>
        <v/>
      </c>
      <c r="H110" s="160">
        <f>$B$9*'Transformaciones'!I102</f>
        <v/>
      </c>
      <c r="I110" s="160">
        <f>$B$10*'Transformaciones'!K102</f>
        <v/>
      </c>
      <c r="J110" s="160">
        <f>$B$13*'Transformaciones'!P103</f>
        <v/>
      </c>
      <c r="K110" s="166">
        <f>SUM(C110:J110)</f>
        <v/>
      </c>
      <c r="L110" s="166">
        <f>B110-K110</f>
        <v/>
      </c>
      <c r="M110" s="167">
        <f>'Datos_fuente'!B103</f>
        <v/>
      </c>
      <c r="N110" s="167">
        <f>EXP('Transformaciones'!B102+K110)</f>
        <v/>
      </c>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f>'Transformaciones'!A104</f>
        <v/>
      </c>
      <c r="B111" s="160">
        <f>'Transformaciones'!C104</f>
        <v/>
      </c>
      <c r="C111" s="160">
        <f>$B$6</f>
        <v/>
      </c>
      <c r="D111" s="160">
        <f>$B$7*'Transformaciones'!E104</f>
        <v/>
      </c>
      <c r="E111" s="160">
        <f>$B$11*'Transformaciones'!M104</f>
        <v/>
      </c>
      <c r="F111" s="160">
        <f>$B$12*'Transformaciones'!O104</f>
        <v/>
      </c>
      <c r="G111" s="160">
        <f>$B$8*'Transformaciones'!G103</f>
        <v/>
      </c>
      <c r="H111" s="160">
        <f>$B$9*'Transformaciones'!I103</f>
        <v/>
      </c>
      <c r="I111" s="160">
        <f>$B$10*'Transformaciones'!K103</f>
        <v/>
      </c>
      <c r="J111" s="160">
        <f>$B$13*'Transformaciones'!P104</f>
        <v/>
      </c>
      <c r="K111" s="166">
        <f>SUM(C111:J111)</f>
        <v/>
      </c>
      <c r="L111" s="166">
        <f>B111-K111</f>
        <v/>
      </c>
      <c r="M111" s="167">
        <f>'Datos_fuente'!B104</f>
        <v/>
      </c>
      <c r="N111" s="167">
        <f>EXP('Transformaciones'!B103+K111)</f>
        <v/>
      </c>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f>'Transformaciones'!A105</f>
        <v/>
      </c>
      <c r="B112" s="160">
        <f>'Transformaciones'!C105</f>
        <v/>
      </c>
      <c r="C112" s="160">
        <f>$B$6</f>
        <v/>
      </c>
      <c r="D112" s="160">
        <f>$B$7*'Transformaciones'!E105</f>
        <v/>
      </c>
      <c r="E112" s="160">
        <f>$B$11*'Transformaciones'!M105</f>
        <v/>
      </c>
      <c r="F112" s="160">
        <f>$B$12*'Transformaciones'!O105</f>
        <v/>
      </c>
      <c r="G112" s="160">
        <f>$B$8*'Transformaciones'!G104</f>
        <v/>
      </c>
      <c r="H112" s="160">
        <f>$B$9*'Transformaciones'!I104</f>
        <v/>
      </c>
      <c r="I112" s="160">
        <f>$B$10*'Transformaciones'!K104</f>
        <v/>
      </c>
      <c r="J112" s="160">
        <f>$B$13*'Transformaciones'!P105</f>
        <v/>
      </c>
      <c r="K112" s="166">
        <f>SUM(C112:J112)</f>
        <v/>
      </c>
      <c r="L112" s="166">
        <f>B112-K112</f>
        <v/>
      </c>
      <c r="M112" s="167">
        <f>'Datos_fuente'!B105</f>
        <v/>
      </c>
      <c r="N112" s="167">
        <f>EXP('Transformaciones'!B104+K112)</f>
        <v/>
      </c>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f>'Transformaciones'!A106</f>
        <v/>
      </c>
      <c r="B113" s="160">
        <f>'Transformaciones'!C106</f>
        <v/>
      </c>
      <c r="C113" s="160">
        <f>$B$6</f>
        <v/>
      </c>
      <c r="D113" s="160">
        <f>$B$7*'Transformaciones'!E106</f>
        <v/>
      </c>
      <c r="E113" s="160">
        <f>$B$11*'Transformaciones'!M106</f>
        <v/>
      </c>
      <c r="F113" s="160">
        <f>$B$12*'Transformaciones'!O106</f>
        <v/>
      </c>
      <c r="G113" s="160">
        <f>$B$8*'Transformaciones'!G105</f>
        <v/>
      </c>
      <c r="H113" s="160">
        <f>$B$9*'Transformaciones'!I105</f>
        <v/>
      </c>
      <c r="I113" s="160">
        <f>$B$10*'Transformaciones'!K105</f>
        <v/>
      </c>
      <c r="J113" s="160">
        <f>$B$13*'Transformaciones'!P106</f>
        <v/>
      </c>
      <c r="K113" s="166">
        <f>SUM(C113:J113)</f>
        <v/>
      </c>
      <c r="L113" s="166">
        <f>B113-K113</f>
        <v/>
      </c>
      <c r="M113" s="167">
        <f>'Datos_fuente'!B106</f>
        <v/>
      </c>
      <c r="N113" s="167">
        <f>EXP('Transformaciones'!B105+K113)</f>
        <v/>
      </c>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f>'Transformaciones'!A107</f>
        <v/>
      </c>
      <c r="B114" s="160">
        <f>'Transformaciones'!C107</f>
        <v/>
      </c>
      <c r="C114" s="160">
        <f>$B$6</f>
        <v/>
      </c>
      <c r="D114" s="160">
        <f>$B$7*'Transformaciones'!E107</f>
        <v/>
      </c>
      <c r="E114" s="160">
        <f>$B$11*'Transformaciones'!M107</f>
        <v/>
      </c>
      <c r="F114" s="160">
        <f>$B$12*'Transformaciones'!O107</f>
        <v/>
      </c>
      <c r="G114" s="160">
        <f>$B$8*'Transformaciones'!G106</f>
        <v/>
      </c>
      <c r="H114" s="160">
        <f>$B$9*'Transformaciones'!I106</f>
        <v/>
      </c>
      <c r="I114" s="160">
        <f>$B$10*'Transformaciones'!K106</f>
        <v/>
      </c>
      <c r="J114" s="160">
        <f>$B$13*'Transformaciones'!P107</f>
        <v/>
      </c>
      <c r="K114" s="166">
        <f>SUM(C114:J114)</f>
        <v/>
      </c>
      <c r="L114" s="166">
        <f>B114-K114</f>
        <v/>
      </c>
      <c r="M114" s="167">
        <f>'Datos_fuente'!B107</f>
        <v/>
      </c>
      <c r="N114" s="167">
        <f>EXP('Transformaciones'!B106+K114)</f>
        <v/>
      </c>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f>'Transformaciones'!A108</f>
        <v/>
      </c>
      <c r="B115" s="160">
        <f>'Transformaciones'!C108</f>
        <v/>
      </c>
      <c r="C115" s="160">
        <f>$B$6</f>
        <v/>
      </c>
      <c r="D115" s="160">
        <f>$B$7*'Transformaciones'!E108</f>
        <v/>
      </c>
      <c r="E115" s="160">
        <f>$B$11*'Transformaciones'!M108</f>
        <v/>
      </c>
      <c r="F115" s="160">
        <f>$B$12*'Transformaciones'!O108</f>
        <v/>
      </c>
      <c r="G115" s="160">
        <f>$B$8*'Transformaciones'!G107</f>
        <v/>
      </c>
      <c r="H115" s="160">
        <f>$B$9*'Transformaciones'!I107</f>
        <v/>
      </c>
      <c r="I115" s="160">
        <f>$B$10*'Transformaciones'!K107</f>
        <v/>
      </c>
      <c r="J115" s="160">
        <f>$B$13*'Transformaciones'!P108</f>
        <v/>
      </c>
      <c r="K115" s="166">
        <f>SUM(C115:J115)</f>
        <v/>
      </c>
      <c r="L115" s="166">
        <f>B115-K115</f>
        <v/>
      </c>
      <c r="M115" s="167">
        <f>'Datos_fuente'!B108</f>
        <v/>
      </c>
      <c r="N115" s="167">
        <f>EXP('Transformaciones'!B107+K115)</f>
        <v/>
      </c>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f>'Transformaciones'!A109</f>
        <v/>
      </c>
      <c r="B116" s="160">
        <f>'Transformaciones'!C109</f>
        <v/>
      </c>
      <c r="C116" s="160">
        <f>$B$6</f>
        <v/>
      </c>
      <c r="D116" s="160">
        <f>$B$7*'Transformaciones'!E109</f>
        <v/>
      </c>
      <c r="E116" s="160">
        <f>$B$11*'Transformaciones'!M109</f>
        <v/>
      </c>
      <c r="F116" s="160">
        <f>$B$12*'Transformaciones'!O109</f>
        <v/>
      </c>
      <c r="G116" s="160">
        <f>$B$8*'Transformaciones'!G108</f>
        <v/>
      </c>
      <c r="H116" s="160">
        <f>$B$9*'Transformaciones'!I108</f>
        <v/>
      </c>
      <c r="I116" s="160">
        <f>$B$10*'Transformaciones'!K108</f>
        <v/>
      </c>
      <c r="J116" s="160">
        <f>$B$13*'Transformaciones'!P109</f>
        <v/>
      </c>
      <c r="K116" s="166">
        <f>SUM(C116:J116)</f>
        <v/>
      </c>
      <c r="L116" s="166">
        <f>B116-K116</f>
        <v/>
      </c>
      <c r="M116" s="167">
        <f>'Datos_fuente'!B109</f>
        <v/>
      </c>
      <c r="N116" s="167">
        <f>EXP('Transformaciones'!B108+K116)</f>
        <v/>
      </c>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f>'Transformaciones'!A110</f>
        <v/>
      </c>
      <c r="B117" s="160">
        <f>'Transformaciones'!C110</f>
        <v/>
      </c>
      <c r="C117" s="160">
        <f>$B$6</f>
        <v/>
      </c>
      <c r="D117" s="160">
        <f>$B$7*'Transformaciones'!E110</f>
        <v/>
      </c>
      <c r="E117" s="160">
        <f>$B$11*'Transformaciones'!M110</f>
        <v/>
      </c>
      <c r="F117" s="160">
        <f>$B$12*'Transformaciones'!O110</f>
        <v/>
      </c>
      <c r="G117" s="160">
        <f>$B$8*'Transformaciones'!G109</f>
        <v/>
      </c>
      <c r="H117" s="160">
        <f>$B$9*'Transformaciones'!I109</f>
        <v/>
      </c>
      <c r="I117" s="160">
        <f>$B$10*'Transformaciones'!K109</f>
        <v/>
      </c>
      <c r="J117" s="160">
        <f>$B$13*'Transformaciones'!P110</f>
        <v/>
      </c>
      <c r="K117" s="166">
        <f>SUM(C117:J117)</f>
        <v/>
      </c>
      <c r="L117" s="166">
        <f>B117-K117</f>
        <v/>
      </c>
      <c r="M117" s="167">
        <f>'Datos_fuente'!B110</f>
        <v/>
      </c>
      <c r="N117" s="167">
        <f>EXP('Transformaciones'!B109+K117)</f>
        <v/>
      </c>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f>'Transformaciones'!A111</f>
        <v/>
      </c>
      <c r="B118" s="160">
        <f>'Transformaciones'!C111</f>
        <v/>
      </c>
      <c r="C118" s="160">
        <f>$B$6</f>
        <v/>
      </c>
      <c r="D118" s="160">
        <f>$B$7*'Transformaciones'!E111</f>
        <v/>
      </c>
      <c r="E118" s="160">
        <f>$B$11*'Transformaciones'!M111</f>
        <v/>
      </c>
      <c r="F118" s="160">
        <f>$B$12*'Transformaciones'!O111</f>
        <v/>
      </c>
      <c r="G118" s="160">
        <f>$B$8*'Transformaciones'!G110</f>
        <v/>
      </c>
      <c r="H118" s="160">
        <f>$B$9*'Transformaciones'!I110</f>
        <v/>
      </c>
      <c r="I118" s="160">
        <f>$B$10*'Transformaciones'!K110</f>
        <v/>
      </c>
      <c r="J118" s="160">
        <f>$B$13*'Transformaciones'!P111</f>
        <v/>
      </c>
      <c r="K118" s="166">
        <f>SUM(C118:J118)</f>
        <v/>
      </c>
      <c r="L118" s="166">
        <f>B118-K118</f>
        <v/>
      </c>
      <c r="M118" s="167">
        <f>'Datos_fuente'!B111</f>
        <v/>
      </c>
      <c r="N118" s="167">
        <f>EXP('Transformaciones'!B110+K118)</f>
        <v/>
      </c>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f>'Transformaciones'!A112</f>
        <v/>
      </c>
      <c r="B119" s="160">
        <f>'Transformaciones'!C112</f>
        <v/>
      </c>
      <c r="C119" s="160">
        <f>$B$6</f>
        <v/>
      </c>
      <c r="D119" s="160">
        <f>$B$7*'Transformaciones'!E112</f>
        <v/>
      </c>
      <c r="E119" s="160">
        <f>$B$11*'Transformaciones'!M112</f>
        <v/>
      </c>
      <c r="F119" s="160">
        <f>$B$12*'Transformaciones'!O112</f>
        <v/>
      </c>
      <c r="G119" s="160">
        <f>$B$8*'Transformaciones'!G111</f>
        <v/>
      </c>
      <c r="H119" s="160">
        <f>$B$9*'Transformaciones'!I111</f>
        <v/>
      </c>
      <c r="I119" s="160">
        <f>$B$10*'Transformaciones'!K111</f>
        <v/>
      </c>
      <c r="J119" s="160">
        <f>$B$13*'Transformaciones'!P112</f>
        <v/>
      </c>
      <c r="K119" s="166">
        <f>SUM(C119:J119)</f>
        <v/>
      </c>
      <c r="L119" s="166">
        <f>B119-K119</f>
        <v/>
      </c>
      <c r="M119" s="167">
        <f>'Datos_fuente'!B112</f>
        <v/>
      </c>
      <c r="N119" s="167">
        <f>EXP('Transformaciones'!B111+K119)</f>
        <v/>
      </c>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f>'Transformaciones'!A113</f>
        <v/>
      </c>
      <c r="B120" s="160">
        <f>'Transformaciones'!C113</f>
        <v/>
      </c>
      <c r="C120" s="160">
        <f>$B$6</f>
        <v/>
      </c>
      <c r="D120" s="160">
        <f>$B$7*'Transformaciones'!E113</f>
        <v/>
      </c>
      <c r="E120" s="160">
        <f>$B$11*'Transformaciones'!M113</f>
        <v/>
      </c>
      <c r="F120" s="160">
        <f>$B$12*'Transformaciones'!O113</f>
        <v/>
      </c>
      <c r="G120" s="160">
        <f>$B$8*'Transformaciones'!G112</f>
        <v/>
      </c>
      <c r="H120" s="160">
        <f>$B$9*'Transformaciones'!I112</f>
        <v/>
      </c>
      <c r="I120" s="160">
        <f>$B$10*'Transformaciones'!K112</f>
        <v/>
      </c>
      <c r="J120" s="160">
        <f>$B$13*'Transformaciones'!P113</f>
        <v/>
      </c>
      <c r="K120" s="166">
        <f>SUM(C120:J120)</f>
        <v/>
      </c>
      <c r="L120" s="166">
        <f>B120-K120</f>
        <v/>
      </c>
      <c r="M120" s="167">
        <f>'Datos_fuente'!B113</f>
        <v/>
      </c>
      <c r="N120" s="167">
        <f>EXP('Transformaciones'!B112+K120)</f>
        <v/>
      </c>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f>'Transformaciones'!A114</f>
        <v/>
      </c>
      <c r="B121" s="160">
        <f>'Transformaciones'!C114</f>
        <v/>
      </c>
      <c r="C121" s="160">
        <f>$B$6</f>
        <v/>
      </c>
      <c r="D121" s="160">
        <f>$B$7*'Transformaciones'!E114</f>
        <v/>
      </c>
      <c r="E121" s="160">
        <f>$B$11*'Transformaciones'!M114</f>
        <v/>
      </c>
      <c r="F121" s="160">
        <f>$B$12*'Transformaciones'!O114</f>
        <v/>
      </c>
      <c r="G121" s="160">
        <f>$B$8*'Transformaciones'!G113</f>
        <v/>
      </c>
      <c r="H121" s="160">
        <f>$B$9*'Transformaciones'!I113</f>
        <v/>
      </c>
      <c r="I121" s="160">
        <f>$B$10*'Transformaciones'!K113</f>
        <v/>
      </c>
      <c r="J121" s="160">
        <f>$B$13*'Transformaciones'!P114</f>
        <v/>
      </c>
      <c r="K121" s="166">
        <f>SUM(C121:J121)</f>
        <v/>
      </c>
      <c r="L121" s="166">
        <f>B121-K121</f>
        <v/>
      </c>
      <c r="M121" s="167">
        <f>'Datos_fuente'!B114</f>
        <v/>
      </c>
      <c r="N121" s="167">
        <f>EXP('Transformaciones'!B113+K121)</f>
        <v/>
      </c>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f>'Transformaciones'!A115</f>
        <v/>
      </c>
      <c r="B122" s="160">
        <f>'Transformaciones'!C115</f>
        <v/>
      </c>
      <c r="C122" s="160">
        <f>$B$6</f>
        <v/>
      </c>
      <c r="D122" s="160">
        <f>$B$7*'Transformaciones'!E115</f>
        <v/>
      </c>
      <c r="E122" s="160">
        <f>$B$11*'Transformaciones'!M115</f>
        <v/>
      </c>
      <c r="F122" s="160">
        <f>$B$12*'Transformaciones'!O115</f>
        <v/>
      </c>
      <c r="G122" s="160">
        <f>$B$8*'Transformaciones'!G114</f>
        <v/>
      </c>
      <c r="H122" s="160">
        <f>$B$9*'Transformaciones'!I114</f>
        <v/>
      </c>
      <c r="I122" s="160">
        <f>$B$10*'Transformaciones'!K114</f>
        <v/>
      </c>
      <c r="J122" s="160">
        <f>$B$13*'Transformaciones'!P115</f>
        <v/>
      </c>
      <c r="K122" s="166">
        <f>SUM(C122:J122)</f>
        <v/>
      </c>
      <c r="L122" s="166">
        <f>B122-K122</f>
        <v/>
      </c>
      <c r="M122" s="167">
        <f>'Datos_fuente'!B115</f>
        <v/>
      </c>
      <c r="N122" s="167">
        <f>EXP('Transformaciones'!B114+K122)</f>
        <v/>
      </c>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f>'Transformaciones'!A116</f>
        <v/>
      </c>
      <c r="B123" s="160">
        <f>'Transformaciones'!C116</f>
        <v/>
      </c>
      <c r="C123" s="160">
        <f>$B$6</f>
        <v/>
      </c>
      <c r="D123" s="160">
        <f>$B$7*'Transformaciones'!E116</f>
        <v/>
      </c>
      <c r="E123" s="160">
        <f>$B$11*'Transformaciones'!M116</f>
        <v/>
      </c>
      <c r="F123" s="160">
        <f>$B$12*'Transformaciones'!O116</f>
        <v/>
      </c>
      <c r="G123" s="160">
        <f>$B$8*'Transformaciones'!G115</f>
        <v/>
      </c>
      <c r="H123" s="160">
        <f>$B$9*'Transformaciones'!I115</f>
        <v/>
      </c>
      <c r="I123" s="160">
        <f>$B$10*'Transformaciones'!K115</f>
        <v/>
      </c>
      <c r="J123" s="160">
        <f>$B$13*'Transformaciones'!P116</f>
        <v/>
      </c>
      <c r="K123" s="166">
        <f>SUM(C123:J123)</f>
        <v/>
      </c>
      <c r="L123" s="166">
        <f>B123-K123</f>
        <v/>
      </c>
      <c r="M123" s="167">
        <f>'Datos_fuente'!B116</f>
        <v/>
      </c>
      <c r="N123" s="167">
        <f>EXP('Transformaciones'!B115+K123)</f>
        <v/>
      </c>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f>'Transformaciones'!A117</f>
        <v/>
      </c>
      <c r="B124" s="160">
        <f>'Transformaciones'!C117</f>
        <v/>
      </c>
      <c r="C124" s="160">
        <f>$B$6</f>
        <v/>
      </c>
      <c r="D124" s="160">
        <f>$B$7*'Transformaciones'!E117</f>
        <v/>
      </c>
      <c r="E124" s="160">
        <f>$B$11*'Transformaciones'!M117</f>
        <v/>
      </c>
      <c r="F124" s="160">
        <f>$B$12*'Transformaciones'!O117</f>
        <v/>
      </c>
      <c r="G124" s="160">
        <f>$B$8*'Transformaciones'!G116</f>
        <v/>
      </c>
      <c r="H124" s="160">
        <f>$B$9*'Transformaciones'!I116</f>
        <v/>
      </c>
      <c r="I124" s="160">
        <f>$B$10*'Transformaciones'!K116</f>
        <v/>
      </c>
      <c r="J124" s="160">
        <f>$B$13*'Transformaciones'!P117</f>
        <v/>
      </c>
      <c r="K124" s="166">
        <f>SUM(C124:J124)</f>
        <v/>
      </c>
      <c r="L124" s="166">
        <f>B124-K124</f>
        <v/>
      </c>
      <c r="M124" s="167">
        <f>'Datos_fuente'!B117</f>
        <v/>
      </c>
      <c r="N124" s="167">
        <f>EXP('Transformaciones'!B116+K124)</f>
        <v/>
      </c>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f>'Transformaciones'!A118</f>
        <v/>
      </c>
      <c r="B125" s="160">
        <f>'Transformaciones'!C118</f>
        <v/>
      </c>
      <c r="C125" s="160">
        <f>$B$6</f>
        <v/>
      </c>
      <c r="D125" s="160">
        <f>$B$7*'Transformaciones'!E118</f>
        <v/>
      </c>
      <c r="E125" s="160">
        <f>$B$11*'Transformaciones'!M118</f>
        <v/>
      </c>
      <c r="F125" s="160">
        <f>$B$12*'Transformaciones'!O118</f>
        <v/>
      </c>
      <c r="G125" s="160">
        <f>$B$8*'Transformaciones'!G117</f>
        <v/>
      </c>
      <c r="H125" s="160">
        <f>$B$9*'Transformaciones'!I117</f>
        <v/>
      </c>
      <c r="I125" s="160">
        <f>$B$10*'Transformaciones'!K117</f>
        <v/>
      </c>
      <c r="J125" s="160">
        <f>$B$13*'Transformaciones'!P118</f>
        <v/>
      </c>
      <c r="K125" s="166">
        <f>SUM(C125:J125)</f>
        <v/>
      </c>
      <c r="L125" s="166">
        <f>B125-K125</f>
        <v/>
      </c>
      <c r="M125" s="167">
        <f>'Datos_fuente'!B118</f>
        <v/>
      </c>
      <c r="N125" s="167">
        <f>EXP('Transformaciones'!B117+K125)</f>
        <v/>
      </c>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f>'Transformaciones'!A119</f>
        <v/>
      </c>
      <c r="B126" s="160">
        <f>'Transformaciones'!C119</f>
        <v/>
      </c>
      <c r="C126" s="160">
        <f>$B$6</f>
        <v/>
      </c>
      <c r="D126" s="160">
        <f>$B$7*'Transformaciones'!E119</f>
        <v/>
      </c>
      <c r="E126" s="160">
        <f>$B$11*'Transformaciones'!M119</f>
        <v/>
      </c>
      <c r="F126" s="160">
        <f>$B$12*'Transformaciones'!O119</f>
        <v/>
      </c>
      <c r="G126" s="160">
        <f>$B$8*'Transformaciones'!G118</f>
        <v/>
      </c>
      <c r="H126" s="160">
        <f>$B$9*'Transformaciones'!I118</f>
        <v/>
      </c>
      <c r="I126" s="160">
        <f>$B$10*'Transformaciones'!K118</f>
        <v/>
      </c>
      <c r="J126" s="160">
        <f>$B$13*'Transformaciones'!P119</f>
        <v/>
      </c>
      <c r="K126" s="166">
        <f>SUM(C126:J126)</f>
        <v/>
      </c>
      <c r="L126" s="166">
        <f>B126-K126</f>
        <v/>
      </c>
      <c r="M126" s="167">
        <f>'Datos_fuente'!B119</f>
        <v/>
      </c>
      <c r="N126" s="167">
        <f>EXP('Transformaciones'!B118+K126)</f>
        <v/>
      </c>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f>'Transformaciones'!A120</f>
        <v/>
      </c>
      <c r="B127" s="160">
        <f>'Transformaciones'!C120</f>
        <v/>
      </c>
      <c r="C127" s="160">
        <f>$B$6</f>
        <v/>
      </c>
      <c r="D127" s="160">
        <f>$B$7*'Transformaciones'!E120</f>
        <v/>
      </c>
      <c r="E127" s="160">
        <f>$B$11*'Transformaciones'!M120</f>
        <v/>
      </c>
      <c r="F127" s="160">
        <f>$B$12*'Transformaciones'!O120</f>
        <v/>
      </c>
      <c r="G127" s="160">
        <f>$B$8*'Transformaciones'!G119</f>
        <v/>
      </c>
      <c r="H127" s="160">
        <f>$B$9*'Transformaciones'!I119</f>
        <v/>
      </c>
      <c r="I127" s="160">
        <f>$B$10*'Transformaciones'!K119</f>
        <v/>
      </c>
      <c r="J127" s="160">
        <f>$B$13*'Transformaciones'!P120</f>
        <v/>
      </c>
      <c r="K127" s="166">
        <f>SUM(C127:J127)</f>
        <v/>
      </c>
      <c r="L127" s="166">
        <f>B127-K127</f>
        <v/>
      </c>
      <c r="M127" s="167">
        <f>'Datos_fuente'!B120</f>
        <v/>
      </c>
      <c r="N127" s="167">
        <f>EXP('Transformaciones'!B119+K127)</f>
        <v/>
      </c>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f>'Transformaciones'!A121</f>
        <v/>
      </c>
      <c r="B128" s="160">
        <f>'Transformaciones'!C121</f>
        <v/>
      </c>
      <c r="C128" s="160">
        <f>$B$6</f>
        <v/>
      </c>
      <c r="D128" s="160">
        <f>$B$7*'Transformaciones'!E121</f>
        <v/>
      </c>
      <c r="E128" s="160">
        <f>$B$11*'Transformaciones'!M121</f>
        <v/>
      </c>
      <c r="F128" s="160">
        <f>$B$12*'Transformaciones'!O121</f>
        <v/>
      </c>
      <c r="G128" s="160">
        <f>$B$8*'Transformaciones'!G120</f>
        <v/>
      </c>
      <c r="H128" s="160">
        <f>$B$9*'Transformaciones'!I120</f>
        <v/>
      </c>
      <c r="I128" s="160">
        <f>$B$10*'Transformaciones'!K120</f>
        <v/>
      </c>
      <c r="J128" s="160">
        <f>$B$13*'Transformaciones'!P121</f>
        <v/>
      </c>
      <c r="K128" s="166">
        <f>SUM(C128:J128)</f>
        <v/>
      </c>
      <c r="L128" s="166">
        <f>B128-K128</f>
        <v/>
      </c>
      <c r="M128" s="167">
        <f>'Datos_fuente'!B121</f>
        <v/>
      </c>
      <c r="N128" s="167">
        <f>EXP('Transformaciones'!B120+K128)</f>
        <v/>
      </c>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f>'Transformaciones'!A122</f>
        <v/>
      </c>
      <c r="B129" s="160">
        <f>'Transformaciones'!C122</f>
        <v/>
      </c>
      <c r="C129" s="160">
        <f>$B$6</f>
        <v/>
      </c>
      <c r="D129" s="160">
        <f>$B$7*'Transformaciones'!E122</f>
        <v/>
      </c>
      <c r="E129" s="160">
        <f>$B$11*'Transformaciones'!M122</f>
        <v/>
      </c>
      <c r="F129" s="160">
        <f>$B$12*'Transformaciones'!O122</f>
        <v/>
      </c>
      <c r="G129" s="160">
        <f>$B$8*'Transformaciones'!G121</f>
        <v/>
      </c>
      <c r="H129" s="160">
        <f>$B$9*'Transformaciones'!I121</f>
        <v/>
      </c>
      <c r="I129" s="160">
        <f>$B$10*'Transformaciones'!K121</f>
        <v/>
      </c>
      <c r="J129" s="160">
        <f>$B$13*'Transformaciones'!P122</f>
        <v/>
      </c>
      <c r="K129" s="166">
        <f>SUM(C129:J129)</f>
        <v/>
      </c>
      <c r="L129" s="166">
        <f>B129-K129</f>
        <v/>
      </c>
      <c r="M129" s="167">
        <f>'Datos_fuente'!B122</f>
        <v/>
      </c>
      <c r="N129" s="167">
        <f>EXP('Transformaciones'!B121+K129)</f>
        <v/>
      </c>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f>'Transformaciones'!A123</f>
        <v/>
      </c>
      <c r="B130" s="160">
        <f>'Transformaciones'!C123</f>
        <v/>
      </c>
      <c r="C130" s="160">
        <f>$B$6</f>
        <v/>
      </c>
      <c r="D130" s="160">
        <f>$B$7*'Transformaciones'!E123</f>
        <v/>
      </c>
      <c r="E130" s="160">
        <f>$B$11*'Transformaciones'!M123</f>
        <v/>
      </c>
      <c r="F130" s="160">
        <f>$B$12*'Transformaciones'!O123</f>
        <v/>
      </c>
      <c r="G130" s="160">
        <f>$B$8*'Transformaciones'!G122</f>
        <v/>
      </c>
      <c r="H130" s="160">
        <f>$B$9*'Transformaciones'!I122</f>
        <v/>
      </c>
      <c r="I130" s="160">
        <f>$B$10*'Transformaciones'!K122</f>
        <v/>
      </c>
      <c r="J130" s="160">
        <f>$B$13*'Transformaciones'!P123</f>
        <v/>
      </c>
      <c r="K130" s="166">
        <f>SUM(C130:J130)</f>
        <v/>
      </c>
      <c r="L130" s="166">
        <f>B130-K130</f>
        <v/>
      </c>
      <c r="M130" s="167">
        <f>'Datos_fuente'!B123</f>
        <v/>
      </c>
      <c r="N130" s="167">
        <f>EXP('Transformaciones'!B122+K130)</f>
        <v/>
      </c>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f>'Transformaciones'!A124</f>
        <v/>
      </c>
      <c r="B131" s="160">
        <f>'Transformaciones'!C124</f>
        <v/>
      </c>
      <c r="C131" s="160">
        <f>$B$6</f>
        <v/>
      </c>
      <c r="D131" s="160">
        <f>$B$7*'Transformaciones'!E124</f>
        <v/>
      </c>
      <c r="E131" s="160">
        <f>$B$11*'Transformaciones'!M124</f>
        <v/>
      </c>
      <c r="F131" s="160">
        <f>$B$12*'Transformaciones'!O124</f>
        <v/>
      </c>
      <c r="G131" s="160">
        <f>$B$8*'Transformaciones'!G123</f>
        <v/>
      </c>
      <c r="H131" s="160">
        <f>$B$9*'Transformaciones'!I123</f>
        <v/>
      </c>
      <c r="I131" s="160">
        <f>$B$10*'Transformaciones'!K123</f>
        <v/>
      </c>
      <c r="J131" s="160">
        <f>$B$13*'Transformaciones'!P124</f>
        <v/>
      </c>
      <c r="K131" s="166">
        <f>SUM(C131:J131)</f>
        <v/>
      </c>
      <c r="L131" s="166">
        <f>B131-K131</f>
        <v/>
      </c>
      <c r="M131" s="167">
        <f>'Datos_fuente'!B124</f>
        <v/>
      </c>
      <c r="N131" s="167">
        <f>EXP('Transformaciones'!B123+K131)</f>
        <v/>
      </c>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f>'Transformaciones'!A125</f>
        <v/>
      </c>
      <c r="B132" s="160">
        <f>'Transformaciones'!C125</f>
        <v/>
      </c>
      <c r="C132" s="160">
        <f>$B$6</f>
        <v/>
      </c>
      <c r="D132" s="160">
        <f>$B$7*'Transformaciones'!E125</f>
        <v/>
      </c>
      <c r="E132" s="160">
        <f>$B$11*'Transformaciones'!M125</f>
        <v/>
      </c>
      <c r="F132" s="160">
        <f>$B$12*'Transformaciones'!O125</f>
        <v/>
      </c>
      <c r="G132" s="160">
        <f>$B$8*'Transformaciones'!G124</f>
        <v/>
      </c>
      <c r="H132" s="160">
        <f>$B$9*'Transformaciones'!I124</f>
        <v/>
      </c>
      <c r="I132" s="160">
        <f>$B$10*'Transformaciones'!K124</f>
        <v/>
      </c>
      <c r="J132" s="160">
        <f>$B$13*'Transformaciones'!P125</f>
        <v/>
      </c>
      <c r="K132" s="166">
        <f>SUM(C132:J132)</f>
        <v/>
      </c>
      <c r="L132" s="166">
        <f>B132-K132</f>
        <v/>
      </c>
      <c r="M132" s="167">
        <f>'Datos_fuente'!B125</f>
        <v/>
      </c>
      <c r="N132" s="167">
        <f>EXP('Transformaciones'!B124+K132)</f>
        <v/>
      </c>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f>'Transformaciones'!A126</f>
        <v/>
      </c>
      <c r="B133" s="160">
        <f>'Transformaciones'!C126</f>
        <v/>
      </c>
      <c r="C133" s="160">
        <f>$B$6</f>
        <v/>
      </c>
      <c r="D133" s="160">
        <f>$B$7*'Transformaciones'!E126</f>
        <v/>
      </c>
      <c r="E133" s="160">
        <f>$B$11*'Transformaciones'!M126</f>
        <v/>
      </c>
      <c r="F133" s="160">
        <f>$B$12*'Transformaciones'!O126</f>
        <v/>
      </c>
      <c r="G133" s="160">
        <f>$B$8*'Transformaciones'!G125</f>
        <v/>
      </c>
      <c r="H133" s="160">
        <f>$B$9*'Transformaciones'!I125</f>
        <v/>
      </c>
      <c r="I133" s="160">
        <f>$B$10*'Transformaciones'!K125</f>
        <v/>
      </c>
      <c r="J133" s="160">
        <f>$B$13*'Transformaciones'!P126</f>
        <v/>
      </c>
      <c r="K133" s="166">
        <f>SUM(C133:J133)</f>
        <v/>
      </c>
      <c r="L133" s="166">
        <f>B133-K133</f>
        <v/>
      </c>
      <c r="M133" s="167">
        <f>'Datos_fuente'!B126</f>
        <v/>
      </c>
      <c r="N133" s="167">
        <f>EXP('Transformaciones'!B125+K133)</f>
        <v/>
      </c>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f>'Transformaciones'!A127</f>
        <v/>
      </c>
      <c r="B134" s="160">
        <f>'Transformaciones'!C127</f>
        <v/>
      </c>
      <c r="C134" s="160">
        <f>$B$6</f>
        <v/>
      </c>
      <c r="D134" s="160">
        <f>$B$7*'Transformaciones'!E127</f>
        <v/>
      </c>
      <c r="E134" s="160">
        <f>$B$11*'Transformaciones'!M127</f>
        <v/>
      </c>
      <c r="F134" s="160">
        <f>$B$12*'Transformaciones'!O127</f>
        <v/>
      </c>
      <c r="G134" s="160">
        <f>$B$8*'Transformaciones'!G126</f>
        <v/>
      </c>
      <c r="H134" s="160">
        <f>$B$9*'Transformaciones'!I126</f>
        <v/>
      </c>
      <c r="I134" s="160">
        <f>$B$10*'Transformaciones'!K126</f>
        <v/>
      </c>
      <c r="J134" s="160">
        <f>$B$13*'Transformaciones'!P127</f>
        <v/>
      </c>
      <c r="K134" s="166">
        <f>SUM(C134:J134)</f>
        <v/>
      </c>
      <c r="L134" s="166">
        <f>B134-K134</f>
        <v/>
      </c>
      <c r="M134" s="167">
        <f>'Datos_fuente'!B127</f>
        <v/>
      </c>
      <c r="N134" s="167">
        <f>EXP('Transformaciones'!B126+K134)</f>
        <v/>
      </c>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f>'Transformaciones'!A128</f>
        <v/>
      </c>
      <c r="B135" s="160">
        <f>'Transformaciones'!C128</f>
        <v/>
      </c>
      <c r="C135" s="160">
        <f>$B$6</f>
        <v/>
      </c>
      <c r="D135" s="160">
        <f>$B$7*'Transformaciones'!E128</f>
        <v/>
      </c>
      <c r="E135" s="160">
        <f>$B$11*'Transformaciones'!M128</f>
        <v/>
      </c>
      <c r="F135" s="160">
        <f>$B$12*'Transformaciones'!O128</f>
        <v/>
      </c>
      <c r="G135" s="160">
        <f>$B$8*'Transformaciones'!G127</f>
        <v/>
      </c>
      <c r="H135" s="160">
        <f>$B$9*'Transformaciones'!I127</f>
        <v/>
      </c>
      <c r="I135" s="160">
        <f>$B$10*'Transformaciones'!K127</f>
        <v/>
      </c>
      <c r="J135" s="160">
        <f>$B$13*'Transformaciones'!P128</f>
        <v/>
      </c>
      <c r="K135" s="166">
        <f>SUM(C135:J135)</f>
        <v/>
      </c>
      <c r="L135" s="166">
        <f>B135-K135</f>
        <v/>
      </c>
      <c r="M135" s="167">
        <f>'Datos_fuente'!B128</f>
        <v/>
      </c>
      <c r="N135" s="167">
        <f>EXP('Transformaciones'!B127+K135)</f>
        <v/>
      </c>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f>'Transformaciones'!A129</f>
        <v/>
      </c>
      <c r="B136" s="160">
        <f>'Transformaciones'!C129</f>
        <v/>
      </c>
      <c r="C136" s="160">
        <f>$B$6</f>
        <v/>
      </c>
      <c r="D136" s="160">
        <f>$B$7*'Transformaciones'!E129</f>
        <v/>
      </c>
      <c r="E136" s="160">
        <f>$B$11*'Transformaciones'!M129</f>
        <v/>
      </c>
      <c r="F136" s="160">
        <f>$B$12*'Transformaciones'!O129</f>
        <v/>
      </c>
      <c r="G136" s="160">
        <f>$B$8*'Transformaciones'!G128</f>
        <v/>
      </c>
      <c r="H136" s="160">
        <f>$B$9*'Transformaciones'!I128</f>
        <v/>
      </c>
      <c r="I136" s="160">
        <f>$B$10*'Transformaciones'!K128</f>
        <v/>
      </c>
      <c r="J136" s="160">
        <f>$B$13*'Transformaciones'!P129</f>
        <v/>
      </c>
      <c r="K136" s="166">
        <f>SUM(C136:J136)</f>
        <v/>
      </c>
      <c r="L136" s="166">
        <f>B136-K136</f>
        <v/>
      </c>
      <c r="M136" s="167">
        <f>'Datos_fuente'!B129</f>
        <v/>
      </c>
      <c r="N136" s="167">
        <f>EXP('Transformaciones'!B128+K136)</f>
        <v/>
      </c>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f>'Transformaciones'!A130</f>
        <v/>
      </c>
      <c r="B137" s="160">
        <f>'Transformaciones'!C130</f>
        <v/>
      </c>
      <c r="C137" s="160">
        <f>$B$6</f>
        <v/>
      </c>
      <c r="D137" s="160">
        <f>$B$7*'Transformaciones'!E130</f>
        <v/>
      </c>
      <c r="E137" s="160">
        <f>$B$11*'Transformaciones'!M130</f>
        <v/>
      </c>
      <c r="F137" s="160">
        <f>$B$12*'Transformaciones'!O130</f>
        <v/>
      </c>
      <c r="G137" s="160">
        <f>$B$8*'Transformaciones'!G129</f>
        <v/>
      </c>
      <c r="H137" s="160">
        <f>$B$9*'Transformaciones'!I129</f>
        <v/>
      </c>
      <c r="I137" s="160">
        <f>$B$10*'Transformaciones'!K129</f>
        <v/>
      </c>
      <c r="J137" s="160">
        <f>$B$13*'Transformaciones'!P130</f>
        <v/>
      </c>
      <c r="K137" s="166">
        <f>SUM(C137:J137)</f>
        <v/>
      </c>
      <c r="L137" s="166">
        <f>B137-K137</f>
        <v/>
      </c>
      <c r="M137" s="167">
        <f>'Datos_fuente'!B130</f>
        <v/>
      </c>
      <c r="N137" s="167">
        <f>EXP('Transformaciones'!B129+K137)</f>
        <v/>
      </c>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f>'Transformaciones'!A131</f>
        <v/>
      </c>
      <c r="B138" s="160">
        <f>'Transformaciones'!C131</f>
        <v/>
      </c>
      <c r="C138" s="160">
        <f>$B$6</f>
        <v/>
      </c>
      <c r="D138" s="160">
        <f>$B$7*'Transformaciones'!E131</f>
        <v/>
      </c>
      <c r="E138" s="160">
        <f>$B$11*'Transformaciones'!M131</f>
        <v/>
      </c>
      <c r="F138" s="160">
        <f>$B$12*'Transformaciones'!O131</f>
        <v/>
      </c>
      <c r="G138" s="160">
        <f>$B$8*'Transformaciones'!G130</f>
        <v/>
      </c>
      <c r="H138" s="160">
        <f>$B$9*'Transformaciones'!I130</f>
        <v/>
      </c>
      <c r="I138" s="160">
        <f>$B$10*'Transformaciones'!K130</f>
        <v/>
      </c>
      <c r="J138" s="160">
        <f>$B$13*'Transformaciones'!P131</f>
        <v/>
      </c>
      <c r="K138" s="166">
        <f>SUM(C138:J138)</f>
        <v/>
      </c>
      <c r="L138" s="166">
        <f>B138-K138</f>
        <v/>
      </c>
      <c r="M138" s="167">
        <f>'Datos_fuente'!B131</f>
        <v/>
      </c>
      <c r="N138" s="167">
        <f>EXP('Transformaciones'!B130+K138)</f>
        <v/>
      </c>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f>'Transformaciones'!A132</f>
        <v/>
      </c>
      <c r="B139" s="160">
        <f>'Transformaciones'!C132</f>
        <v/>
      </c>
      <c r="C139" s="160">
        <f>$B$6</f>
        <v/>
      </c>
      <c r="D139" s="160">
        <f>$B$7*'Transformaciones'!E132</f>
        <v/>
      </c>
      <c r="E139" s="160">
        <f>$B$11*'Transformaciones'!M132</f>
        <v/>
      </c>
      <c r="F139" s="160">
        <f>$B$12*'Transformaciones'!O132</f>
        <v/>
      </c>
      <c r="G139" s="160">
        <f>$B$8*'Transformaciones'!G131</f>
        <v/>
      </c>
      <c r="H139" s="160">
        <f>$B$9*'Transformaciones'!I131</f>
        <v/>
      </c>
      <c r="I139" s="160">
        <f>$B$10*'Transformaciones'!K131</f>
        <v/>
      </c>
      <c r="J139" s="160">
        <f>$B$13*'Transformaciones'!P132</f>
        <v/>
      </c>
      <c r="K139" s="166">
        <f>SUM(C139:J139)</f>
        <v/>
      </c>
      <c r="L139" s="166">
        <f>B139-K139</f>
        <v/>
      </c>
      <c r="M139" s="167">
        <f>'Datos_fuente'!B132</f>
        <v/>
      </c>
      <c r="N139" s="167">
        <f>EXP('Transformaciones'!B131+K139)</f>
        <v/>
      </c>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f>'Transformaciones'!A133</f>
        <v/>
      </c>
      <c r="B140" s="160">
        <f>'Transformaciones'!C133</f>
        <v/>
      </c>
      <c r="C140" s="160">
        <f>$B$6</f>
        <v/>
      </c>
      <c r="D140" s="160">
        <f>$B$7*'Transformaciones'!E133</f>
        <v/>
      </c>
      <c r="E140" s="160">
        <f>$B$11*'Transformaciones'!M133</f>
        <v/>
      </c>
      <c r="F140" s="160">
        <f>$B$12*'Transformaciones'!O133</f>
        <v/>
      </c>
      <c r="G140" s="160">
        <f>$B$8*'Transformaciones'!G132</f>
        <v/>
      </c>
      <c r="H140" s="160">
        <f>$B$9*'Transformaciones'!I132</f>
        <v/>
      </c>
      <c r="I140" s="160">
        <f>$B$10*'Transformaciones'!K132</f>
        <v/>
      </c>
      <c r="J140" s="160">
        <f>$B$13*'Transformaciones'!P133</f>
        <v/>
      </c>
      <c r="K140" s="166">
        <f>SUM(C140:J140)</f>
        <v/>
      </c>
      <c r="L140" s="166">
        <f>B140-K140</f>
        <v/>
      </c>
      <c r="M140" s="167">
        <f>'Datos_fuente'!B133</f>
        <v/>
      </c>
      <c r="N140" s="167">
        <f>EXP('Transformaciones'!B132+K140)</f>
        <v/>
      </c>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f>'Transformaciones'!A134</f>
        <v/>
      </c>
      <c r="B141" s="160">
        <f>'Transformaciones'!C134</f>
        <v/>
      </c>
      <c r="C141" s="160">
        <f>$B$6</f>
        <v/>
      </c>
      <c r="D141" s="160">
        <f>$B$7*'Transformaciones'!E134</f>
        <v/>
      </c>
      <c r="E141" s="160">
        <f>$B$11*'Transformaciones'!M134</f>
        <v/>
      </c>
      <c r="F141" s="160">
        <f>$B$12*'Transformaciones'!O134</f>
        <v/>
      </c>
      <c r="G141" s="160">
        <f>$B$8*'Transformaciones'!G133</f>
        <v/>
      </c>
      <c r="H141" s="160">
        <f>$B$9*'Transformaciones'!I133</f>
        <v/>
      </c>
      <c r="I141" s="160">
        <f>$B$10*'Transformaciones'!K133</f>
        <v/>
      </c>
      <c r="J141" s="160">
        <f>$B$13*'Transformaciones'!P134</f>
        <v/>
      </c>
      <c r="K141" s="166">
        <f>SUM(C141:J141)</f>
        <v/>
      </c>
      <c r="L141" s="166">
        <f>B141-K141</f>
        <v/>
      </c>
      <c r="M141" s="167">
        <f>'Datos_fuente'!B134</f>
        <v/>
      </c>
      <c r="N141" s="167">
        <f>EXP('Transformaciones'!B133+K141)</f>
        <v/>
      </c>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f>'Transformaciones'!A135</f>
        <v/>
      </c>
      <c r="B142" s="160">
        <f>'Transformaciones'!C135</f>
        <v/>
      </c>
      <c r="C142" s="160">
        <f>$B$6</f>
        <v/>
      </c>
      <c r="D142" s="160">
        <f>$B$7*'Transformaciones'!E135</f>
        <v/>
      </c>
      <c r="E142" s="160">
        <f>$B$11*'Transformaciones'!M135</f>
        <v/>
      </c>
      <c r="F142" s="160">
        <f>$B$12*'Transformaciones'!O135</f>
        <v/>
      </c>
      <c r="G142" s="160">
        <f>$B$8*'Transformaciones'!G134</f>
        <v/>
      </c>
      <c r="H142" s="160">
        <f>$B$9*'Transformaciones'!I134</f>
        <v/>
      </c>
      <c r="I142" s="160">
        <f>$B$10*'Transformaciones'!K134</f>
        <v/>
      </c>
      <c r="J142" s="160">
        <f>$B$13*'Transformaciones'!P135</f>
        <v/>
      </c>
      <c r="K142" s="166">
        <f>SUM(C142:J142)</f>
        <v/>
      </c>
      <c r="L142" s="166">
        <f>B142-K142</f>
        <v/>
      </c>
      <c r="M142" s="167">
        <f>'Datos_fuente'!B135</f>
        <v/>
      </c>
      <c r="N142" s="167">
        <f>EXP('Transformaciones'!B134+K142)</f>
        <v/>
      </c>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f>'Transformaciones'!A136</f>
        <v/>
      </c>
      <c r="B143" s="160">
        <f>'Transformaciones'!C136</f>
        <v/>
      </c>
      <c r="C143" s="160">
        <f>$B$6</f>
        <v/>
      </c>
      <c r="D143" s="160">
        <f>$B$7*'Transformaciones'!E136</f>
        <v/>
      </c>
      <c r="E143" s="160">
        <f>$B$11*'Transformaciones'!M136</f>
        <v/>
      </c>
      <c r="F143" s="160">
        <f>$B$12*'Transformaciones'!O136</f>
        <v/>
      </c>
      <c r="G143" s="160">
        <f>$B$8*'Transformaciones'!G135</f>
        <v/>
      </c>
      <c r="H143" s="160">
        <f>$B$9*'Transformaciones'!I135</f>
        <v/>
      </c>
      <c r="I143" s="160">
        <f>$B$10*'Transformaciones'!K135</f>
        <v/>
      </c>
      <c r="J143" s="160">
        <f>$B$13*'Transformaciones'!P136</f>
        <v/>
      </c>
      <c r="K143" s="166">
        <f>SUM(C143:J143)</f>
        <v/>
      </c>
      <c r="L143" s="166">
        <f>B143-K143</f>
        <v/>
      </c>
      <c r="M143" s="167">
        <f>'Datos_fuente'!B136</f>
        <v/>
      </c>
      <c r="N143" s="167">
        <f>EXP('Transformaciones'!B135+K143)</f>
        <v/>
      </c>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f>'Transformaciones'!A137</f>
        <v/>
      </c>
      <c r="B144" s="160">
        <f>'Transformaciones'!C137</f>
        <v/>
      </c>
      <c r="C144" s="160">
        <f>$B$6</f>
        <v/>
      </c>
      <c r="D144" s="160">
        <f>$B$7*'Transformaciones'!E137</f>
        <v/>
      </c>
      <c r="E144" s="160">
        <f>$B$11*'Transformaciones'!M137</f>
        <v/>
      </c>
      <c r="F144" s="160">
        <f>$B$12*'Transformaciones'!O137</f>
        <v/>
      </c>
      <c r="G144" s="160">
        <f>$B$8*'Transformaciones'!G136</f>
        <v/>
      </c>
      <c r="H144" s="160">
        <f>$B$9*'Transformaciones'!I136</f>
        <v/>
      </c>
      <c r="I144" s="160">
        <f>$B$10*'Transformaciones'!K136</f>
        <v/>
      </c>
      <c r="J144" s="160">
        <f>$B$13*'Transformaciones'!P137</f>
        <v/>
      </c>
      <c r="K144" s="166">
        <f>SUM(C144:J144)</f>
        <v/>
      </c>
      <c r="L144" s="166">
        <f>B144-K144</f>
        <v/>
      </c>
      <c r="M144" s="167">
        <f>'Datos_fuente'!B137</f>
        <v/>
      </c>
      <c r="N144" s="167">
        <f>EXP('Transformaciones'!B136+K144)</f>
        <v/>
      </c>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f>'Transformaciones'!A138</f>
        <v/>
      </c>
      <c r="B145" s="160">
        <f>'Transformaciones'!C138</f>
        <v/>
      </c>
      <c r="C145" s="160">
        <f>$B$6</f>
        <v/>
      </c>
      <c r="D145" s="160">
        <f>$B$7*'Transformaciones'!E138</f>
        <v/>
      </c>
      <c r="E145" s="160">
        <f>$B$11*'Transformaciones'!M138</f>
        <v/>
      </c>
      <c r="F145" s="160">
        <f>$B$12*'Transformaciones'!O138</f>
        <v/>
      </c>
      <c r="G145" s="160">
        <f>$B$8*'Transformaciones'!G137</f>
        <v/>
      </c>
      <c r="H145" s="160">
        <f>$B$9*'Transformaciones'!I137</f>
        <v/>
      </c>
      <c r="I145" s="160">
        <f>$B$10*'Transformaciones'!K137</f>
        <v/>
      </c>
      <c r="J145" s="160">
        <f>$B$13*'Transformaciones'!P138</f>
        <v/>
      </c>
      <c r="K145" s="166">
        <f>SUM(C145:J145)</f>
        <v/>
      </c>
      <c r="L145" s="166">
        <f>B145-K145</f>
        <v/>
      </c>
      <c r="M145" s="167">
        <f>'Datos_fuente'!B138</f>
        <v/>
      </c>
      <c r="N145" s="167">
        <f>EXP('Transformaciones'!B137+K145)</f>
        <v/>
      </c>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f>'Transformaciones'!A139</f>
        <v/>
      </c>
      <c r="B146" s="160">
        <f>'Transformaciones'!C139</f>
        <v/>
      </c>
      <c r="C146" s="160">
        <f>$B$6</f>
        <v/>
      </c>
      <c r="D146" s="160">
        <f>$B$7*'Transformaciones'!E139</f>
        <v/>
      </c>
      <c r="E146" s="160">
        <f>$B$11*'Transformaciones'!M139</f>
        <v/>
      </c>
      <c r="F146" s="160">
        <f>$B$12*'Transformaciones'!O139</f>
        <v/>
      </c>
      <c r="G146" s="160">
        <f>$B$8*'Transformaciones'!G138</f>
        <v/>
      </c>
      <c r="H146" s="160">
        <f>$B$9*'Transformaciones'!I138</f>
        <v/>
      </c>
      <c r="I146" s="160">
        <f>$B$10*'Transformaciones'!K138</f>
        <v/>
      </c>
      <c r="J146" s="160">
        <f>$B$13*'Transformaciones'!P139</f>
        <v/>
      </c>
      <c r="K146" s="166">
        <f>SUM(C146:J146)</f>
        <v/>
      </c>
      <c r="L146" s="166">
        <f>B146-K146</f>
        <v/>
      </c>
      <c r="M146" s="167">
        <f>'Datos_fuente'!B139</f>
        <v/>
      </c>
      <c r="N146" s="167">
        <f>EXP('Transformaciones'!B138+K146)</f>
        <v/>
      </c>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f>'Transformaciones'!A140</f>
        <v/>
      </c>
      <c r="B147" s="160">
        <f>'Transformaciones'!C140</f>
        <v/>
      </c>
      <c r="C147" s="160">
        <f>$B$6</f>
        <v/>
      </c>
      <c r="D147" s="160">
        <f>$B$7*'Transformaciones'!E140</f>
        <v/>
      </c>
      <c r="E147" s="160">
        <f>$B$11*'Transformaciones'!M140</f>
        <v/>
      </c>
      <c r="F147" s="160">
        <f>$B$12*'Transformaciones'!O140</f>
        <v/>
      </c>
      <c r="G147" s="160">
        <f>$B$8*'Transformaciones'!G139</f>
        <v/>
      </c>
      <c r="H147" s="160">
        <f>$B$9*'Transformaciones'!I139</f>
        <v/>
      </c>
      <c r="I147" s="160">
        <f>$B$10*'Transformaciones'!K139</f>
        <v/>
      </c>
      <c r="J147" s="160">
        <f>$B$13*'Transformaciones'!P140</f>
        <v/>
      </c>
      <c r="K147" s="166">
        <f>SUM(C147:J147)</f>
        <v/>
      </c>
      <c r="L147" s="166">
        <f>B147-K147</f>
        <v/>
      </c>
      <c r="M147" s="167">
        <f>'Datos_fuente'!B140</f>
        <v/>
      </c>
      <c r="N147" s="167">
        <f>EXP('Transformaciones'!B139+K147)</f>
        <v/>
      </c>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f>'Transformaciones'!A141</f>
        <v/>
      </c>
      <c r="B148" s="160">
        <f>'Transformaciones'!C141</f>
        <v/>
      </c>
      <c r="C148" s="160">
        <f>$B$6</f>
        <v/>
      </c>
      <c r="D148" s="160">
        <f>$B$7*'Transformaciones'!E141</f>
        <v/>
      </c>
      <c r="E148" s="160">
        <f>$B$11*'Transformaciones'!M141</f>
        <v/>
      </c>
      <c r="F148" s="160">
        <f>$B$12*'Transformaciones'!O141</f>
        <v/>
      </c>
      <c r="G148" s="160">
        <f>$B$8*'Transformaciones'!G140</f>
        <v/>
      </c>
      <c r="H148" s="160">
        <f>$B$9*'Transformaciones'!I140</f>
        <v/>
      </c>
      <c r="I148" s="160">
        <f>$B$10*'Transformaciones'!K140</f>
        <v/>
      </c>
      <c r="J148" s="160">
        <f>$B$13*'Transformaciones'!P141</f>
        <v/>
      </c>
      <c r="K148" s="166">
        <f>SUM(C148:J148)</f>
        <v/>
      </c>
      <c r="L148" s="166">
        <f>B148-K148</f>
        <v/>
      </c>
      <c r="M148" s="167">
        <f>'Datos_fuente'!B141</f>
        <v/>
      </c>
      <c r="N148" s="167">
        <f>EXP('Transformaciones'!B140+K148)</f>
        <v/>
      </c>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f>'Transformaciones'!A142</f>
        <v/>
      </c>
      <c r="B149" s="160">
        <f>'Transformaciones'!C142</f>
        <v/>
      </c>
      <c r="C149" s="160">
        <f>$B$6</f>
        <v/>
      </c>
      <c r="D149" s="160">
        <f>$B$7*'Transformaciones'!E142</f>
        <v/>
      </c>
      <c r="E149" s="160">
        <f>$B$11*'Transformaciones'!M142</f>
        <v/>
      </c>
      <c r="F149" s="160">
        <f>$B$12*'Transformaciones'!O142</f>
        <v/>
      </c>
      <c r="G149" s="160">
        <f>$B$8*'Transformaciones'!G141</f>
        <v/>
      </c>
      <c r="H149" s="160">
        <f>$B$9*'Transformaciones'!I141</f>
        <v/>
      </c>
      <c r="I149" s="160">
        <f>$B$10*'Transformaciones'!K141</f>
        <v/>
      </c>
      <c r="J149" s="160">
        <f>$B$13*'Transformaciones'!P142</f>
        <v/>
      </c>
      <c r="K149" s="166">
        <f>SUM(C149:J149)</f>
        <v/>
      </c>
      <c r="L149" s="166">
        <f>B149-K149</f>
        <v/>
      </c>
      <c r="M149" s="167">
        <f>'Datos_fuente'!B142</f>
        <v/>
      </c>
      <c r="N149" s="167">
        <f>EXP('Transformaciones'!B141+K149)</f>
        <v/>
      </c>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f>'Transformaciones'!A143</f>
        <v/>
      </c>
      <c r="B150" s="160">
        <f>'Transformaciones'!C143</f>
        <v/>
      </c>
      <c r="C150" s="160">
        <f>$B$6</f>
        <v/>
      </c>
      <c r="D150" s="160">
        <f>$B$7*'Transformaciones'!E143</f>
        <v/>
      </c>
      <c r="E150" s="160">
        <f>$B$11*'Transformaciones'!M143</f>
        <v/>
      </c>
      <c r="F150" s="160">
        <f>$B$12*'Transformaciones'!O143</f>
        <v/>
      </c>
      <c r="G150" s="160">
        <f>$B$8*'Transformaciones'!G142</f>
        <v/>
      </c>
      <c r="H150" s="160">
        <f>$B$9*'Transformaciones'!I142</f>
        <v/>
      </c>
      <c r="I150" s="160">
        <f>$B$10*'Transformaciones'!K142</f>
        <v/>
      </c>
      <c r="J150" s="160">
        <f>$B$13*'Transformaciones'!P143</f>
        <v/>
      </c>
      <c r="K150" s="166">
        <f>SUM(C150:J150)</f>
        <v/>
      </c>
      <c r="L150" s="166">
        <f>B150-K150</f>
        <v/>
      </c>
      <c r="M150" s="167">
        <f>'Datos_fuente'!B143</f>
        <v/>
      </c>
      <c r="N150" s="167">
        <f>EXP('Transformaciones'!B142+K150)</f>
        <v/>
      </c>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f>'Transformaciones'!A144</f>
        <v/>
      </c>
      <c r="B151" s="160">
        <f>'Transformaciones'!C144</f>
        <v/>
      </c>
      <c r="C151" s="160">
        <f>$B$6</f>
        <v/>
      </c>
      <c r="D151" s="160">
        <f>$B$7*'Transformaciones'!E144</f>
        <v/>
      </c>
      <c r="E151" s="160">
        <f>$B$11*'Transformaciones'!M144</f>
        <v/>
      </c>
      <c r="F151" s="160">
        <f>$B$12*'Transformaciones'!O144</f>
        <v/>
      </c>
      <c r="G151" s="160">
        <f>$B$8*'Transformaciones'!G143</f>
        <v/>
      </c>
      <c r="H151" s="160">
        <f>$B$9*'Transformaciones'!I143</f>
        <v/>
      </c>
      <c r="I151" s="160">
        <f>$B$10*'Transformaciones'!K143</f>
        <v/>
      </c>
      <c r="J151" s="160">
        <f>$B$13*'Transformaciones'!P144</f>
        <v/>
      </c>
      <c r="K151" s="166">
        <f>SUM(C151:J151)</f>
        <v/>
      </c>
      <c r="L151" s="166">
        <f>B151-K151</f>
        <v/>
      </c>
      <c r="M151" s="167">
        <f>'Datos_fuente'!B144</f>
        <v/>
      </c>
      <c r="N151" s="167">
        <f>EXP('Transformaciones'!B143+K151)</f>
        <v/>
      </c>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f>'Transformaciones'!A145</f>
        <v/>
      </c>
      <c r="B152" s="160">
        <f>'Transformaciones'!C145</f>
        <v/>
      </c>
      <c r="C152" s="160">
        <f>$B$6</f>
        <v/>
      </c>
      <c r="D152" s="160">
        <f>$B$7*'Transformaciones'!E145</f>
        <v/>
      </c>
      <c r="E152" s="160">
        <f>$B$11*'Transformaciones'!M145</f>
        <v/>
      </c>
      <c r="F152" s="160">
        <f>$B$12*'Transformaciones'!O145</f>
        <v/>
      </c>
      <c r="G152" s="160">
        <f>$B$8*'Transformaciones'!G144</f>
        <v/>
      </c>
      <c r="H152" s="160">
        <f>$B$9*'Transformaciones'!I144</f>
        <v/>
      </c>
      <c r="I152" s="160">
        <f>$B$10*'Transformaciones'!K144</f>
        <v/>
      </c>
      <c r="J152" s="160">
        <f>$B$13*'Transformaciones'!P145</f>
        <v/>
      </c>
      <c r="K152" s="166">
        <f>SUM(C152:J152)</f>
        <v/>
      </c>
      <c r="L152" s="166">
        <f>B152-K152</f>
        <v/>
      </c>
      <c r="M152" s="167">
        <f>'Datos_fuente'!B145</f>
        <v/>
      </c>
      <c r="N152" s="167">
        <f>EXP('Transformaciones'!B144+K152)</f>
        <v/>
      </c>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f>'Transformaciones'!A146</f>
        <v/>
      </c>
      <c r="B153" s="160">
        <f>'Transformaciones'!C146</f>
        <v/>
      </c>
      <c r="C153" s="160">
        <f>$B$6</f>
        <v/>
      </c>
      <c r="D153" s="160">
        <f>$B$7*'Transformaciones'!E146</f>
        <v/>
      </c>
      <c r="E153" s="160">
        <f>$B$11*'Transformaciones'!M146</f>
        <v/>
      </c>
      <c r="F153" s="160">
        <f>$B$12*'Transformaciones'!O146</f>
        <v/>
      </c>
      <c r="G153" s="160">
        <f>$B$8*'Transformaciones'!G145</f>
        <v/>
      </c>
      <c r="H153" s="160">
        <f>$B$9*'Transformaciones'!I145</f>
        <v/>
      </c>
      <c r="I153" s="160">
        <f>$B$10*'Transformaciones'!K145</f>
        <v/>
      </c>
      <c r="J153" s="160">
        <f>$B$13*'Transformaciones'!P146</f>
        <v/>
      </c>
      <c r="K153" s="166">
        <f>SUM(C153:J153)</f>
        <v/>
      </c>
      <c r="L153" s="166">
        <f>B153-K153</f>
        <v/>
      </c>
      <c r="M153" s="167">
        <f>'Datos_fuente'!B146</f>
        <v/>
      </c>
      <c r="N153" s="167">
        <f>EXP('Transformaciones'!B145+K153)</f>
        <v/>
      </c>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f>'Transformaciones'!A147</f>
        <v/>
      </c>
      <c r="B154" s="160">
        <f>'Transformaciones'!C147</f>
        <v/>
      </c>
      <c r="C154" s="160">
        <f>$B$6</f>
        <v/>
      </c>
      <c r="D154" s="160">
        <f>$B$7*'Transformaciones'!E147</f>
        <v/>
      </c>
      <c r="E154" s="160">
        <f>$B$11*'Transformaciones'!M147</f>
        <v/>
      </c>
      <c r="F154" s="160">
        <f>$B$12*'Transformaciones'!O147</f>
        <v/>
      </c>
      <c r="G154" s="160">
        <f>$B$8*'Transformaciones'!G146</f>
        <v/>
      </c>
      <c r="H154" s="160">
        <f>$B$9*'Transformaciones'!I146</f>
        <v/>
      </c>
      <c r="I154" s="160">
        <f>$B$10*'Transformaciones'!K146</f>
        <v/>
      </c>
      <c r="J154" s="160">
        <f>$B$13*'Transformaciones'!P147</f>
        <v/>
      </c>
      <c r="K154" s="166">
        <f>SUM(C154:J154)</f>
        <v/>
      </c>
      <c r="L154" s="166">
        <f>B154-K154</f>
        <v/>
      </c>
      <c r="M154" s="167">
        <f>'Datos_fuente'!B147</f>
        <v/>
      </c>
      <c r="N154" s="167">
        <f>EXP('Transformaciones'!B146+K154)</f>
        <v/>
      </c>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f>'Transformaciones'!A148</f>
        <v/>
      </c>
      <c r="B155" s="160">
        <f>'Transformaciones'!C148</f>
        <v/>
      </c>
      <c r="C155" s="160">
        <f>$B$6</f>
        <v/>
      </c>
      <c r="D155" s="160">
        <f>$B$7*'Transformaciones'!E148</f>
        <v/>
      </c>
      <c r="E155" s="160">
        <f>$B$11*'Transformaciones'!M148</f>
        <v/>
      </c>
      <c r="F155" s="160">
        <f>$B$12*'Transformaciones'!O148</f>
        <v/>
      </c>
      <c r="G155" s="160">
        <f>$B$8*'Transformaciones'!G147</f>
        <v/>
      </c>
      <c r="H155" s="160">
        <f>$B$9*'Transformaciones'!I147</f>
        <v/>
      </c>
      <c r="I155" s="160">
        <f>$B$10*'Transformaciones'!K147</f>
        <v/>
      </c>
      <c r="J155" s="160">
        <f>$B$13*'Transformaciones'!P148</f>
        <v/>
      </c>
      <c r="K155" s="166">
        <f>SUM(C155:J155)</f>
        <v/>
      </c>
      <c r="L155" s="166">
        <f>B155-K155</f>
        <v/>
      </c>
      <c r="M155" s="167">
        <f>'Datos_fuente'!B148</f>
        <v/>
      </c>
      <c r="N155" s="167">
        <f>EXP('Transformaciones'!B147+K155)</f>
        <v/>
      </c>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f>'Transformaciones'!A149</f>
        <v/>
      </c>
      <c r="B156" s="160">
        <f>'Transformaciones'!C149</f>
        <v/>
      </c>
      <c r="C156" s="160">
        <f>$B$6</f>
        <v/>
      </c>
      <c r="D156" s="160">
        <f>$B$7*'Transformaciones'!E149</f>
        <v/>
      </c>
      <c r="E156" s="160">
        <f>$B$11*'Transformaciones'!M149</f>
        <v/>
      </c>
      <c r="F156" s="160">
        <f>$B$12*'Transformaciones'!O149</f>
        <v/>
      </c>
      <c r="G156" s="160">
        <f>$B$8*'Transformaciones'!G148</f>
        <v/>
      </c>
      <c r="H156" s="160">
        <f>$B$9*'Transformaciones'!I148</f>
        <v/>
      </c>
      <c r="I156" s="160">
        <f>$B$10*'Transformaciones'!K148</f>
        <v/>
      </c>
      <c r="J156" s="160">
        <f>$B$13*'Transformaciones'!P149</f>
        <v/>
      </c>
      <c r="K156" s="166">
        <f>SUM(C156:J156)</f>
        <v/>
      </c>
      <c r="L156" s="166">
        <f>B156-K156</f>
        <v/>
      </c>
      <c r="M156" s="167">
        <f>'Datos_fuente'!B149</f>
        <v/>
      </c>
      <c r="N156" s="167">
        <f>EXP('Transformaciones'!B148+K156)</f>
        <v/>
      </c>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f>'Transformaciones'!A150</f>
        <v/>
      </c>
      <c r="B157" s="160">
        <f>'Transformaciones'!C150</f>
        <v/>
      </c>
      <c r="C157" s="160">
        <f>$B$6</f>
        <v/>
      </c>
      <c r="D157" s="160">
        <f>$B$7*'Transformaciones'!E150</f>
        <v/>
      </c>
      <c r="E157" s="160">
        <f>$B$11*'Transformaciones'!M150</f>
        <v/>
      </c>
      <c r="F157" s="160">
        <f>$B$12*'Transformaciones'!O150</f>
        <v/>
      </c>
      <c r="G157" s="160">
        <f>$B$8*'Transformaciones'!G149</f>
        <v/>
      </c>
      <c r="H157" s="160">
        <f>$B$9*'Transformaciones'!I149</f>
        <v/>
      </c>
      <c r="I157" s="160">
        <f>$B$10*'Transformaciones'!K149</f>
        <v/>
      </c>
      <c r="J157" s="160">
        <f>$B$13*'Transformaciones'!P150</f>
        <v/>
      </c>
      <c r="K157" s="166">
        <f>SUM(C157:J157)</f>
        <v/>
      </c>
      <c r="L157" s="166">
        <f>B157-K157</f>
        <v/>
      </c>
      <c r="M157" s="167">
        <f>'Datos_fuente'!B150</f>
        <v/>
      </c>
      <c r="N157" s="167">
        <f>EXP('Transformaciones'!B149+K157)</f>
        <v/>
      </c>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f>'Transformaciones'!A151</f>
        <v/>
      </c>
      <c r="B158" s="160">
        <f>'Transformaciones'!C151</f>
        <v/>
      </c>
      <c r="C158" s="160">
        <f>$B$6</f>
        <v/>
      </c>
      <c r="D158" s="160">
        <f>$B$7*'Transformaciones'!E151</f>
        <v/>
      </c>
      <c r="E158" s="160">
        <f>$B$11*'Transformaciones'!M151</f>
        <v/>
      </c>
      <c r="F158" s="160">
        <f>$B$12*'Transformaciones'!O151</f>
        <v/>
      </c>
      <c r="G158" s="160">
        <f>$B$8*'Transformaciones'!G150</f>
        <v/>
      </c>
      <c r="H158" s="160">
        <f>$B$9*'Transformaciones'!I150</f>
        <v/>
      </c>
      <c r="I158" s="160">
        <f>$B$10*'Transformaciones'!K150</f>
        <v/>
      </c>
      <c r="J158" s="160">
        <f>$B$13*'Transformaciones'!P151</f>
        <v/>
      </c>
      <c r="K158" s="166">
        <f>SUM(C158:J158)</f>
        <v/>
      </c>
      <c r="L158" s="166">
        <f>B158-K158</f>
        <v/>
      </c>
      <c r="M158" s="167">
        <f>'Datos_fuente'!B151</f>
        <v/>
      </c>
      <c r="N158" s="167">
        <f>EXP('Transformaciones'!B150+K158)</f>
        <v/>
      </c>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f>'Transformaciones'!A152</f>
        <v/>
      </c>
      <c r="B159" s="160">
        <f>'Transformaciones'!C152</f>
        <v/>
      </c>
      <c r="C159" s="160">
        <f>$B$6</f>
        <v/>
      </c>
      <c r="D159" s="160">
        <f>$B$7*'Transformaciones'!E152</f>
        <v/>
      </c>
      <c r="E159" s="160">
        <f>$B$11*'Transformaciones'!M152</f>
        <v/>
      </c>
      <c r="F159" s="160">
        <f>$B$12*'Transformaciones'!O152</f>
        <v/>
      </c>
      <c r="G159" s="160">
        <f>$B$8*'Transformaciones'!G151</f>
        <v/>
      </c>
      <c r="H159" s="160">
        <f>$B$9*'Transformaciones'!I151</f>
        <v/>
      </c>
      <c r="I159" s="160">
        <f>$B$10*'Transformaciones'!K151</f>
        <v/>
      </c>
      <c r="J159" s="160">
        <f>$B$13*'Transformaciones'!P152</f>
        <v/>
      </c>
      <c r="K159" s="166">
        <f>SUM(C159:J159)</f>
        <v/>
      </c>
      <c r="L159" s="166">
        <f>B159-K159</f>
        <v/>
      </c>
      <c r="M159" s="167">
        <f>'Datos_fuente'!B152</f>
        <v/>
      </c>
      <c r="N159" s="167">
        <f>EXP('Transformaciones'!B151+K159)</f>
        <v/>
      </c>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f>'Transformaciones'!A153</f>
        <v/>
      </c>
      <c r="B160" s="160">
        <f>'Transformaciones'!C153</f>
        <v/>
      </c>
      <c r="C160" s="160">
        <f>$B$6</f>
        <v/>
      </c>
      <c r="D160" s="160">
        <f>$B$7*'Transformaciones'!E153</f>
        <v/>
      </c>
      <c r="E160" s="160">
        <f>$B$11*'Transformaciones'!M153</f>
        <v/>
      </c>
      <c r="F160" s="160">
        <f>$B$12*'Transformaciones'!O153</f>
        <v/>
      </c>
      <c r="G160" s="160">
        <f>$B$8*'Transformaciones'!G152</f>
        <v/>
      </c>
      <c r="H160" s="160">
        <f>$B$9*'Transformaciones'!I152</f>
        <v/>
      </c>
      <c r="I160" s="160">
        <f>$B$10*'Transformaciones'!K152</f>
        <v/>
      </c>
      <c r="J160" s="160">
        <f>$B$13*'Transformaciones'!P153</f>
        <v/>
      </c>
      <c r="K160" s="166">
        <f>SUM(C160:J160)</f>
        <v/>
      </c>
      <c r="L160" s="166">
        <f>B160-K160</f>
        <v/>
      </c>
      <c r="M160" s="167">
        <f>'Datos_fuente'!B153</f>
        <v/>
      </c>
      <c r="N160" s="167">
        <f>EXP('Transformaciones'!B152+K160)</f>
        <v/>
      </c>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f>'Transformaciones'!A154</f>
        <v/>
      </c>
      <c r="B161" s="160">
        <f>'Transformaciones'!C154</f>
        <v/>
      </c>
      <c r="C161" s="160">
        <f>$B$6</f>
        <v/>
      </c>
      <c r="D161" s="160">
        <f>$B$7*'Transformaciones'!E154</f>
        <v/>
      </c>
      <c r="E161" s="160">
        <f>$B$11*'Transformaciones'!M154</f>
        <v/>
      </c>
      <c r="F161" s="160">
        <f>$B$12*'Transformaciones'!O154</f>
        <v/>
      </c>
      <c r="G161" s="160">
        <f>$B$8*'Transformaciones'!G153</f>
        <v/>
      </c>
      <c r="H161" s="160">
        <f>$B$9*'Transformaciones'!I153</f>
        <v/>
      </c>
      <c r="I161" s="160">
        <f>$B$10*'Transformaciones'!K153</f>
        <v/>
      </c>
      <c r="J161" s="160">
        <f>$B$13*'Transformaciones'!P154</f>
        <v/>
      </c>
      <c r="K161" s="166">
        <f>SUM(C161:J161)</f>
        <v/>
      </c>
      <c r="L161" s="166">
        <f>B161-K161</f>
        <v/>
      </c>
      <c r="M161" s="167">
        <f>'Datos_fuente'!B154</f>
        <v/>
      </c>
      <c r="N161" s="167">
        <f>EXP('Transformaciones'!B153+K161)</f>
        <v/>
      </c>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f>'Transformaciones'!A155</f>
        <v/>
      </c>
      <c r="B162" s="160">
        <f>'Transformaciones'!C155</f>
        <v/>
      </c>
      <c r="C162" s="160">
        <f>$B$6</f>
        <v/>
      </c>
      <c r="D162" s="160">
        <f>$B$7*'Transformaciones'!E155</f>
        <v/>
      </c>
      <c r="E162" s="160">
        <f>$B$11*'Transformaciones'!M155</f>
        <v/>
      </c>
      <c r="F162" s="160">
        <f>$B$12*'Transformaciones'!O155</f>
        <v/>
      </c>
      <c r="G162" s="160">
        <f>$B$8*'Transformaciones'!G154</f>
        <v/>
      </c>
      <c r="H162" s="160">
        <f>$B$9*'Transformaciones'!I154</f>
        <v/>
      </c>
      <c r="I162" s="160">
        <f>$B$10*'Transformaciones'!K154</f>
        <v/>
      </c>
      <c r="J162" s="160">
        <f>$B$13*'Transformaciones'!P155</f>
        <v/>
      </c>
      <c r="K162" s="166">
        <f>SUM(C162:J162)</f>
        <v/>
      </c>
      <c r="L162" s="166">
        <f>B162-K162</f>
        <v/>
      </c>
      <c r="M162" s="167">
        <f>'Datos_fuente'!B155</f>
        <v/>
      </c>
      <c r="N162" s="167">
        <f>EXP('Transformaciones'!B154+K162)</f>
        <v/>
      </c>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f>'Transformaciones'!A156</f>
        <v/>
      </c>
      <c r="B163" s="160">
        <f>'Transformaciones'!C156</f>
        <v/>
      </c>
      <c r="C163" s="160">
        <f>$B$6</f>
        <v/>
      </c>
      <c r="D163" s="160">
        <f>$B$7*'Transformaciones'!E156</f>
        <v/>
      </c>
      <c r="E163" s="160">
        <f>$B$11*'Transformaciones'!M156</f>
        <v/>
      </c>
      <c r="F163" s="160">
        <f>$B$12*'Transformaciones'!O156</f>
        <v/>
      </c>
      <c r="G163" s="160">
        <f>$B$8*'Transformaciones'!G155</f>
        <v/>
      </c>
      <c r="H163" s="160">
        <f>$B$9*'Transformaciones'!I155</f>
        <v/>
      </c>
      <c r="I163" s="160">
        <f>$B$10*'Transformaciones'!K155</f>
        <v/>
      </c>
      <c r="J163" s="160">
        <f>$B$13*'Transformaciones'!P156</f>
        <v/>
      </c>
      <c r="K163" s="166">
        <f>SUM(C163:J163)</f>
        <v/>
      </c>
      <c r="L163" s="166">
        <f>B163-K163</f>
        <v/>
      </c>
      <c r="M163" s="167">
        <f>'Datos_fuente'!B156</f>
        <v/>
      </c>
      <c r="N163" s="167">
        <f>EXP('Transformaciones'!B155+K163)</f>
        <v/>
      </c>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f>'Transformaciones'!A157</f>
        <v/>
      </c>
      <c r="B164" s="160">
        <f>'Transformaciones'!C157</f>
        <v/>
      </c>
      <c r="C164" s="160">
        <f>$B$6</f>
        <v/>
      </c>
      <c r="D164" s="160">
        <f>$B$7*'Transformaciones'!E157</f>
        <v/>
      </c>
      <c r="E164" s="160">
        <f>$B$11*'Transformaciones'!M157</f>
        <v/>
      </c>
      <c r="F164" s="160">
        <f>$B$12*'Transformaciones'!O157</f>
        <v/>
      </c>
      <c r="G164" s="160">
        <f>$B$8*'Transformaciones'!G156</f>
        <v/>
      </c>
      <c r="H164" s="160">
        <f>$B$9*'Transformaciones'!I156</f>
        <v/>
      </c>
      <c r="I164" s="160">
        <f>$B$10*'Transformaciones'!K156</f>
        <v/>
      </c>
      <c r="J164" s="160">
        <f>$B$13*'Transformaciones'!P157</f>
        <v/>
      </c>
      <c r="K164" s="166">
        <f>SUM(C164:J164)</f>
        <v/>
      </c>
      <c r="L164" s="166">
        <f>B164-K164</f>
        <v/>
      </c>
      <c r="M164" s="167">
        <f>'Datos_fuente'!B157</f>
        <v/>
      </c>
      <c r="N164" s="167">
        <f>EXP('Transformaciones'!B156+K164)</f>
        <v/>
      </c>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f>'Transformaciones'!A158</f>
        <v/>
      </c>
      <c r="B165" s="160">
        <f>'Transformaciones'!C158</f>
        <v/>
      </c>
      <c r="C165" s="160">
        <f>$B$6</f>
        <v/>
      </c>
      <c r="D165" s="160">
        <f>$B$7*'Transformaciones'!E158</f>
        <v/>
      </c>
      <c r="E165" s="160">
        <f>$B$11*'Transformaciones'!M158</f>
        <v/>
      </c>
      <c r="F165" s="160">
        <f>$B$12*'Transformaciones'!O158</f>
        <v/>
      </c>
      <c r="G165" s="160">
        <f>$B$8*'Transformaciones'!G157</f>
        <v/>
      </c>
      <c r="H165" s="160">
        <f>$B$9*'Transformaciones'!I157</f>
        <v/>
      </c>
      <c r="I165" s="160">
        <f>$B$10*'Transformaciones'!K157</f>
        <v/>
      </c>
      <c r="J165" s="160">
        <f>$B$13*'Transformaciones'!P158</f>
        <v/>
      </c>
      <c r="K165" s="166">
        <f>SUM(C165:J165)</f>
        <v/>
      </c>
      <c r="L165" s="166">
        <f>B165-K165</f>
        <v/>
      </c>
      <c r="M165" s="167">
        <f>'Datos_fuente'!B158</f>
        <v/>
      </c>
      <c r="N165" s="167">
        <f>EXP('Transformaciones'!B157+K165)</f>
        <v/>
      </c>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f>'Transformaciones'!A159</f>
        <v/>
      </c>
      <c r="B166" s="160">
        <f>'Transformaciones'!C159</f>
        <v/>
      </c>
      <c r="C166" s="160">
        <f>$B$6</f>
        <v/>
      </c>
      <c r="D166" s="160">
        <f>$B$7*'Transformaciones'!E159</f>
        <v/>
      </c>
      <c r="E166" s="160">
        <f>$B$11*'Transformaciones'!M159</f>
        <v/>
      </c>
      <c r="F166" s="160">
        <f>$B$12*'Transformaciones'!O159</f>
        <v/>
      </c>
      <c r="G166" s="160">
        <f>$B$8*'Transformaciones'!G158</f>
        <v/>
      </c>
      <c r="H166" s="160">
        <f>$B$9*'Transformaciones'!I158</f>
        <v/>
      </c>
      <c r="I166" s="160">
        <f>$B$10*'Transformaciones'!K158</f>
        <v/>
      </c>
      <c r="J166" s="160">
        <f>$B$13*'Transformaciones'!P159</f>
        <v/>
      </c>
      <c r="K166" s="166">
        <f>SUM(C166:J166)</f>
        <v/>
      </c>
      <c r="L166" s="166">
        <f>B166-K166</f>
        <v/>
      </c>
      <c r="M166" s="167">
        <f>'Datos_fuente'!B159</f>
        <v/>
      </c>
      <c r="N166" s="167">
        <f>EXP('Transformaciones'!B158+K166)</f>
        <v/>
      </c>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f>'Transformaciones'!A160</f>
        <v/>
      </c>
      <c r="B167" s="160">
        <f>'Transformaciones'!C160</f>
        <v/>
      </c>
      <c r="C167" s="160">
        <f>$B$6</f>
        <v/>
      </c>
      <c r="D167" s="160">
        <f>$B$7*'Transformaciones'!E160</f>
        <v/>
      </c>
      <c r="E167" s="160">
        <f>$B$11*'Transformaciones'!M160</f>
        <v/>
      </c>
      <c r="F167" s="160">
        <f>$B$12*'Transformaciones'!O160</f>
        <v/>
      </c>
      <c r="G167" s="160">
        <f>$B$8*'Transformaciones'!G159</f>
        <v/>
      </c>
      <c r="H167" s="160">
        <f>$B$9*'Transformaciones'!I159</f>
        <v/>
      </c>
      <c r="I167" s="160">
        <f>$B$10*'Transformaciones'!K159</f>
        <v/>
      </c>
      <c r="J167" s="160">
        <f>$B$13*'Transformaciones'!P160</f>
        <v/>
      </c>
      <c r="K167" s="166">
        <f>SUM(C167:J167)</f>
        <v/>
      </c>
      <c r="L167" s="166">
        <f>B167-K167</f>
        <v/>
      </c>
      <c r="M167" s="167">
        <f>'Datos_fuente'!B160</f>
        <v/>
      </c>
      <c r="N167" s="167">
        <f>EXP('Transformaciones'!B159+K167)</f>
        <v/>
      </c>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f>'Transformaciones'!A161</f>
        <v/>
      </c>
      <c r="B168" s="160">
        <f>'Transformaciones'!C161</f>
        <v/>
      </c>
      <c r="C168" s="160">
        <f>$B$6</f>
        <v/>
      </c>
      <c r="D168" s="160">
        <f>$B$7*'Transformaciones'!E161</f>
        <v/>
      </c>
      <c r="E168" s="160">
        <f>$B$11*'Transformaciones'!M161</f>
        <v/>
      </c>
      <c r="F168" s="160">
        <f>$B$12*'Transformaciones'!O161</f>
        <v/>
      </c>
      <c r="G168" s="160">
        <f>$B$8*'Transformaciones'!G160</f>
        <v/>
      </c>
      <c r="H168" s="160">
        <f>$B$9*'Transformaciones'!I160</f>
        <v/>
      </c>
      <c r="I168" s="160">
        <f>$B$10*'Transformaciones'!K160</f>
        <v/>
      </c>
      <c r="J168" s="160">
        <f>$B$13*'Transformaciones'!P161</f>
        <v/>
      </c>
      <c r="K168" s="166">
        <f>SUM(C168:J168)</f>
        <v/>
      </c>
      <c r="L168" s="166">
        <f>B168-K168</f>
        <v/>
      </c>
      <c r="M168" s="167">
        <f>'Datos_fuente'!B161</f>
        <v/>
      </c>
      <c r="N168" s="167">
        <f>EXP('Transformaciones'!B160+K168)</f>
        <v/>
      </c>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f>'Transformaciones'!A162</f>
        <v/>
      </c>
      <c r="B169" s="160">
        <f>'Transformaciones'!C162</f>
        <v/>
      </c>
      <c r="C169" s="160">
        <f>$B$6</f>
        <v/>
      </c>
      <c r="D169" s="160">
        <f>$B$7*'Transformaciones'!E162</f>
        <v/>
      </c>
      <c r="E169" s="160">
        <f>$B$11*'Transformaciones'!M162</f>
        <v/>
      </c>
      <c r="F169" s="160">
        <f>$B$12*'Transformaciones'!O162</f>
        <v/>
      </c>
      <c r="G169" s="160">
        <f>$B$8*'Transformaciones'!G161</f>
        <v/>
      </c>
      <c r="H169" s="160">
        <f>$B$9*'Transformaciones'!I161</f>
        <v/>
      </c>
      <c r="I169" s="160">
        <f>$B$10*'Transformaciones'!K161</f>
        <v/>
      </c>
      <c r="J169" s="160">
        <f>$B$13*'Transformaciones'!P162</f>
        <v/>
      </c>
      <c r="K169" s="166">
        <f>SUM(C169:J169)</f>
        <v/>
      </c>
      <c r="L169" s="166">
        <f>B169-K169</f>
        <v/>
      </c>
      <c r="M169" s="167">
        <f>'Datos_fuente'!B162</f>
        <v/>
      </c>
      <c r="N169" s="167">
        <f>EXP('Transformaciones'!B161+K169)</f>
        <v/>
      </c>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f>'Transformaciones'!A163</f>
        <v/>
      </c>
      <c r="B170" s="160">
        <f>'Transformaciones'!C163</f>
        <v/>
      </c>
      <c r="C170" s="160">
        <f>$B$6</f>
        <v/>
      </c>
      <c r="D170" s="160">
        <f>$B$7*'Transformaciones'!E163</f>
        <v/>
      </c>
      <c r="E170" s="160">
        <f>$B$11*'Transformaciones'!M163</f>
        <v/>
      </c>
      <c r="F170" s="160">
        <f>$B$12*'Transformaciones'!O163</f>
        <v/>
      </c>
      <c r="G170" s="160">
        <f>$B$8*'Transformaciones'!G162</f>
        <v/>
      </c>
      <c r="H170" s="160">
        <f>$B$9*'Transformaciones'!I162</f>
        <v/>
      </c>
      <c r="I170" s="160">
        <f>$B$10*'Transformaciones'!K162</f>
        <v/>
      </c>
      <c r="J170" s="160">
        <f>$B$13*'Transformaciones'!P163</f>
        <v/>
      </c>
      <c r="K170" s="166">
        <f>SUM(C170:J170)</f>
        <v/>
      </c>
      <c r="L170" s="166">
        <f>B170-K170</f>
        <v/>
      </c>
      <c r="M170" s="167">
        <f>'Datos_fuente'!B163</f>
        <v/>
      </c>
      <c r="N170" s="167">
        <f>EXP('Transformaciones'!B162+K170)</f>
        <v/>
      </c>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f>'Transformaciones'!A164</f>
        <v/>
      </c>
      <c r="B171" s="160">
        <f>'Transformaciones'!C164</f>
        <v/>
      </c>
      <c r="C171" s="160">
        <f>$B$6</f>
        <v/>
      </c>
      <c r="D171" s="160">
        <f>$B$7*'Transformaciones'!E164</f>
        <v/>
      </c>
      <c r="E171" s="160">
        <f>$B$11*'Transformaciones'!M164</f>
        <v/>
      </c>
      <c r="F171" s="160">
        <f>$B$12*'Transformaciones'!O164</f>
        <v/>
      </c>
      <c r="G171" s="160">
        <f>$B$8*'Transformaciones'!G163</f>
        <v/>
      </c>
      <c r="H171" s="160">
        <f>$B$9*'Transformaciones'!I163</f>
        <v/>
      </c>
      <c r="I171" s="160">
        <f>$B$10*'Transformaciones'!K163</f>
        <v/>
      </c>
      <c r="J171" s="160">
        <f>$B$13*'Transformaciones'!P164</f>
        <v/>
      </c>
      <c r="K171" s="166">
        <f>SUM(C171:J171)</f>
        <v/>
      </c>
      <c r="L171" s="166">
        <f>B171-K171</f>
        <v/>
      </c>
      <c r="M171" s="167">
        <f>'Datos_fuente'!B164</f>
        <v/>
      </c>
      <c r="N171" s="167">
        <f>EXP('Transformaciones'!B163+K171)</f>
        <v/>
      </c>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f>'Transformaciones'!A165</f>
        <v/>
      </c>
      <c r="B172" s="160">
        <f>'Transformaciones'!C165</f>
        <v/>
      </c>
      <c r="C172" s="160">
        <f>$B$6</f>
        <v/>
      </c>
      <c r="D172" s="160">
        <f>$B$7*'Transformaciones'!E165</f>
        <v/>
      </c>
      <c r="E172" s="160">
        <f>$B$11*'Transformaciones'!M165</f>
        <v/>
      </c>
      <c r="F172" s="160">
        <f>$B$12*'Transformaciones'!O165</f>
        <v/>
      </c>
      <c r="G172" s="160">
        <f>$B$8*'Transformaciones'!G164</f>
        <v/>
      </c>
      <c r="H172" s="160">
        <f>$B$9*'Transformaciones'!I164</f>
        <v/>
      </c>
      <c r="I172" s="160">
        <f>$B$10*'Transformaciones'!K164</f>
        <v/>
      </c>
      <c r="J172" s="160">
        <f>$B$13*'Transformaciones'!P165</f>
        <v/>
      </c>
      <c r="K172" s="166">
        <f>SUM(C172:J172)</f>
        <v/>
      </c>
      <c r="L172" s="166">
        <f>B172-K172</f>
        <v/>
      </c>
      <c r="M172" s="167">
        <f>'Datos_fuente'!B165</f>
        <v/>
      </c>
      <c r="N172" s="167">
        <f>EXP('Transformaciones'!B164+K172)</f>
        <v/>
      </c>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f>'Transformaciones'!A166</f>
        <v/>
      </c>
      <c r="B173" s="160">
        <f>'Transformaciones'!C166</f>
        <v/>
      </c>
      <c r="C173" s="160">
        <f>$B$6</f>
        <v/>
      </c>
      <c r="D173" s="160">
        <f>$B$7*'Transformaciones'!E166</f>
        <v/>
      </c>
      <c r="E173" s="160">
        <f>$B$11*'Transformaciones'!M166</f>
        <v/>
      </c>
      <c r="F173" s="160">
        <f>$B$12*'Transformaciones'!O166</f>
        <v/>
      </c>
      <c r="G173" s="160">
        <f>$B$8*'Transformaciones'!G165</f>
        <v/>
      </c>
      <c r="H173" s="160">
        <f>$B$9*'Transformaciones'!I165</f>
        <v/>
      </c>
      <c r="I173" s="160">
        <f>$B$10*'Transformaciones'!K165</f>
        <v/>
      </c>
      <c r="J173" s="160">
        <f>$B$13*'Transformaciones'!P166</f>
        <v/>
      </c>
      <c r="K173" s="166">
        <f>SUM(C173:J173)</f>
        <v/>
      </c>
      <c r="L173" s="166">
        <f>B173-K173</f>
        <v/>
      </c>
      <c r="M173" s="167">
        <f>'Datos_fuente'!B166</f>
        <v/>
      </c>
      <c r="N173" s="167">
        <f>EXP('Transformaciones'!B165+K173)</f>
        <v/>
      </c>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f>'Transformaciones'!A167</f>
        <v/>
      </c>
      <c r="B174" s="160">
        <f>'Transformaciones'!C167</f>
        <v/>
      </c>
      <c r="C174" s="160">
        <f>$B$6</f>
        <v/>
      </c>
      <c r="D174" s="160">
        <f>$B$7*'Transformaciones'!E167</f>
        <v/>
      </c>
      <c r="E174" s="160">
        <f>$B$11*'Transformaciones'!M167</f>
        <v/>
      </c>
      <c r="F174" s="160">
        <f>$B$12*'Transformaciones'!O167</f>
        <v/>
      </c>
      <c r="G174" s="160">
        <f>$B$8*'Transformaciones'!G166</f>
        <v/>
      </c>
      <c r="H174" s="160">
        <f>$B$9*'Transformaciones'!I166</f>
        <v/>
      </c>
      <c r="I174" s="160">
        <f>$B$10*'Transformaciones'!K166</f>
        <v/>
      </c>
      <c r="J174" s="160">
        <f>$B$13*'Transformaciones'!P167</f>
        <v/>
      </c>
      <c r="K174" s="166">
        <f>SUM(C174:J174)</f>
        <v/>
      </c>
      <c r="L174" s="166">
        <f>B174-K174</f>
        <v/>
      </c>
      <c r="M174" s="167">
        <f>'Datos_fuente'!B167</f>
        <v/>
      </c>
      <c r="N174" s="167">
        <f>EXP('Transformaciones'!B166+K174)</f>
        <v/>
      </c>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f>'Transformaciones'!A168</f>
        <v/>
      </c>
      <c r="B175" s="160">
        <f>'Transformaciones'!C168</f>
        <v/>
      </c>
      <c r="C175" s="160">
        <f>$B$6</f>
        <v/>
      </c>
      <c r="D175" s="160">
        <f>$B$7*'Transformaciones'!E168</f>
        <v/>
      </c>
      <c r="E175" s="160">
        <f>$B$11*'Transformaciones'!M168</f>
        <v/>
      </c>
      <c r="F175" s="160">
        <f>$B$12*'Transformaciones'!O168</f>
        <v/>
      </c>
      <c r="G175" s="160">
        <f>$B$8*'Transformaciones'!G167</f>
        <v/>
      </c>
      <c r="H175" s="160">
        <f>$B$9*'Transformaciones'!I167</f>
        <v/>
      </c>
      <c r="I175" s="160">
        <f>$B$10*'Transformaciones'!K167</f>
        <v/>
      </c>
      <c r="J175" s="160">
        <f>$B$13*'Transformaciones'!P168</f>
        <v/>
      </c>
      <c r="K175" s="166">
        <f>SUM(C175:J175)</f>
        <v/>
      </c>
      <c r="L175" s="166">
        <f>B175-K175</f>
        <v/>
      </c>
      <c r="M175" s="167">
        <f>'Datos_fuente'!B168</f>
        <v/>
      </c>
      <c r="N175" s="167">
        <f>EXP('Transformaciones'!B167+K175)</f>
        <v/>
      </c>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f>'Transformaciones'!A169</f>
        <v/>
      </c>
      <c r="B176" s="160">
        <f>'Transformaciones'!C169</f>
        <v/>
      </c>
      <c r="C176" s="160">
        <f>$B$6</f>
        <v/>
      </c>
      <c r="D176" s="160">
        <f>$B$7*'Transformaciones'!E169</f>
        <v/>
      </c>
      <c r="E176" s="160">
        <f>$B$11*'Transformaciones'!M169</f>
        <v/>
      </c>
      <c r="F176" s="160">
        <f>$B$12*'Transformaciones'!O169</f>
        <v/>
      </c>
      <c r="G176" s="160">
        <f>$B$8*'Transformaciones'!G168</f>
        <v/>
      </c>
      <c r="H176" s="160">
        <f>$B$9*'Transformaciones'!I168</f>
        <v/>
      </c>
      <c r="I176" s="160">
        <f>$B$10*'Transformaciones'!K168</f>
        <v/>
      </c>
      <c r="J176" s="160">
        <f>$B$13*'Transformaciones'!P169</f>
        <v/>
      </c>
      <c r="K176" s="166">
        <f>SUM(C176:J176)</f>
        <v/>
      </c>
      <c r="L176" s="166">
        <f>B176-K176</f>
        <v/>
      </c>
      <c r="M176" s="167">
        <f>'Datos_fuente'!B169</f>
        <v/>
      </c>
      <c r="N176" s="167">
        <f>EXP('Transformaciones'!B168+K176)</f>
        <v/>
      </c>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f>'Transformaciones'!A170</f>
        <v/>
      </c>
      <c r="B177" s="160">
        <f>'Transformaciones'!C170</f>
        <v/>
      </c>
      <c r="C177" s="160">
        <f>$B$6</f>
        <v/>
      </c>
      <c r="D177" s="160">
        <f>$B$7*'Transformaciones'!E170</f>
        <v/>
      </c>
      <c r="E177" s="160">
        <f>$B$11*'Transformaciones'!M170</f>
        <v/>
      </c>
      <c r="F177" s="160">
        <f>$B$12*'Transformaciones'!O170</f>
        <v/>
      </c>
      <c r="G177" s="160">
        <f>$B$8*'Transformaciones'!G169</f>
        <v/>
      </c>
      <c r="H177" s="160">
        <f>$B$9*'Transformaciones'!I169</f>
        <v/>
      </c>
      <c r="I177" s="160">
        <f>$B$10*'Transformaciones'!K169</f>
        <v/>
      </c>
      <c r="J177" s="160">
        <f>$B$13*'Transformaciones'!P170</f>
        <v/>
      </c>
      <c r="K177" s="166">
        <f>SUM(C177:J177)</f>
        <v/>
      </c>
      <c r="L177" s="166">
        <f>B177-K177</f>
        <v/>
      </c>
      <c r="M177" s="167">
        <f>'Datos_fuente'!B170</f>
        <v/>
      </c>
      <c r="N177" s="167">
        <f>EXP('Transformaciones'!B169+K177)</f>
        <v/>
      </c>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f>'Transformaciones'!A171</f>
        <v/>
      </c>
      <c r="B178" s="160">
        <f>'Transformaciones'!C171</f>
        <v/>
      </c>
      <c r="C178" s="160">
        <f>$B$6</f>
        <v/>
      </c>
      <c r="D178" s="160">
        <f>$B$7*'Transformaciones'!E171</f>
        <v/>
      </c>
      <c r="E178" s="160">
        <f>$B$11*'Transformaciones'!M171</f>
        <v/>
      </c>
      <c r="F178" s="160">
        <f>$B$12*'Transformaciones'!O171</f>
        <v/>
      </c>
      <c r="G178" s="160">
        <f>$B$8*'Transformaciones'!G170</f>
        <v/>
      </c>
      <c r="H178" s="160">
        <f>$B$9*'Transformaciones'!I170</f>
        <v/>
      </c>
      <c r="I178" s="160">
        <f>$B$10*'Transformaciones'!K170</f>
        <v/>
      </c>
      <c r="J178" s="160">
        <f>$B$13*'Transformaciones'!P171</f>
        <v/>
      </c>
      <c r="K178" s="166">
        <f>SUM(C178:J178)</f>
        <v/>
      </c>
      <c r="L178" s="166">
        <f>B178-K178</f>
        <v/>
      </c>
      <c r="M178" s="167">
        <f>'Datos_fuente'!B171</f>
        <v/>
      </c>
      <c r="N178" s="167">
        <f>EXP('Transformaciones'!B170+K178)</f>
        <v/>
      </c>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f>'Transformaciones'!A172</f>
        <v/>
      </c>
      <c r="B179" s="160">
        <f>'Transformaciones'!C172</f>
        <v/>
      </c>
      <c r="C179" s="160">
        <f>$B$6</f>
        <v/>
      </c>
      <c r="D179" s="160">
        <f>$B$7*'Transformaciones'!E172</f>
        <v/>
      </c>
      <c r="E179" s="160">
        <f>$B$11*'Transformaciones'!M172</f>
        <v/>
      </c>
      <c r="F179" s="160">
        <f>$B$12*'Transformaciones'!O172</f>
        <v/>
      </c>
      <c r="G179" s="160">
        <f>$B$8*'Transformaciones'!G171</f>
        <v/>
      </c>
      <c r="H179" s="160">
        <f>$B$9*'Transformaciones'!I171</f>
        <v/>
      </c>
      <c r="I179" s="160">
        <f>$B$10*'Transformaciones'!K171</f>
        <v/>
      </c>
      <c r="J179" s="160">
        <f>$B$13*'Transformaciones'!P172</f>
        <v/>
      </c>
      <c r="K179" s="166">
        <f>SUM(C179:J179)</f>
        <v/>
      </c>
      <c r="L179" s="166">
        <f>B179-K179</f>
        <v/>
      </c>
      <c r="M179" s="167">
        <f>'Datos_fuente'!B172</f>
        <v/>
      </c>
      <c r="N179" s="167">
        <f>EXP('Transformaciones'!B171+K179)</f>
        <v/>
      </c>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f>'Transformaciones'!A173</f>
        <v/>
      </c>
      <c r="B180" s="160">
        <f>'Transformaciones'!C173</f>
        <v/>
      </c>
      <c r="C180" s="160">
        <f>$B$6</f>
        <v/>
      </c>
      <c r="D180" s="160">
        <f>$B$7*'Transformaciones'!E173</f>
        <v/>
      </c>
      <c r="E180" s="160">
        <f>$B$11*'Transformaciones'!M173</f>
        <v/>
      </c>
      <c r="F180" s="160">
        <f>$B$12*'Transformaciones'!O173</f>
        <v/>
      </c>
      <c r="G180" s="160">
        <f>$B$8*'Transformaciones'!G172</f>
        <v/>
      </c>
      <c r="H180" s="160">
        <f>$B$9*'Transformaciones'!I172</f>
        <v/>
      </c>
      <c r="I180" s="160">
        <f>$B$10*'Transformaciones'!K172</f>
        <v/>
      </c>
      <c r="J180" s="160">
        <f>$B$13*'Transformaciones'!P173</f>
        <v/>
      </c>
      <c r="K180" s="166">
        <f>SUM(C180:J180)</f>
        <v/>
      </c>
      <c r="L180" s="166">
        <f>B180-K180</f>
        <v/>
      </c>
      <c r="M180" s="167">
        <f>'Datos_fuente'!B173</f>
        <v/>
      </c>
      <c r="N180" s="167">
        <f>EXP('Transformaciones'!B172+K180)</f>
        <v/>
      </c>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f>'Transformaciones'!A174</f>
        <v/>
      </c>
      <c r="B181" s="160">
        <f>'Transformaciones'!C174</f>
        <v/>
      </c>
      <c r="C181" s="160">
        <f>$B$6</f>
        <v/>
      </c>
      <c r="D181" s="160">
        <f>$B$7*'Transformaciones'!E174</f>
        <v/>
      </c>
      <c r="E181" s="160">
        <f>$B$11*'Transformaciones'!M174</f>
        <v/>
      </c>
      <c r="F181" s="160">
        <f>$B$12*'Transformaciones'!O174</f>
        <v/>
      </c>
      <c r="G181" s="160">
        <f>$B$8*'Transformaciones'!G173</f>
        <v/>
      </c>
      <c r="H181" s="160">
        <f>$B$9*'Transformaciones'!I173</f>
        <v/>
      </c>
      <c r="I181" s="160">
        <f>$B$10*'Transformaciones'!K173</f>
        <v/>
      </c>
      <c r="J181" s="160">
        <f>$B$13*'Transformaciones'!P174</f>
        <v/>
      </c>
      <c r="K181" s="166">
        <f>SUM(C181:J181)</f>
        <v/>
      </c>
      <c r="L181" s="166">
        <f>B181-K181</f>
        <v/>
      </c>
      <c r="M181" s="167">
        <f>'Datos_fuente'!B174</f>
        <v/>
      </c>
      <c r="N181" s="167">
        <f>EXP('Transformaciones'!B173+K181)</f>
        <v/>
      </c>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f>'Transformaciones'!A175</f>
        <v/>
      </c>
      <c r="B182" s="160">
        <f>'Transformaciones'!C175</f>
        <v/>
      </c>
      <c r="C182" s="160">
        <f>$B$6</f>
        <v/>
      </c>
      <c r="D182" s="160">
        <f>$B$7*'Transformaciones'!E175</f>
        <v/>
      </c>
      <c r="E182" s="160">
        <f>$B$11*'Transformaciones'!M175</f>
        <v/>
      </c>
      <c r="F182" s="160">
        <f>$B$12*'Transformaciones'!O175</f>
        <v/>
      </c>
      <c r="G182" s="160">
        <f>$B$8*'Transformaciones'!G174</f>
        <v/>
      </c>
      <c r="H182" s="160">
        <f>$B$9*'Transformaciones'!I174</f>
        <v/>
      </c>
      <c r="I182" s="160">
        <f>$B$10*'Transformaciones'!K174</f>
        <v/>
      </c>
      <c r="J182" s="160">
        <f>$B$13*'Transformaciones'!P175</f>
        <v/>
      </c>
      <c r="K182" s="166">
        <f>SUM(C182:J182)</f>
        <v/>
      </c>
      <c r="L182" s="166">
        <f>B182-K182</f>
        <v/>
      </c>
      <c r="M182" s="167">
        <f>'Datos_fuente'!B175</f>
        <v/>
      </c>
      <c r="N182" s="167">
        <f>EXP('Transformaciones'!B174+K182)</f>
        <v/>
      </c>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f>'Transformaciones'!A176</f>
        <v/>
      </c>
      <c r="B183" s="160">
        <f>'Transformaciones'!C176</f>
        <v/>
      </c>
      <c r="C183" s="160">
        <f>$B$6</f>
        <v/>
      </c>
      <c r="D183" s="160">
        <f>$B$7*'Transformaciones'!E176</f>
        <v/>
      </c>
      <c r="E183" s="160">
        <f>$B$11*'Transformaciones'!M176</f>
        <v/>
      </c>
      <c r="F183" s="160">
        <f>$B$12*'Transformaciones'!O176</f>
        <v/>
      </c>
      <c r="G183" s="160">
        <f>$B$8*'Transformaciones'!G175</f>
        <v/>
      </c>
      <c r="H183" s="160">
        <f>$B$9*'Transformaciones'!I175</f>
        <v/>
      </c>
      <c r="I183" s="160">
        <f>$B$10*'Transformaciones'!K175</f>
        <v/>
      </c>
      <c r="J183" s="160">
        <f>$B$13*'Transformaciones'!P176</f>
        <v/>
      </c>
      <c r="K183" s="166">
        <f>SUM(C183:J183)</f>
        <v/>
      </c>
      <c r="L183" s="166">
        <f>B183-K183</f>
        <v/>
      </c>
      <c r="M183" s="167">
        <f>'Datos_fuente'!B176</f>
        <v/>
      </c>
      <c r="N183" s="167">
        <f>EXP('Transformaciones'!B175+K183)</f>
        <v/>
      </c>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f>'Transformaciones'!A177</f>
        <v/>
      </c>
      <c r="B184" s="160">
        <f>'Transformaciones'!C177</f>
        <v/>
      </c>
      <c r="C184" s="160">
        <f>$B$6</f>
        <v/>
      </c>
      <c r="D184" s="160">
        <f>$B$7*'Transformaciones'!E177</f>
        <v/>
      </c>
      <c r="E184" s="160">
        <f>$B$11*'Transformaciones'!M177</f>
        <v/>
      </c>
      <c r="F184" s="160">
        <f>$B$12*'Transformaciones'!O177</f>
        <v/>
      </c>
      <c r="G184" s="160">
        <f>$B$8*'Transformaciones'!G176</f>
        <v/>
      </c>
      <c r="H184" s="160">
        <f>$B$9*'Transformaciones'!I176</f>
        <v/>
      </c>
      <c r="I184" s="160">
        <f>$B$10*'Transformaciones'!K176</f>
        <v/>
      </c>
      <c r="J184" s="160">
        <f>$B$13*'Transformaciones'!P177</f>
        <v/>
      </c>
      <c r="K184" s="166">
        <f>SUM(C184:J184)</f>
        <v/>
      </c>
      <c r="L184" s="166">
        <f>B184-K184</f>
        <v/>
      </c>
      <c r="M184" s="167">
        <f>'Datos_fuente'!B177</f>
        <v/>
      </c>
      <c r="N184" s="167">
        <f>EXP('Transformaciones'!B176+K184)</f>
        <v/>
      </c>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f>'Transformaciones'!A178</f>
        <v/>
      </c>
      <c r="B185" s="160">
        <f>'Transformaciones'!C178</f>
        <v/>
      </c>
      <c r="C185" s="160">
        <f>$B$6</f>
        <v/>
      </c>
      <c r="D185" s="160">
        <f>$B$7*'Transformaciones'!E178</f>
        <v/>
      </c>
      <c r="E185" s="160">
        <f>$B$11*'Transformaciones'!M178</f>
        <v/>
      </c>
      <c r="F185" s="160">
        <f>$B$12*'Transformaciones'!O178</f>
        <v/>
      </c>
      <c r="G185" s="160">
        <f>$B$8*'Transformaciones'!G177</f>
        <v/>
      </c>
      <c r="H185" s="160">
        <f>$B$9*'Transformaciones'!I177</f>
        <v/>
      </c>
      <c r="I185" s="160">
        <f>$B$10*'Transformaciones'!K177</f>
        <v/>
      </c>
      <c r="J185" s="160">
        <f>$B$13*'Transformaciones'!P178</f>
        <v/>
      </c>
      <c r="K185" s="166">
        <f>SUM(C185:J185)</f>
        <v/>
      </c>
      <c r="L185" s="166">
        <f>B185-K185</f>
        <v/>
      </c>
      <c r="M185" s="167">
        <f>'Datos_fuente'!B178</f>
        <v/>
      </c>
      <c r="N185" s="167">
        <f>EXP('Transformaciones'!B177+K185)</f>
        <v/>
      </c>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f>'Transformaciones'!A179</f>
        <v/>
      </c>
      <c r="B186" s="160">
        <f>'Transformaciones'!C179</f>
        <v/>
      </c>
      <c r="C186" s="160">
        <f>$B$6</f>
        <v/>
      </c>
      <c r="D186" s="160">
        <f>$B$7*'Transformaciones'!E179</f>
        <v/>
      </c>
      <c r="E186" s="160">
        <f>$B$11*'Transformaciones'!M179</f>
        <v/>
      </c>
      <c r="F186" s="160">
        <f>$B$12*'Transformaciones'!O179</f>
        <v/>
      </c>
      <c r="G186" s="160">
        <f>$B$8*'Transformaciones'!G178</f>
        <v/>
      </c>
      <c r="H186" s="160">
        <f>$B$9*'Transformaciones'!I178</f>
        <v/>
      </c>
      <c r="I186" s="160">
        <f>$B$10*'Transformaciones'!K178</f>
        <v/>
      </c>
      <c r="J186" s="160">
        <f>$B$13*'Transformaciones'!P179</f>
        <v/>
      </c>
      <c r="K186" s="166">
        <f>SUM(C186:J186)</f>
        <v/>
      </c>
      <c r="L186" s="166">
        <f>B186-K186</f>
        <v/>
      </c>
      <c r="M186" s="167">
        <f>'Datos_fuente'!B179</f>
        <v/>
      </c>
      <c r="N186" s="167">
        <f>EXP('Transformaciones'!B178+K186)</f>
        <v/>
      </c>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f>'Transformaciones'!A180</f>
        <v/>
      </c>
      <c r="B187" s="160">
        <f>'Transformaciones'!C180</f>
        <v/>
      </c>
      <c r="C187" s="160">
        <f>$B$6</f>
        <v/>
      </c>
      <c r="D187" s="160">
        <f>$B$7*'Transformaciones'!E180</f>
        <v/>
      </c>
      <c r="E187" s="160">
        <f>$B$11*'Transformaciones'!M180</f>
        <v/>
      </c>
      <c r="F187" s="160">
        <f>$B$12*'Transformaciones'!O180</f>
        <v/>
      </c>
      <c r="G187" s="160">
        <f>$B$8*'Transformaciones'!G179</f>
        <v/>
      </c>
      <c r="H187" s="160">
        <f>$B$9*'Transformaciones'!I179</f>
        <v/>
      </c>
      <c r="I187" s="160">
        <f>$B$10*'Transformaciones'!K179</f>
        <v/>
      </c>
      <c r="J187" s="160">
        <f>$B$13*'Transformaciones'!P180</f>
        <v/>
      </c>
      <c r="K187" s="166">
        <f>SUM(C187:J187)</f>
        <v/>
      </c>
      <c r="L187" s="166">
        <f>B187-K187</f>
        <v/>
      </c>
      <c r="M187" s="167">
        <f>'Datos_fuente'!B180</f>
        <v/>
      </c>
      <c r="N187" s="167">
        <f>EXP('Transformaciones'!B179+K187)</f>
        <v/>
      </c>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f>'Transformaciones'!A181</f>
        <v/>
      </c>
      <c r="B188" s="160">
        <f>'Transformaciones'!C181</f>
        <v/>
      </c>
      <c r="C188" s="160">
        <f>$B$6</f>
        <v/>
      </c>
      <c r="D188" s="160">
        <f>$B$7*'Transformaciones'!E181</f>
        <v/>
      </c>
      <c r="E188" s="160">
        <f>$B$11*'Transformaciones'!M181</f>
        <v/>
      </c>
      <c r="F188" s="160">
        <f>$B$12*'Transformaciones'!O181</f>
        <v/>
      </c>
      <c r="G188" s="160">
        <f>$B$8*'Transformaciones'!G180</f>
        <v/>
      </c>
      <c r="H188" s="160">
        <f>$B$9*'Transformaciones'!I180</f>
        <v/>
      </c>
      <c r="I188" s="160">
        <f>$B$10*'Transformaciones'!K180</f>
        <v/>
      </c>
      <c r="J188" s="160">
        <f>$B$13*'Transformaciones'!P181</f>
        <v/>
      </c>
      <c r="K188" s="166">
        <f>SUM(C188:J188)</f>
        <v/>
      </c>
      <c r="L188" s="166">
        <f>B188-K188</f>
        <v/>
      </c>
      <c r="M188" s="167">
        <f>'Datos_fuente'!B181</f>
        <v/>
      </c>
      <c r="N188" s="167">
        <f>EXP('Transformaciones'!B180+K188)</f>
        <v/>
      </c>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f>'Transformaciones'!A182</f>
        <v/>
      </c>
      <c r="B189" s="160">
        <f>'Transformaciones'!C182</f>
        <v/>
      </c>
      <c r="C189" s="160">
        <f>$B$6</f>
        <v/>
      </c>
      <c r="D189" s="160">
        <f>$B$7*'Transformaciones'!E182</f>
        <v/>
      </c>
      <c r="E189" s="160">
        <f>$B$11*'Transformaciones'!M182</f>
        <v/>
      </c>
      <c r="F189" s="160">
        <f>$B$12*'Transformaciones'!O182</f>
        <v/>
      </c>
      <c r="G189" s="160">
        <f>$B$8*'Transformaciones'!G181</f>
        <v/>
      </c>
      <c r="H189" s="160">
        <f>$B$9*'Transformaciones'!I181</f>
        <v/>
      </c>
      <c r="I189" s="160">
        <f>$B$10*'Transformaciones'!K181</f>
        <v/>
      </c>
      <c r="J189" s="160">
        <f>$B$13*'Transformaciones'!P182</f>
        <v/>
      </c>
      <c r="K189" s="166">
        <f>SUM(C189:J189)</f>
        <v/>
      </c>
      <c r="L189" s="166">
        <f>B189-K189</f>
        <v/>
      </c>
      <c r="M189" s="167">
        <f>'Datos_fuente'!B182</f>
        <v/>
      </c>
      <c r="N189" s="167">
        <f>EXP('Transformaciones'!B181+K189)</f>
        <v/>
      </c>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f>'Transformaciones'!A183</f>
        <v/>
      </c>
      <c r="B190" s="160">
        <f>'Transformaciones'!C183</f>
        <v/>
      </c>
      <c r="C190" s="160">
        <f>$B$6</f>
        <v/>
      </c>
      <c r="D190" s="160">
        <f>$B$7*'Transformaciones'!E183</f>
        <v/>
      </c>
      <c r="E190" s="160">
        <f>$B$11*'Transformaciones'!M183</f>
        <v/>
      </c>
      <c r="F190" s="160">
        <f>$B$12*'Transformaciones'!O183</f>
        <v/>
      </c>
      <c r="G190" s="160">
        <f>$B$8*'Transformaciones'!G182</f>
        <v/>
      </c>
      <c r="H190" s="160">
        <f>$B$9*'Transformaciones'!I182</f>
        <v/>
      </c>
      <c r="I190" s="160">
        <f>$B$10*'Transformaciones'!K182</f>
        <v/>
      </c>
      <c r="J190" s="160">
        <f>$B$13*'Transformaciones'!P183</f>
        <v/>
      </c>
      <c r="K190" s="166">
        <f>SUM(C190:J190)</f>
        <v/>
      </c>
      <c r="L190" s="166">
        <f>B190-K190</f>
        <v/>
      </c>
      <c r="M190" s="167">
        <f>'Datos_fuente'!B183</f>
        <v/>
      </c>
      <c r="N190" s="167">
        <f>EXP('Transformaciones'!B182+K190)</f>
        <v/>
      </c>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f>'Transformaciones'!A184</f>
        <v/>
      </c>
      <c r="B191" s="160">
        <f>'Transformaciones'!C184</f>
        <v/>
      </c>
      <c r="C191" s="160">
        <f>$B$6</f>
        <v/>
      </c>
      <c r="D191" s="160">
        <f>$B$7*'Transformaciones'!E184</f>
        <v/>
      </c>
      <c r="E191" s="160">
        <f>$B$11*'Transformaciones'!M184</f>
        <v/>
      </c>
      <c r="F191" s="160">
        <f>$B$12*'Transformaciones'!O184</f>
        <v/>
      </c>
      <c r="G191" s="160">
        <f>$B$8*'Transformaciones'!G183</f>
        <v/>
      </c>
      <c r="H191" s="160">
        <f>$B$9*'Transformaciones'!I183</f>
        <v/>
      </c>
      <c r="I191" s="160">
        <f>$B$10*'Transformaciones'!K183</f>
        <v/>
      </c>
      <c r="J191" s="160">
        <f>$B$13*'Transformaciones'!P184</f>
        <v/>
      </c>
      <c r="K191" s="166">
        <f>SUM(C191:J191)</f>
        <v/>
      </c>
      <c r="L191" s="166">
        <f>B191-K191</f>
        <v/>
      </c>
      <c r="M191" s="167">
        <f>'Datos_fuente'!B184</f>
        <v/>
      </c>
      <c r="N191" s="167">
        <f>EXP('Transformaciones'!B183+K191)</f>
        <v/>
      </c>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f>'Transformaciones'!A185</f>
        <v/>
      </c>
      <c r="B192" s="160">
        <f>'Transformaciones'!C185</f>
        <v/>
      </c>
      <c r="C192" s="160">
        <f>$B$6</f>
        <v/>
      </c>
      <c r="D192" s="160">
        <f>$B$7*'Transformaciones'!E185</f>
        <v/>
      </c>
      <c r="E192" s="160">
        <f>$B$11*'Transformaciones'!M185</f>
        <v/>
      </c>
      <c r="F192" s="160">
        <f>$B$12*'Transformaciones'!O185</f>
        <v/>
      </c>
      <c r="G192" s="160">
        <f>$B$8*'Transformaciones'!G184</f>
        <v/>
      </c>
      <c r="H192" s="160">
        <f>$B$9*'Transformaciones'!I184</f>
        <v/>
      </c>
      <c r="I192" s="160">
        <f>$B$10*'Transformaciones'!K184</f>
        <v/>
      </c>
      <c r="J192" s="160">
        <f>$B$13*'Transformaciones'!P185</f>
        <v/>
      </c>
      <c r="K192" s="166">
        <f>SUM(C192:J192)</f>
        <v/>
      </c>
      <c r="L192" s="166">
        <f>B192-K192</f>
        <v/>
      </c>
      <c r="M192" s="167">
        <f>'Datos_fuente'!B185</f>
        <v/>
      </c>
      <c r="N192" s="167">
        <f>EXP('Transformaciones'!B184+K192)</f>
        <v/>
      </c>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f>'Transformaciones'!A186</f>
        <v/>
      </c>
      <c r="B193" s="160">
        <f>'Transformaciones'!C186</f>
        <v/>
      </c>
      <c r="C193" s="160">
        <f>$B$6</f>
        <v/>
      </c>
      <c r="D193" s="160">
        <f>$B$7*'Transformaciones'!E186</f>
        <v/>
      </c>
      <c r="E193" s="160">
        <f>$B$11*'Transformaciones'!M186</f>
        <v/>
      </c>
      <c r="F193" s="160">
        <f>$B$12*'Transformaciones'!O186</f>
        <v/>
      </c>
      <c r="G193" s="160">
        <f>$B$8*'Transformaciones'!G185</f>
        <v/>
      </c>
      <c r="H193" s="160">
        <f>$B$9*'Transformaciones'!I185</f>
        <v/>
      </c>
      <c r="I193" s="160">
        <f>$B$10*'Transformaciones'!K185</f>
        <v/>
      </c>
      <c r="J193" s="160">
        <f>$B$13*'Transformaciones'!P186</f>
        <v/>
      </c>
      <c r="K193" s="166">
        <f>SUM(C193:J193)</f>
        <v/>
      </c>
      <c r="L193" s="166">
        <f>B193-K193</f>
        <v/>
      </c>
      <c r="M193" s="167">
        <f>'Datos_fuente'!B186</f>
        <v/>
      </c>
      <c r="N193" s="167">
        <f>EXP('Transformaciones'!B185+K193)</f>
        <v/>
      </c>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f>'Transformaciones'!A187</f>
        <v/>
      </c>
      <c r="B194" s="160">
        <f>'Transformaciones'!C187</f>
        <v/>
      </c>
      <c r="C194" s="160">
        <f>$B$6</f>
        <v/>
      </c>
      <c r="D194" s="160">
        <f>$B$7*'Transformaciones'!E187</f>
        <v/>
      </c>
      <c r="E194" s="160">
        <f>$B$11*'Transformaciones'!M187</f>
        <v/>
      </c>
      <c r="F194" s="160">
        <f>$B$12*'Transformaciones'!O187</f>
        <v/>
      </c>
      <c r="G194" s="160">
        <f>$B$8*'Transformaciones'!G186</f>
        <v/>
      </c>
      <c r="H194" s="160">
        <f>$B$9*'Transformaciones'!I186</f>
        <v/>
      </c>
      <c r="I194" s="160">
        <f>$B$10*'Transformaciones'!K186</f>
        <v/>
      </c>
      <c r="J194" s="160">
        <f>$B$13*'Transformaciones'!P187</f>
        <v/>
      </c>
      <c r="K194" s="166">
        <f>SUM(C194:J194)</f>
        <v/>
      </c>
      <c r="L194" s="166">
        <f>B194-K194</f>
        <v/>
      </c>
      <c r="M194" s="167">
        <f>'Datos_fuente'!B187</f>
        <v/>
      </c>
      <c r="N194" s="167">
        <f>EXP('Transformaciones'!B186+K194)</f>
        <v/>
      </c>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f>'Transformaciones'!A188</f>
        <v/>
      </c>
      <c r="B195" s="160">
        <f>'Transformaciones'!C188</f>
        <v/>
      </c>
      <c r="C195" s="160">
        <f>$B$6</f>
        <v/>
      </c>
      <c r="D195" s="160">
        <f>$B$7*'Transformaciones'!E188</f>
        <v/>
      </c>
      <c r="E195" s="160">
        <f>$B$11*'Transformaciones'!M188</f>
        <v/>
      </c>
      <c r="F195" s="160">
        <f>$B$12*'Transformaciones'!O188</f>
        <v/>
      </c>
      <c r="G195" s="160">
        <f>$B$8*'Transformaciones'!G187</f>
        <v/>
      </c>
      <c r="H195" s="160">
        <f>$B$9*'Transformaciones'!I187</f>
        <v/>
      </c>
      <c r="I195" s="160">
        <f>$B$10*'Transformaciones'!K187</f>
        <v/>
      </c>
      <c r="J195" s="160">
        <f>$B$13*'Transformaciones'!P188</f>
        <v/>
      </c>
      <c r="K195" s="166">
        <f>SUM(C195:J195)</f>
        <v/>
      </c>
      <c r="L195" s="166">
        <f>B195-K195</f>
        <v/>
      </c>
      <c r="M195" s="167">
        <f>'Datos_fuente'!B188</f>
        <v/>
      </c>
      <c r="N195" s="167">
        <f>EXP('Transformaciones'!B187+K195)</f>
        <v/>
      </c>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f>'Transformaciones'!A189</f>
        <v/>
      </c>
      <c r="B196" s="160">
        <f>'Transformaciones'!C189</f>
        <v/>
      </c>
      <c r="C196" s="160">
        <f>$B$6</f>
        <v/>
      </c>
      <c r="D196" s="160">
        <f>$B$7*'Transformaciones'!E189</f>
        <v/>
      </c>
      <c r="E196" s="160">
        <f>$B$11*'Transformaciones'!M189</f>
        <v/>
      </c>
      <c r="F196" s="160">
        <f>$B$12*'Transformaciones'!O189</f>
        <v/>
      </c>
      <c r="G196" s="160">
        <f>$B$8*'Transformaciones'!G188</f>
        <v/>
      </c>
      <c r="H196" s="160">
        <f>$B$9*'Transformaciones'!I188</f>
        <v/>
      </c>
      <c r="I196" s="160">
        <f>$B$10*'Transformaciones'!K188</f>
        <v/>
      </c>
      <c r="J196" s="160">
        <f>$B$13*'Transformaciones'!P189</f>
        <v/>
      </c>
      <c r="K196" s="166">
        <f>SUM(C196:J196)</f>
        <v/>
      </c>
      <c r="L196" s="166">
        <f>B196-K196</f>
        <v/>
      </c>
      <c r="M196" s="167">
        <f>'Datos_fuente'!B189</f>
        <v/>
      </c>
      <c r="N196" s="167">
        <f>EXP('Transformaciones'!B188+K196)</f>
        <v/>
      </c>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f>'Transformaciones'!A190</f>
        <v/>
      </c>
      <c r="B197" s="160">
        <f>'Transformaciones'!C190</f>
        <v/>
      </c>
      <c r="C197" s="160">
        <f>$B$6</f>
        <v/>
      </c>
      <c r="D197" s="160">
        <f>$B$7*'Transformaciones'!E190</f>
        <v/>
      </c>
      <c r="E197" s="160">
        <f>$B$11*'Transformaciones'!M190</f>
        <v/>
      </c>
      <c r="F197" s="160">
        <f>$B$12*'Transformaciones'!O190</f>
        <v/>
      </c>
      <c r="G197" s="160">
        <f>$B$8*'Transformaciones'!G189</f>
        <v/>
      </c>
      <c r="H197" s="160">
        <f>$B$9*'Transformaciones'!I189</f>
        <v/>
      </c>
      <c r="I197" s="160">
        <f>$B$10*'Transformaciones'!K189</f>
        <v/>
      </c>
      <c r="J197" s="160">
        <f>$B$13*'Transformaciones'!P190</f>
        <v/>
      </c>
      <c r="K197" s="166">
        <f>SUM(C197:J197)</f>
        <v/>
      </c>
      <c r="L197" s="166">
        <f>B197-K197</f>
        <v/>
      </c>
      <c r="M197" s="167">
        <f>'Datos_fuente'!B190</f>
        <v/>
      </c>
      <c r="N197" s="167">
        <f>EXP('Transformaciones'!B189+K197)</f>
        <v/>
      </c>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f>'Transformaciones'!A191</f>
        <v/>
      </c>
      <c r="B198" s="160">
        <f>'Transformaciones'!C191</f>
        <v/>
      </c>
      <c r="C198" s="160">
        <f>$B$6</f>
        <v/>
      </c>
      <c r="D198" s="160">
        <f>$B$7*'Transformaciones'!E191</f>
        <v/>
      </c>
      <c r="E198" s="160">
        <f>$B$11*'Transformaciones'!M191</f>
        <v/>
      </c>
      <c r="F198" s="160">
        <f>$B$12*'Transformaciones'!O191</f>
        <v/>
      </c>
      <c r="G198" s="160">
        <f>$B$8*'Transformaciones'!G190</f>
        <v/>
      </c>
      <c r="H198" s="160">
        <f>$B$9*'Transformaciones'!I190</f>
        <v/>
      </c>
      <c r="I198" s="160">
        <f>$B$10*'Transformaciones'!K190</f>
        <v/>
      </c>
      <c r="J198" s="160">
        <f>$B$13*'Transformaciones'!P191</f>
        <v/>
      </c>
      <c r="K198" s="166">
        <f>SUM(C198:J198)</f>
        <v/>
      </c>
      <c r="L198" s="166">
        <f>B198-K198</f>
        <v/>
      </c>
      <c r="M198" s="167">
        <f>'Datos_fuente'!B191</f>
        <v/>
      </c>
      <c r="N198" s="167">
        <f>EXP('Transformaciones'!B190+K198)</f>
        <v/>
      </c>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f>'Transformaciones'!A192</f>
        <v/>
      </c>
      <c r="B199" s="160">
        <f>'Transformaciones'!C192</f>
        <v/>
      </c>
      <c r="C199" s="160">
        <f>$B$6</f>
        <v/>
      </c>
      <c r="D199" s="160">
        <f>$B$7*'Transformaciones'!E192</f>
        <v/>
      </c>
      <c r="E199" s="160">
        <f>$B$11*'Transformaciones'!M192</f>
        <v/>
      </c>
      <c r="F199" s="160">
        <f>$B$12*'Transformaciones'!O192</f>
        <v/>
      </c>
      <c r="G199" s="160">
        <f>$B$8*'Transformaciones'!G191</f>
        <v/>
      </c>
      <c r="H199" s="160">
        <f>$B$9*'Transformaciones'!I191</f>
        <v/>
      </c>
      <c r="I199" s="160">
        <f>$B$10*'Transformaciones'!K191</f>
        <v/>
      </c>
      <c r="J199" s="160">
        <f>$B$13*'Transformaciones'!P192</f>
        <v/>
      </c>
      <c r="K199" s="166">
        <f>SUM(C199:J199)</f>
        <v/>
      </c>
      <c r="L199" s="166">
        <f>B199-K199</f>
        <v/>
      </c>
      <c r="M199" s="167">
        <f>'Datos_fuente'!B192</f>
        <v/>
      </c>
      <c r="N199" s="167">
        <f>EXP('Transformaciones'!B191+K199)</f>
        <v/>
      </c>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f>'Transformaciones'!A193</f>
        <v/>
      </c>
      <c r="B200" s="160">
        <f>'Transformaciones'!C193</f>
        <v/>
      </c>
      <c r="C200" s="160">
        <f>$B$6</f>
        <v/>
      </c>
      <c r="D200" s="160">
        <f>$B$7*'Transformaciones'!E193</f>
        <v/>
      </c>
      <c r="E200" s="160">
        <f>$B$11*'Transformaciones'!M193</f>
        <v/>
      </c>
      <c r="F200" s="160">
        <f>$B$12*'Transformaciones'!O193</f>
        <v/>
      </c>
      <c r="G200" s="160">
        <f>$B$8*'Transformaciones'!G192</f>
        <v/>
      </c>
      <c r="H200" s="160">
        <f>$B$9*'Transformaciones'!I192</f>
        <v/>
      </c>
      <c r="I200" s="160">
        <f>$B$10*'Transformaciones'!K192</f>
        <v/>
      </c>
      <c r="J200" s="160">
        <f>$B$13*'Transformaciones'!P193</f>
        <v/>
      </c>
      <c r="K200" s="166">
        <f>SUM(C200:J200)</f>
        <v/>
      </c>
      <c r="L200" s="166">
        <f>B200-K200</f>
        <v/>
      </c>
      <c r="M200" s="167">
        <f>'Datos_fuente'!B193</f>
        <v/>
      </c>
      <c r="N200" s="167">
        <f>EXP('Transformaciones'!B192+K200)</f>
        <v/>
      </c>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f>'Transformaciones'!A194</f>
        <v/>
      </c>
      <c r="B201" s="160">
        <f>'Transformaciones'!C194</f>
        <v/>
      </c>
      <c r="C201" s="160">
        <f>$B$6</f>
        <v/>
      </c>
      <c r="D201" s="160">
        <f>$B$7*'Transformaciones'!E194</f>
        <v/>
      </c>
      <c r="E201" s="160">
        <f>$B$11*'Transformaciones'!M194</f>
        <v/>
      </c>
      <c r="F201" s="160">
        <f>$B$12*'Transformaciones'!O194</f>
        <v/>
      </c>
      <c r="G201" s="160">
        <f>$B$8*'Transformaciones'!G193</f>
        <v/>
      </c>
      <c r="H201" s="160">
        <f>$B$9*'Transformaciones'!I193</f>
        <v/>
      </c>
      <c r="I201" s="160">
        <f>$B$10*'Transformaciones'!K193</f>
        <v/>
      </c>
      <c r="J201" s="160">
        <f>$B$13*'Transformaciones'!P194</f>
        <v/>
      </c>
      <c r="K201" s="166">
        <f>SUM(C201:J201)</f>
        <v/>
      </c>
      <c r="L201" s="166">
        <f>B201-K201</f>
        <v/>
      </c>
      <c r="M201" s="167">
        <f>'Datos_fuente'!B194</f>
        <v/>
      </c>
      <c r="N201" s="167">
        <f>EXP('Transformaciones'!B193+K201)</f>
        <v/>
      </c>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f>'Transformaciones'!A195</f>
        <v/>
      </c>
      <c r="B202" s="160">
        <f>'Transformaciones'!C195</f>
        <v/>
      </c>
      <c r="C202" s="160">
        <f>$B$6</f>
        <v/>
      </c>
      <c r="D202" s="160">
        <f>$B$7*'Transformaciones'!E195</f>
        <v/>
      </c>
      <c r="E202" s="160">
        <f>$B$11*'Transformaciones'!M195</f>
        <v/>
      </c>
      <c r="F202" s="160">
        <f>$B$12*'Transformaciones'!O195</f>
        <v/>
      </c>
      <c r="G202" s="160">
        <f>$B$8*'Transformaciones'!G194</f>
        <v/>
      </c>
      <c r="H202" s="160">
        <f>$B$9*'Transformaciones'!I194</f>
        <v/>
      </c>
      <c r="I202" s="160">
        <f>$B$10*'Transformaciones'!K194</f>
        <v/>
      </c>
      <c r="J202" s="160">
        <f>$B$13*'Transformaciones'!P195</f>
        <v/>
      </c>
      <c r="K202" s="166">
        <f>SUM(C202:J202)</f>
        <v/>
      </c>
      <c r="L202" s="166">
        <f>B202-K202</f>
        <v/>
      </c>
      <c r="M202" s="167">
        <f>'Datos_fuente'!B195</f>
        <v/>
      </c>
      <c r="N202" s="167">
        <f>EXP('Transformaciones'!B194+K202)</f>
        <v/>
      </c>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f>'Transformaciones'!A196</f>
        <v/>
      </c>
      <c r="B203" s="160">
        <f>'Transformaciones'!C196</f>
        <v/>
      </c>
      <c r="C203" s="160">
        <f>$B$6</f>
        <v/>
      </c>
      <c r="D203" s="160">
        <f>$B$7*'Transformaciones'!E196</f>
        <v/>
      </c>
      <c r="E203" s="160">
        <f>$B$11*'Transformaciones'!M196</f>
        <v/>
      </c>
      <c r="F203" s="160">
        <f>$B$12*'Transformaciones'!O196</f>
        <v/>
      </c>
      <c r="G203" s="160">
        <f>$B$8*'Transformaciones'!G195</f>
        <v/>
      </c>
      <c r="H203" s="160">
        <f>$B$9*'Transformaciones'!I195</f>
        <v/>
      </c>
      <c r="I203" s="160">
        <f>$B$10*'Transformaciones'!K195</f>
        <v/>
      </c>
      <c r="J203" s="160">
        <f>$B$13*'Transformaciones'!P196</f>
        <v/>
      </c>
      <c r="K203" s="166">
        <f>SUM(C203:J203)</f>
        <v/>
      </c>
      <c r="L203" s="166">
        <f>B203-K203</f>
        <v/>
      </c>
      <c r="M203" s="167">
        <f>'Datos_fuente'!B196</f>
        <v/>
      </c>
      <c r="N203" s="167">
        <f>EXP('Transformaciones'!B195+K203)</f>
        <v/>
      </c>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f>'Transformaciones'!A197</f>
        <v/>
      </c>
      <c r="B204" s="160">
        <f>'Transformaciones'!C197</f>
        <v/>
      </c>
      <c r="C204" s="160">
        <f>$B$6</f>
        <v/>
      </c>
      <c r="D204" s="160">
        <f>$B$7*'Transformaciones'!E197</f>
        <v/>
      </c>
      <c r="E204" s="160">
        <f>$B$11*'Transformaciones'!M197</f>
        <v/>
      </c>
      <c r="F204" s="160">
        <f>$B$12*'Transformaciones'!O197</f>
        <v/>
      </c>
      <c r="G204" s="160">
        <f>$B$8*'Transformaciones'!G196</f>
        <v/>
      </c>
      <c r="H204" s="160">
        <f>$B$9*'Transformaciones'!I196</f>
        <v/>
      </c>
      <c r="I204" s="160">
        <f>$B$10*'Transformaciones'!K196</f>
        <v/>
      </c>
      <c r="J204" s="160">
        <f>$B$13*'Transformaciones'!P197</f>
        <v/>
      </c>
      <c r="K204" s="166">
        <f>SUM(C204:J204)</f>
        <v/>
      </c>
      <c r="L204" s="166">
        <f>B204-K204</f>
        <v/>
      </c>
      <c r="M204" s="167">
        <f>'Datos_fuente'!B197</f>
        <v/>
      </c>
      <c r="N204" s="167">
        <f>EXP('Transformaciones'!B196+K204)</f>
        <v/>
      </c>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f>'Transformaciones'!A198</f>
        <v/>
      </c>
      <c r="B205" s="160">
        <f>'Transformaciones'!C198</f>
        <v/>
      </c>
      <c r="C205" s="160">
        <f>$B$6</f>
        <v/>
      </c>
      <c r="D205" s="160">
        <f>$B$7*'Transformaciones'!E198</f>
        <v/>
      </c>
      <c r="E205" s="160">
        <f>$B$11*'Transformaciones'!M198</f>
        <v/>
      </c>
      <c r="F205" s="160">
        <f>$B$12*'Transformaciones'!O198</f>
        <v/>
      </c>
      <c r="G205" s="160">
        <f>$B$8*'Transformaciones'!G197</f>
        <v/>
      </c>
      <c r="H205" s="160">
        <f>$B$9*'Transformaciones'!I197</f>
        <v/>
      </c>
      <c r="I205" s="160">
        <f>$B$10*'Transformaciones'!K197</f>
        <v/>
      </c>
      <c r="J205" s="160">
        <f>$B$13*'Transformaciones'!P198</f>
        <v/>
      </c>
      <c r="K205" s="166">
        <f>SUM(C205:J205)</f>
        <v/>
      </c>
      <c r="L205" s="166">
        <f>B205-K205</f>
        <v/>
      </c>
      <c r="M205" s="167">
        <f>'Datos_fuente'!B198</f>
        <v/>
      </c>
      <c r="N205" s="167">
        <f>EXP('Transformaciones'!B197+K205)</f>
        <v/>
      </c>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f>'Transformaciones'!A199</f>
        <v/>
      </c>
      <c r="B206" s="160">
        <f>'Transformaciones'!C199</f>
        <v/>
      </c>
      <c r="C206" s="160">
        <f>$B$6</f>
        <v/>
      </c>
      <c r="D206" s="160">
        <f>$B$7*'Transformaciones'!E199</f>
        <v/>
      </c>
      <c r="E206" s="160">
        <f>$B$11*'Transformaciones'!M199</f>
        <v/>
      </c>
      <c r="F206" s="160">
        <f>$B$12*'Transformaciones'!O199</f>
        <v/>
      </c>
      <c r="G206" s="160">
        <f>$B$8*'Transformaciones'!G198</f>
        <v/>
      </c>
      <c r="H206" s="160">
        <f>$B$9*'Transformaciones'!I198</f>
        <v/>
      </c>
      <c r="I206" s="160">
        <f>$B$10*'Transformaciones'!K198</f>
        <v/>
      </c>
      <c r="J206" s="160">
        <f>$B$13*'Transformaciones'!P199</f>
        <v/>
      </c>
      <c r="K206" s="166">
        <f>SUM(C206:J206)</f>
        <v/>
      </c>
      <c r="L206" s="166">
        <f>B206-K206</f>
        <v/>
      </c>
      <c r="M206" s="167">
        <f>'Datos_fuente'!B199</f>
        <v/>
      </c>
      <c r="N206" s="167">
        <f>EXP('Transformaciones'!B198+K206)</f>
        <v/>
      </c>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f>'Transformaciones'!A200</f>
        <v/>
      </c>
      <c r="B207" s="160">
        <f>'Transformaciones'!C200</f>
        <v/>
      </c>
      <c r="C207" s="160">
        <f>$B$6</f>
        <v/>
      </c>
      <c r="D207" s="160">
        <f>$B$7*'Transformaciones'!E200</f>
        <v/>
      </c>
      <c r="E207" s="160">
        <f>$B$11*'Transformaciones'!M200</f>
        <v/>
      </c>
      <c r="F207" s="160">
        <f>$B$12*'Transformaciones'!O200</f>
        <v/>
      </c>
      <c r="G207" s="160">
        <f>$B$8*'Transformaciones'!G199</f>
        <v/>
      </c>
      <c r="H207" s="160">
        <f>$B$9*'Transformaciones'!I199</f>
        <v/>
      </c>
      <c r="I207" s="160">
        <f>$B$10*'Transformaciones'!K199</f>
        <v/>
      </c>
      <c r="J207" s="160">
        <f>$B$13*'Transformaciones'!P200</f>
        <v/>
      </c>
      <c r="K207" s="166">
        <f>SUM(C207:J207)</f>
        <v/>
      </c>
      <c r="L207" s="166">
        <f>B207-K207</f>
        <v/>
      </c>
      <c r="M207" s="167">
        <f>'Datos_fuente'!B200</f>
        <v/>
      </c>
      <c r="N207" s="167">
        <f>EXP('Transformaciones'!B199+K207)</f>
        <v/>
      </c>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f>'Transformaciones'!A201</f>
        <v/>
      </c>
      <c r="B208" s="160">
        <f>'Transformaciones'!C201</f>
        <v/>
      </c>
      <c r="C208" s="160">
        <f>$B$6</f>
        <v/>
      </c>
      <c r="D208" s="160">
        <f>$B$7*'Transformaciones'!E201</f>
        <v/>
      </c>
      <c r="E208" s="160">
        <f>$B$11*'Transformaciones'!M201</f>
        <v/>
      </c>
      <c r="F208" s="160">
        <f>$B$12*'Transformaciones'!O201</f>
        <v/>
      </c>
      <c r="G208" s="160">
        <f>$B$8*'Transformaciones'!G200</f>
        <v/>
      </c>
      <c r="H208" s="160">
        <f>$B$9*'Transformaciones'!I200</f>
        <v/>
      </c>
      <c r="I208" s="160">
        <f>$B$10*'Transformaciones'!K200</f>
        <v/>
      </c>
      <c r="J208" s="160">
        <f>$B$13*'Transformaciones'!P201</f>
        <v/>
      </c>
      <c r="K208" s="166">
        <f>SUM(C208:J208)</f>
        <v/>
      </c>
      <c r="L208" s="166">
        <f>B208-K208</f>
        <v/>
      </c>
      <c r="M208" s="167">
        <f>'Datos_fuente'!B201</f>
        <v/>
      </c>
      <c r="N208" s="167">
        <f>EXP('Transformaciones'!B200+K208)</f>
        <v/>
      </c>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f>'Transformaciones'!A202</f>
        <v/>
      </c>
      <c r="B209" s="160">
        <f>'Transformaciones'!C202</f>
        <v/>
      </c>
      <c r="C209" s="160">
        <f>$B$6</f>
        <v/>
      </c>
      <c r="D209" s="160">
        <f>$B$7*'Transformaciones'!E202</f>
        <v/>
      </c>
      <c r="E209" s="160">
        <f>$B$11*'Transformaciones'!M202</f>
        <v/>
      </c>
      <c r="F209" s="160">
        <f>$B$12*'Transformaciones'!O202</f>
        <v/>
      </c>
      <c r="G209" s="160">
        <f>$B$8*'Transformaciones'!G201</f>
        <v/>
      </c>
      <c r="H209" s="160">
        <f>$B$9*'Transformaciones'!I201</f>
        <v/>
      </c>
      <c r="I209" s="160">
        <f>$B$10*'Transformaciones'!K201</f>
        <v/>
      </c>
      <c r="J209" s="160">
        <f>$B$13*'Transformaciones'!P202</f>
        <v/>
      </c>
      <c r="K209" s="166">
        <f>SUM(C209:J209)</f>
        <v/>
      </c>
      <c r="L209" s="166">
        <f>B209-K209</f>
        <v/>
      </c>
      <c r="M209" s="167">
        <f>'Datos_fuente'!B202</f>
        <v/>
      </c>
      <c r="N209" s="167">
        <f>EXP('Transformaciones'!B201+K209)</f>
        <v/>
      </c>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f>'Transformaciones'!A203</f>
        <v/>
      </c>
      <c r="B210" s="160">
        <f>'Transformaciones'!C203</f>
        <v/>
      </c>
      <c r="C210" s="160">
        <f>$B$6</f>
        <v/>
      </c>
      <c r="D210" s="160">
        <f>$B$7*'Transformaciones'!E203</f>
        <v/>
      </c>
      <c r="E210" s="160">
        <f>$B$11*'Transformaciones'!M203</f>
        <v/>
      </c>
      <c r="F210" s="160">
        <f>$B$12*'Transformaciones'!O203</f>
        <v/>
      </c>
      <c r="G210" s="160">
        <f>$B$8*'Transformaciones'!G202</f>
        <v/>
      </c>
      <c r="H210" s="160">
        <f>$B$9*'Transformaciones'!I202</f>
        <v/>
      </c>
      <c r="I210" s="160">
        <f>$B$10*'Transformaciones'!K202</f>
        <v/>
      </c>
      <c r="J210" s="160">
        <f>$B$13*'Transformaciones'!P203</f>
        <v/>
      </c>
      <c r="K210" s="166">
        <f>SUM(C210:J210)</f>
        <v/>
      </c>
      <c r="L210" s="166">
        <f>B210-K210</f>
        <v/>
      </c>
      <c r="M210" s="167">
        <f>'Datos_fuente'!B203</f>
        <v/>
      </c>
      <c r="N210" s="167">
        <f>EXP('Transformaciones'!B202+K210)</f>
        <v/>
      </c>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f>'Transformaciones'!A204</f>
        <v/>
      </c>
      <c r="B211" s="160">
        <f>'Transformaciones'!C204</f>
        <v/>
      </c>
      <c r="C211" s="160">
        <f>$B$6</f>
        <v/>
      </c>
      <c r="D211" s="160">
        <f>$B$7*'Transformaciones'!E204</f>
        <v/>
      </c>
      <c r="E211" s="160">
        <f>$B$11*'Transformaciones'!M204</f>
        <v/>
      </c>
      <c r="F211" s="160">
        <f>$B$12*'Transformaciones'!O204</f>
        <v/>
      </c>
      <c r="G211" s="160">
        <f>$B$8*'Transformaciones'!G203</f>
        <v/>
      </c>
      <c r="H211" s="160">
        <f>$B$9*'Transformaciones'!I203</f>
        <v/>
      </c>
      <c r="I211" s="160">
        <f>$B$10*'Transformaciones'!K203</f>
        <v/>
      </c>
      <c r="J211" s="160">
        <f>$B$13*'Transformaciones'!P204</f>
        <v/>
      </c>
      <c r="K211" s="166">
        <f>SUM(C211:J211)</f>
        <v/>
      </c>
      <c r="L211" s="166">
        <f>B211-K211</f>
        <v/>
      </c>
      <c r="M211" s="167">
        <f>'Datos_fuente'!B204</f>
        <v/>
      </c>
      <c r="N211" s="167">
        <f>EXP('Transformaciones'!B203+K211)</f>
        <v/>
      </c>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f>'Transformaciones'!A205</f>
        <v/>
      </c>
      <c r="B212" s="160">
        <f>'Transformaciones'!C205</f>
        <v/>
      </c>
      <c r="C212" s="160">
        <f>$B$6</f>
        <v/>
      </c>
      <c r="D212" s="160">
        <f>$B$7*'Transformaciones'!E205</f>
        <v/>
      </c>
      <c r="E212" s="160">
        <f>$B$11*'Transformaciones'!M205</f>
        <v/>
      </c>
      <c r="F212" s="160">
        <f>$B$12*'Transformaciones'!O205</f>
        <v/>
      </c>
      <c r="G212" s="160">
        <f>$B$8*'Transformaciones'!G204</f>
        <v/>
      </c>
      <c r="H212" s="160">
        <f>$B$9*'Transformaciones'!I204</f>
        <v/>
      </c>
      <c r="I212" s="160">
        <f>$B$10*'Transformaciones'!K204</f>
        <v/>
      </c>
      <c r="J212" s="160">
        <f>$B$13*'Transformaciones'!P205</f>
        <v/>
      </c>
      <c r="K212" s="166">
        <f>SUM(C212:J212)</f>
        <v/>
      </c>
      <c r="L212" s="166">
        <f>B212-K212</f>
        <v/>
      </c>
      <c r="M212" s="167">
        <f>'Datos_fuente'!B205</f>
        <v/>
      </c>
      <c r="N212" s="167">
        <f>EXP('Transformaciones'!B204+K212)</f>
        <v/>
      </c>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f>'Transformaciones'!A206</f>
        <v/>
      </c>
      <c r="B213" s="160">
        <f>'Transformaciones'!C206</f>
        <v/>
      </c>
      <c r="C213" s="160">
        <f>$B$6</f>
        <v/>
      </c>
      <c r="D213" s="160">
        <f>$B$7*'Transformaciones'!E206</f>
        <v/>
      </c>
      <c r="E213" s="160">
        <f>$B$11*'Transformaciones'!M206</f>
        <v/>
      </c>
      <c r="F213" s="160">
        <f>$B$12*'Transformaciones'!O206</f>
        <v/>
      </c>
      <c r="G213" s="160">
        <f>$B$8*'Transformaciones'!G205</f>
        <v/>
      </c>
      <c r="H213" s="160">
        <f>$B$9*'Transformaciones'!I205</f>
        <v/>
      </c>
      <c r="I213" s="160">
        <f>$B$10*'Transformaciones'!K205</f>
        <v/>
      </c>
      <c r="J213" s="160">
        <f>$B$13*'Transformaciones'!P206</f>
        <v/>
      </c>
      <c r="K213" s="166">
        <f>SUM(C213:J213)</f>
        <v/>
      </c>
      <c r="L213" s="166">
        <f>B213-K213</f>
        <v/>
      </c>
      <c r="M213" s="167">
        <f>'Datos_fuente'!B206</f>
        <v/>
      </c>
      <c r="N213" s="167">
        <f>EXP('Transformaciones'!B205+K213)</f>
        <v/>
      </c>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f>'Transformaciones'!A207</f>
        <v/>
      </c>
      <c r="B214" s="160">
        <f>'Transformaciones'!C207</f>
        <v/>
      </c>
      <c r="C214" s="160">
        <f>$B$6</f>
        <v/>
      </c>
      <c r="D214" s="160">
        <f>$B$7*'Transformaciones'!E207</f>
        <v/>
      </c>
      <c r="E214" s="160">
        <f>$B$11*'Transformaciones'!M207</f>
        <v/>
      </c>
      <c r="F214" s="160">
        <f>$B$12*'Transformaciones'!O207</f>
        <v/>
      </c>
      <c r="G214" s="160">
        <f>$B$8*'Transformaciones'!G206</f>
        <v/>
      </c>
      <c r="H214" s="160">
        <f>$B$9*'Transformaciones'!I206</f>
        <v/>
      </c>
      <c r="I214" s="160">
        <f>$B$10*'Transformaciones'!K206</f>
        <v/>
      </c>
      <c r="J214" s="160">
        <f>$B$13*'Transformaciones'!P207</f>
        <v/>
      </c>
      <c r="K214" s="166">
        <f>SUM(C214:J214)</f>
        <v/>
      </c>
      <c r="L214" s="166">
        <f>B214-K214</f>
        <v/>
      </c>
      <c r="M214" s="167">
        <f>'Datos_fuente'!B207</f>
        <v/>
      </c>
      <c r="N214" s="167">
        <f>EXP('Transformaciones'!B206+K214)</f>
        <v/>
      </c>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f>'Transformaciones'!A208</f>
        <v/>
      </c>
      <c r="B215" s="160">
        <f>'Transformaciones'!C208</f>
        <v/>
      </c>
      <c r="C215" s="160">
        <f>$B$6</f>
        <v/>
      </c>
      <c r="D215" s="160">
        <f>$B$7*'Transformaciones'!E208</f>
        <v/>
      </c>
      <c r="E215" s="160">
        <f>$B$11*'Transformaciones'!M208</f>
        <v/>
      </c>
      <c r="F215" s="160">
        <f>$B$12*'Transformaciones'!O208</f>
        <v/>
      </c>
      <c r="G215" s="160">
        <f>$B$8*'Transformaciones'!G207</f>
        <v/>
      </c>
      <c r="H215" s="160">
        <f>$B$9*'Transformaciones'!I207</f>
        <v/>
      </c>
      <c r="I215" s="160">
        <f>$B$10*'Transformaciones'!K207</f>
        <v/>
      </c>
      <c r="J215" s="160">
        <f>$B$13*'Transformaciones'!P208</f>
        <v/>
      </c>
      <c r="K215" s="166">
        <f>SUM(C215:J215)</f>
        <v/>
      </c>
      <c r="L215" s="166">
        <f>B215-K215</f>
        <v/>
      </c>
      <c r="M215" s="167">
        <f>'Datos_fuente'!B208</f>
        <v/>
      </c>
      <c r="N215" s="167">
        <f>EXP('Transformaciones'!B207+K215)</f>
        <v/>
      </c>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f>'Transformaciones'!A209</f>
        <v/>
      </c>
      <c r="B216" s="160">
        <f>'Transformaciones'!C209</f>
        <v/>
      </c>
      <c r="C216" s="160">
        <f>$B$6</f>
        <v/>
      </c>
      <c r="D216" s="160">
        <f>$B$7*'Transformaciones'!E209</f>
        <v/>
      </c>
      <c r="E216" s="160">
        <f>$B$11*'Transformaciones'!M209</f>
        <v/>
      </c>
      <c r="F216" s="160">
        <f>$B$12*'Transformaciones'!O209</f>
        <v/>
      </c>
      <c r="G216" s="160">
        <f>$B$8*'Transformaciones'!G208</f>
        <v/>
      </c>
      <c r="H216" s="160">
        <f>$B$9*'Transformaciones'!I208</f>
        <v/>
      </c>
      <c r="I216" s="160">
        <f>$B$10*'Transformaciones'!K208</f>
        <v/>
      </c>
      <c r="J216" s="160">
        <f>$B$13*'Transformaciones'!P209</f>
        <v/>
      </c>
      <c r="K216" s="166">
        <f>SUM(C216:J216)</f>
        <v/>
      </c>
      <c r="L216" s="166">
        <f>B216-K216</f>
        <v/>
      </c>
      <c r="M216" s="167">
        <f>'Datos_fuente'!B209</f>
        <v/>
      </c>
      <c r="N216" s="167">
        <f>EXP('Transformaciones'!B208+K216)</f>
        <v/>
      </c>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f>'Transformaciones'!A210</f>
        <v/>
      </c>
      <c r="B217" s="160">
        <f>'Transformaciones'!C210</f>
        <v/>
      </c>
      <c r="C217" s="160">
        <f>$B$6</f>
        <v/>
      </c>
      <c r="D217" s="160">
        <f>$B$7*'Transformaciones'!E210</f>
        <v/>
      </c>
      <c r="E217" s="160">
        <f>$B$11*'Transformaciones'!M210</f>
        <v/>
      </c>
      <c r="F217" s="160">
        <f>$B$12*'Transformaciones'!O210</f>
        <v/>
      </c>
      <c r="G217" s="160">
        <f>$B$8*'Transformaciones'!G209</f>
        <v/>
      </c>
      <c r="H217" s="160">
        <f>$B$9*'Transformaciones'!I209</f>
        <v/>
      </c>
      <c r="I217" s="160">
        <f>$B$10*'Transformaciones'!K209</f>
        <v/>
      </c>
      <c r="J217" s="160">
        <f>$B$13*'Transformaciones'!P210</f>
        <v/>
      </c>
      <c r="K217" s="166">
        <f>SUM(C217:J217)</f>
        <v/>
      </c>
      <c r="L217" s="166">
        <f>B217-K217</f>
        <v/>
      </c>
      <c r="M217" s="167">
        <f>'Datos_fuente'!B210</f>
        <v/>
      </c>
      <c r="N217" s="167">
        <f>EXP('Transformaciones'!B209+K217)</f>
        <v/>
      </c>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f>'Transformaciones'!A211</f>
        <v/>
      </c>
      <c r="B218" s="160">
        <f>'Transformaciones'!C211</f>
        <v/>
      </c>
      <c r="C218" s="160">
        <f>$B$6</f>
        <v/>
      </c>
      <c r="D218" s="160">
        <f>$B$7*'Transformaciones'!E211</f>
        <v/>
      </c>
      <c r="E218" s="160">
        <f>$B$11*'Transformaciones'!M211</f>
        <v/>
      </c>
      <c r="F218" s="160">
        <f>$B$12*'Transformaciones'!O211</f>
        <v/>
      </c>
      <c r="G218" s="160">
        <f>$B$8*'Transformaciones'!G210</f>
        <v/>
      </c>
      <c r="H218" s="160">
        <f>$B$9*'Transformaciones'!I210</f>
        <v/>
      </c>
      <c r="I218" s="160">
        <f>$B$10*'Transformaciones'!K210</f>
        <v/>
      </c>
      <c r="J218" s="160">
        <f>$B$13*'Transformaciones'!P211</f>
        <v/>
      </c>
      <c r="K218" s="166">
        <f>SUM(C218:J218)</f>
        <v/>
      </c>
      <c r="L218" s="166">
        <f>B218-K218</f>
        <v/>
      </c>
      <c r="M218" s="167">
        <f>'Datos_fuente'!B211</f>
        <v/>
      </c>
      <c r="N218" s="167">
        <f>EXP('Transformaciones'!B210+K218)</f>
        <v/>
      </c>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f>'Transformaciones'!A212</f>
        <v/>
      </c>
      <c r="B219" s="160">
        <f>'Transformaciones'!C212</f>
        <v/>
      </c>
      <c r="C219" s="160">
        <f>$B$6</f>
        <v/>
      </c>
      <c r="D219" s="160">
        <f>$B$7*'Transformaciones'!E212</f>
        <v/>
      </c>
      <c r="E219" s="160">
        <f>$B$11*'Transformaciones'!M212</f>
        <v/>
      </c>
      <c r="F219" s="160">
        <f>$B$12*'Transformaciones'!O212</f>
        <v/>
      </c>
      <c r="G219" s="160">
        <f>$B$8*'Transformaciones'!G211</f>
        <v/>
      </c>
      <c r="H219" s="160">
        <f>$B$9*'Transformaciones'!I211</f>
        <v/>
      </c>
      <c r="I219" s="160">
        <f>$B$10*'Transformaciones'!K211</f>
        <v/>
      </c>
      <c r="J219" s="160">
        <f>$B$13*'Transformaciones'!P212</f>
        <v/>
      </c>
      <c r="K219" s="166">
        <f>SUM(C219:J219)</f>
        <v/>
      </c>
      <c r="L219" s="166">
        <f>B219-K219</f>
        <v/>
      </c>
      <c r="M219" s="167">
        <f>'Datos_fuente'!B212</f>
        <v/>
      </c>
      <c r="N219" s="167">
        <f>EXP('Transformaciones'!B211+K219)</f>
        <v/>
      </c>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f>'Transformaciones'!A213</f>
        <v/>
      </c>
      <c r="B220" s="160">
        <f>'Transformaciones'!C213</f>
        <v/>
      </c>
      <c r="C220" s="160">
        <f>$B$6</f>
        <v/>
      </c>
      <c r="D220" s="160">
        <f>$B$7*'Transformaciones'!E213</f>
        <v/>
      </c>
      <c r="E220" s="160">
        <f>$B$11*'Transformaciones'!M213</f>
        <v/>
      </c>
      <c r="F220" s="160">
        <f>$B$12*'Transformaciones'!O213</f>
        <v/>
      </c>
      <c r="G220" s="160">
        <f>$B$8*'Transformaciones'!G212</f>
        <v/>
      </c>
      <c r="H220" s="160">
        <f>$B$9*'Transformaciones'!I212</f>
        <v/>
      </c>
      <c r="I220" s="160">
        <f>$B$10*'Transformaciones'!K212</f>
        <v/>
      </c>
      <c r="J220" s="160">
        <f>$B$13*'Transformaciones'!P213</f>
        <v/>
      </c>
      <c r="K220" s="166">
        <f>SUM(C220:J220)</f>
        <v/>
      </c>
      <c r="L220" s="166">
        <f>B220-K220</f>
        <v/>
      </c>
      <c r="M220" s="167">
        <f>'Datos_fuente'!B213</f>
        <v/>
      </c>
      <c r="N220" s="167">
        <f>EXP('Transformaciones'!B212+K220)</f>
        <v/>
      </c>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f>'Transformaciones'!A214</f>
        <v/>
      </c>
      <c r="B221" s="160">
        <f>'Transformaciones'!C214</f>
        <v/>
      </c>
      <c r="C221" s="160">
        <f>$B$6</f>
        <v/>
      </c>
      <c r="D221" s="160">
        <f>$B$7*'Transformaciones'!E214</f>
        <v/>
      </c>
      <c r="E221" s="160">
        <f>$B$11*'Transformaciones'!M214</f>
        <v/>
      </c>
      <c r="F221" s="160">
        <f>$B$12*'Transformaciones'!O214</f>
        <v/>
      </c>
      <c r="G221" s="160">
        <f>$B$8*'Transformaciones'!G213</f>
        <v/>
      </c>
      <c r="H221" s="160">
        <f>$B$9*'Transformaciones'!I213</f>
        <v/>
      </c>
      <c r="I221" s="160">
        <f>$B$10*'Transformaciones'!K213</f>
        <v/>
      </c>
      <c r="J221" s="160">
        <f>$B$13*'Transformaciones'!P214</f>
        <v/>
      </c>
      <c r="K221" s="166">
        <f>SUM(C221:J221)</f>
        <v/>
      </c>
      <c r="L221" s="166">
        <f>B221-K221</f>
        <v/>
      </c>
      <c r="M221" s="167">
        <f>'Datos_fuente'!B214</f>
        <v/>
      </c>
      <c r="N221" s="167">
        <f>EXP('Transformaciones'!B213+K221)</f>
        <v/>
      </c>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f>'Transformaciones'!A215</f>
        <v/>
      </c>
      <c r="B222" s="160">
        <f>'Transformaciones'!C215</f>
        <v/>
      </c>
      <c r="C222" s="160">
        <f>$B$6</f>
        <v/>
      </c>
      <c r="D222" s="160">
        <f>$B$7*'Transformaciones'!E215</f>
        <v/>
      </c>
      <c r="E222" s="160">
        <f>$B$11*'Transformaciones'!M215</f>
        <v/>
      </c>
      <c r="F222" s="160">
        <f>$B$12*'Transformaciones'!O215</f>
        <v/>
      </c>
      <c r="G222" s="160">
        <f>$B$8*'Transformaciones'!G214</f>
        <v/>
      </c>
      <c r="H222" s="160">
        <f>$B$9*'Transformaciones'!I214</f>
        <v/>
      </c>
      <c r="I222" s="160">
        <f>$B$10*'Transformaciones'!K214</f>
        <v/>
      </c>
      <c r="J222" s="160">
        <f>$B$13*'Transformaciones'!P215</f>
        <v/>
      </c>
      <c r="K222" s="166">
        <f>SUM(C222:J222)</f>
        <v/>
      </c>
      <c r="L222" s="166">
        <f>B222-K222</f>
        <v/>
      </c>
      <c r="M222" s="167">
        <f>'Datos_fuente'!B215</f>
        <v/>
      </c>
      <c r="N222" s="167">
        <f>EXP('Transformaciones'!B214+K222)</f>
        <v/>
      </c>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f>'Transformaciones'!A216</f>
        <v/>
      </c>
      <c r="B223" s="160">
        <f>'Transformaciones'!C216</f>
        <v/>
      </c>
      <c r="C223" s="160">
        <f>$B$6</f>
        <v/>
      </c>
      <c r="D223" s="160">
        <f>$B$7*'Transformaciones'!E216</f>
        <v/>
      </c>
      <c r="E223" s="160">
        <f>$B$11*'Transformaciones'!M216</f>
        <v/>
      </c>
      <c r="F223" s="160">
        <f>$B$12*'Transformaciones'!O216</f>
        <v/>
      </c>
      <c r="G223" s="160">
        <f>$B$8*'Transformaciones'!G215</f>
        <v/>
      </c>
      <c r="H223" s="160">
        <f>$B$9*'Transformaciones'!I215</f>
        <v/>
      </c>
      <c r="I223" s="160">
        <f>$B$10*'Transformaciones'!K215</f>
        <v/>
      </c>
      <c r="J223" s="160">
        <f>$B$13*'Transformaciones'!P216</f>
        <v/>
      </c>
      <c r="K223" s="166">
        <f>SUM(C223:J223)</f>
        <v/>
      </c>
      <c r="L223" s="166">
        <f>B223-K223</f>
        <v/>
      </c>
      <c r="M223" s="167">
        <f>'Datos_fuente'!B216</f>
        <v/>
      </c>
      <c r="N223" s="167">
        <f>EXP('Transformaciones'!B215+K223)</f>
        <v/>
      </c>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f>'Transformaciones'!A217</f>
        <v/>
      </c>
      <c r="B224" s="160">
        <f>'Transformaciones'!C217</f>
        <v/>
      </c>
      <c r="C224" s="160">
        <f>$B$6</f>
        <v/>
      </c>
      <c r="D224" s="160">
        <f>$B$7*'Transformaciones'!E217</f>
        <v/>
      </c>
      <c r="E224" s="160">
        <f>$B$11*'Transformaciones'!M217</f>
        <v/>
      </c>
      <c r="F224" s="160">
        <f>$B$12*'Transformaciones'!O217</f>
        <v/>
      </c>
      <c r="G224" s="160">
        <f>$B$8*'Transformaciones'!G216</f>
        <v/>
      </c>
      <c r="H224" s="160">
        <f>$B$9*'Transformaciones'!I216</f>
        <v/>
      </c>
      <c r="I224" s="160">
        <f>$B$10*'Transformaciones'!K216</f>
        <v/>
      </c>
      <c r="J224" s="160">
        <f>$B$13*'Transformaciones'!P217</f>
        <v/>
      </c>
      <c r="K224" s="166">
        <f>SUM(C224:J224)</f>
        <v/>
      </c>
      <c r="L224" s="166">
        <f>B224-K224</f>
        <v/>
      </c>
      <c r="M224" s="167">
        <f>'Datos_fuente'!B217</f>
        <v/>
      </c>
      <c r="N224" s="167">
        <f>EXP('Transformaciones'!B216+K224)</f>
        <v/>
      </c>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f>'Transformaciones'!A218</f>
        <v/>
      </c>
      <c r="B225" s="160">
        <f>'Transformaciones'!C218</f>
        <v/>
      </c>
      <c r="C225" s="160">
        <f>$B$6</f>
        <v/>
      </c>
      <c r="D225" s="160">
        <f>$B$7*'Transformaciones'!E218</f>
        <v/>
      </c>
      <c r="E225" s="160">
        <f>$B$11*'Transformaciones'!M218</f>
        <v/>
      </c>
      <c r="F225" s="160">
        <f>$B$12*'Transformaciones'!O218</f>
        <v/>
      </c>
      <c r="G225" s="160">
        <f>$B$8*'Transformaciones'!G217</f>
        <v/>
      </c>
      <c r="H225" s="160">
        <f>$B$9*'Transformaciones'!I217</f>
        <v/>
      </c>
      <c r="I225" s="160">
        <f>$B$10*'Transformaciones'!K217</f>
        <v/>
      </c>
      <c r="J225" s="160">
        <f>$B$13*'Transformaciones'!P218</f>
        <v/>
      </c>
      <c r="K225" s="166">
        <f>SUM(C225:J225)</f>
        <v/>
      </c>
      <c r="L225" s="166">
        <f>B225-K225</f>
        <v/>
      </c>
      <c r="M225" s="167">
        <f>'Datos_fuente'!B218</f>
        <v/>
      </c>
      <c r="N225" s="167">
        <f>EXP('Transformaciones'!B217+K225)</f>
        <v/>
      </c>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f>'Transformaciones'!A219</f>
        <v/>
      </c>
      <c r="B226" s="160">
        <f>'Transformaciones'!C219</f>
        <v/>
      </c>
      <c r="C226" s="160">
        <f>$B$6</f>
        <v/>
      </c>
      <c r="D226" s="160">
        <f>$B$7*'Transformaciones'!E219</f>
        <v/>
      </c>
      <c r="E226" s="160">
        <f>$B$11*'Transformaciones'!M219</f>
        <v/>
      </c>
      <c r="F226" s="160">
        <f>$B$12*'Transformaciones'!O219</f>
        <v/>
      </c>
      <c r="G226" s="160">
        <f>$B$8*'Transformaciones'!G218</f>
        <v/>
      </c>
      <c r="H226" s="160">
        <f>$B$9*'Transformaciones'!I218</f>
        <v/>
      </c>
      <c r="I226" s="160">
        <f>$B$10*'Transformaciones'!K218</f>
        <v/>
      </c>
      <c r="J226" s="160">
        <f>$B$13*'Transformaciones'!P219</f>
        <v/>
      </c>
      <c r="K226" s="166">
        <f>SUM(C226:J226)</f>
        <v/>
      </c>
      <c r="L226" s="166">
        <f>B226-K226</f>
        <v/>
      </c>
      <c r="M226" s="167">
        <f>'Datos_fuente'!B219</f>
        <v/>
      </c>
      <c r="N226" s="167">
        <f>EXP('Transformaciones'!B218+K226)</f>
        <v/>
      </c>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f>'Transformaciones'!A220</f>
        <v/>
      </c>
      <c r="B227" s="160">
        <f>'Transformaciones'!C220</f>
        <v/>
      </c>
      <c r="C227" s="160">
        <f>$B$6</f>
        <v/>
      </c>
      <c r="D227" s="160">
        <f>$B$7*'Transformaciones'!E220</f>
        <v/>
      </c>
      <c r="E227" s="160">
        <f>$B$11*'Transformaciones'!M220</f>
        <v/>
      </c>
      <c r="F227" s="160">
        <f>$B$12*'Transformaciones'!O220</f>
        <v/>
      </c>
      <c r="G227" s="160">
        <f>$B$8*'Transformaciones'!G219</f>
        <v/>
      </c>
      <c r="H227" s="160">
        <f>$B$9*'Transformaciones'!I219</f>
        <v/>
      </c>
      <c r="I227" s="160">
        <f>$B$10*'Transformaciones'!K219</f>
        <v/>
      </c>
      <c r="J227" s="160">
        <f>$B$13*'Transformaciones'!P220</f>
        <v/>
      </c>
      <c r="K227" s="166">
        <f>SUM(C227:J227)</f>
        <v/>
      </c>
      <c r="L227" s="166">
        <f>B227-K227</f>
        <v/>
      </c>
      <c r="M227" s="167">
        <f>'Datos_fuente'!B220</f>
        <v/>
      </c>
      <c r="N227" s="167">
        <f>EXP('Transformaciones'!B219+K227)</f>
        <v/>
      </c>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f>'Transformaciones'!A221</f>
        <v/>
      </c>
      <c r="B228" s="160">
        <f>'Transformaciones'!C221</f>
        <v/>
      </c>
      <c r="C228" s="160">
        <f>$B$6</f>
        <v/>
      </c>
      <c r="D228" s="160">
        <f>$B$7*'Transformaciones'!E221</f>
        <v/>
      </c>
      <c r="E228" s="160">
        <f>$B$11*'Transformaciones'!M221</f>
        <v/>
      </c>
      <c r="F228" s="160">
        <f>$B$12*'Transformaciones'!O221</f>
        <v/>
      </c>
      <c r="G228" s="160">
        <f>$B$8*'Transformaciones'!G220</f>
        <v/>
      </c>
      <c r="H228" s="160">
        <f>$B$9*'Transformaciones'!I220</f>
        <v/>
      </c>
      <c r="I228" s="160">
        <f>$B$10*'Transformaciones'!K220</f>
        <v/>
      </c>
      <c r="J228" s="160">
        <f>$B$13*'Transformaciones'!P221</f>
        <v/>
      </c>
      <c r="K228" s="166">
        <f>SUM(C228:J228)</f>
        <v/>
      </c>
      <c r="L228" s="166">
        <f>B228-K228</f>
        <v/>
      </c>
      <c r="M228" s="167">
        <f>'Datos_fuente'!B221</f>
        <v/>
      </c>
      <c r="N228" s="167">
        <f>EXP('Transformaciones'!B220+K228)</f>
        <v/>
      </c>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f>'Transformaciones'!A222</f>
        <v/>
      </c>
      <c r="B229" s="160">
        <f>'Transformaciones'!C222</f>
        <v/>
      </c>
      <c r="C229" s="160">
        <f>$B$6</f>
        <v/>
      </c>
      <c r="D229" s="160">
        <f>$B$7*'Transformaciones'!E222</f>
        <v/>
      </c>
      <c r="E229" s="160">
        <f>$B$11*'Transformaciones'!M222</f>
        <v/>
      </c>
      <c r="F229" s="160">
        <f>$B$12*'Transformaciones'!O222</f>
        <v/>
      </c>
      <c r="G229" s="160">
        <f>$B$8*'Transformaciones'!G221</f>
        <v/>
      </c>
      <c r="H229" s="160">
        <f>$B$9*'Transformaciones'!I221</f>
        <v/>
      </c>
      <c r="I229" s="160">
        <f>$B$10*'Transformaciones'!K221</f>
        <v/>
      </c>
      <c r="J229" s="160">
        <f>$B$13*'Transformaciones'!P222</f>
        <v/>
      </c>
      <c r="K229" s="166">
        <f>SUM(C229:J229)</f>
        <v/>
      </c>
      <c r="L229" s="166">
        <f>B229-K229</f>
        <v/>
      </c>
      <c r="M229" s="167">
        <f>'Datos_fuente'!B222</f>
        <v/>
      </c>
      <c r="N229" s="167">
        <f>EXP('Transformaciones'!B221+K229)</f>
        <v/>
      </c>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f>'Transformaciones'!A223</f>
        <v/>
      </c>
      <c r="B230" s="160">
        <f>'Transformaciones'!C223</f>
        <v/>
      </c>
      <c r="C230" s="160">
        <f>$B$6</f>
        <v/>
      </c>
      <c r="D230" s="160">
        <f>$B$7*'Transformaciones'!E223</f>
        <v/>
      </c>
      <c r="E230" s="160">
        <f>$B$11*'Transformaciones'!M223</f>
        <v/>
      </c>
      <c r="F230" s="160">
        <f>$B$12*'Transformaciones'!O223</f>
        <v/>
      </c>
      <c r="G230" s="160">
        <f>$B$8*'Transformaciones'!G222</f>
        <v/>
      </c>
      <c r="H230" s="160">
        <f>$B$9*'Transformaciones'!I222</f>
        <v/>
      </c>
      <c r="I230" s="160">
        <f>$B$10*'Transformaciones'!K222</f>
        <v/>
      </c>
      <c r="J230" s="160">
        <f>$B$13*'Transformaciones'!P223</f>
        <v/>
      </c>
      <c r="K230" s="166">
        <f>SUM(C230:J230)</f>
        <v/>
      </c>
      <c r="L230" s="166">
        <f>B230-K230</f>
        <v/>
      </c>
      <c r="M230" s="167">
        <f>'Datos_fuente'!B223</f>
        <v/>
      </c>
      <c r="N230" s="167">
        <f>EXP('Transformaciones'!B222+K230)</f>
        <v/>
      </c>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f>'Transformaciones'!A224</f>
        <v/>
      </c>
      <c r="B231" s="160">
        <f>'Transformaciones'!C224</f>
        <v/>
      </c>
      <c r="C231" s="160">
        <f>$B$6</f>
        <v/>
      </c>
      <c r="D231" s="160">
        <f>$B$7*'Transformaciones'!E224</f>
        <v/>
      </c>
      <c r="E231" s="160">
        <f>$B$11*'Transformaciones'!M224</f>
        <v/>
      </c>
      <c r="F231" s="160">
        <f>$B$12*'Transformaciones'!O224</f>
        <v/>
      </c>
      <c r="G231" s="160">
        <f>$B$8*'Transformaciones'!G223</f>
        <v/>
      </c>
      <c r="H231" s="160">
        <f>$B$9*'Transformaciones'!I223</f>
        <v/>
      </c>
      <c r="I231" s="160">
        <f>$B$10*'Transformaciones'!K223</f>
        <v/>
      </c>
      <c r="J231" s="160">
        <f>$B$13*'Transformaciones'!P224</f>
        <v/>
      </c>
      <c r="K231" s="166">
        <f>SUM(C231:J231)</f>
        <v/>
      </c>
      <c r="L231" s="166">
        <f>B231-K231</f>
        <v/>
      </c>
      <c r="M231" s="167">
        <f>'Datos_fuente'!B224</f>
        <v/>
      </c>
      <c r="N231" s="167">
        <f>EXP('Transformaciones'!B223+K231)</f>
        <v/>
      </c>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f>'Transformaciones'!A225</f>
        <v/>
      </c>
      <c r="B232" s="160">
        <f>'Transformaciones'!C225</f>
        <v/>
      </c>
      <c r="C232" s="160">
        <f>$B$6</f>
        <v/>
      </c>
      <c r="D232" s="160">
        <f>$B$7*'Transformaciones'!E225</f>
        <v/>
      </c>
      <c r="E232" s="160">
        <f>$B$11*'Transformaciones'!M225</f>
        <v/>
      </c>
      <c r="F232" s="160">
        <f>$B$12*'Transformaciones'!O225</f>
        <v/>
      </c>
      <c r="G232" s="160">
        <f>$B$8*'Transformaciones'!G224</f>
        <v/>
      </c>
      <c r="H232" s="160">
        <f>$B$9*'Transformaciones'!I224</f>
        <v/>
      </c>
      <c r="I232" s="160">
        <f>$B$10*'Transformaciones'!K224</f>
        <v/>
      </c>
      <c r="J232" s="160">
        <f>$B$13*'Transformaciones'!P225</f>
        <v/>
      </c>
      <c r="K232" s="166">
        <f>SUM(C232:J232)</f>
        <v/>
      </c>
      <c r="L232" s="166">
        <f>B232-K232</f>
        <v/>
      </c>
      <c r="M232" s="167">
        <f>'Datos_fuente'!B225</f>
        <v/>
      </c>
      <c r="N232" s="167">
        <f>EXP('Transformaciones'!B224+K232)</f>
        <v/>
      </c>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f>'Transformaciones'!A226</f>
        <v/>
      </c>
      <c r="B233" s="160">
        <f>'Transformaciones'!C226</f>
        <v/>
      </c>
      <c r="C233" s="160">
        <f>$B$6</f>
        <v/>
      </c>
      <c r="D233" s="160">
        <f>$B$7*'Transformaciones'!E226</f>
        <v/>
      </c>
      <c r="E233" s="160">
        <f>$B$11*'Transformaciones'!M226</f>
        <v/>
      </c>
      <c r="F233" s="160">
        <f>$B$12*'Transformaciones'!O226</f>
        <v/>
      </c>
      <c r="G233" s="160">
        <f>$B$8*'Transformaciones'!G225</f>
        <v/>
      </c>
      <c r="H233" s="160">
        <f>$B$9*'Transformaciones'!I225</f>
        <v/>
      </c>
      <c r="I233" s="160">
        <f>$B$10*'Transformaciones'!K225</f>
        <v/>
      </c>
      <c r="J233" s="160">
        <f>$B$13*'Transformaciones'!P226</f>
        <v/>
      </c>
      <c r="K233" s="166">
        <f>SUM(C233:J233)</f>
        <v/>
      </c>
      <c r="L233" s="166">
        <f>B233-K233</f>
        <v/>
      </c>
      <c r="M233" s="167">
        <f>'Datos_fuente'!B226</f>
        <v/>
      </c>
      <c r="N233" s="167">
        <f>EXP('Transformaciones'!B225+K233)</f>
        <v/>
      </c>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f>'Transformaciones'!A227</f>
        <v/>
      </c>
      <c r="B234" s="160">
        <f>'Transformaciones'!C227</f>
        <v/>
      </c>
      <c r="C234" s="160">
        <f>$B$6</f>
        <v/>
      </c>
      <c r="D234" s="160">
        <f>$B$7*'Transformaciones'!E227</f>
        <v/>
      </c>
      <c r="E234" s="160">
        <f>$B$11*'Transformaciones'!M227</f>
        <v/>
      </c>
      <c r="F234" s="160">
        <f>$B$12*'Transformaciones'!O227</f>
        <v/>
      </c>
      <c r="G234" s="160">
        <f>$B$8*'Transformaciones'!G226</f>
        <v/>
      </c>
      <c r="H234" s="160">
        <f>$B$9*'Transformaciones'!I226</f>
        <v/>
      </c>
      <c r="I234" s="160">
        <f>$B$10*'Transformaciones'!K226</f>
        <v/>
      </c>
      <c r="J234" s="160">
        <f>$B$13*'Transformaciones'!P227</f>
        <v/>
      </c>
      <c r="K234" s="166">
        <f>SUM(C234:J234)</f>
        <v/>
      </c>
      <c r="L234" s="166">
        <f>B234-K234</f>
        <v/>
      </c>
      <c r="M234" s="167">
        <f>'Datos_fuente'!B227</f>
        <v/>
      </c>
      <c r="N234" s="167">
        <f>EXP('Transformaciones'!B226+K234)</f>
        <v/>
      </c>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f>'Transformaciones'!A228</f>
        <v/>
      </c>
      <c r="B235" s="160">
        <f>'Transformaciones'!C228</f>
        <v/>
      </c>
      <c r="C235" s="160">
        <f>$B$6</f>
        <v/>
      </c>
      <c r="D235" s="160">
        <f>$B$7*'Transformaciones'!E228</f>
        <v/>
      </c>
      <c r="E235" s="160">
        <f>$B$11*'Transformaciones'!M228</f>
        <v/>
      </c>
      <c r="F235" s="160">
        <f>$B$12*'Transformaciones'!O228</f>
        <v/>
      </c>
      <c r="G235" s="160">
        <f>$B$8*'Transformaciones'!G227</f>
        <v/>
      </c>
      <c r="H235" s="160">
        <f>$B$9*'Transformaciones'!I227</f>
        <v/>
      </c>
      <c r="I235" s="160">
        <f>$B$10*'Transformaciones'!K227</f>
        <v/>
      </c>
      <c r="J235" s="160">
        <f>$B$13*'Transformaciones'!P228</f>
        <v/>
      </c>
      <c r="K235" s="166">
        <f>SUM(C235:J235)</f>
        <v/>
      </c>
      <c r="L235" s="166">
        <f>B235-K235</f>
        <v/>
      </c>
      <c r="M235" s="167">
        <f>'Datos_fuente'!B228</f>
        <v/>
      </c>
      <c r="N235" s="167">
        <f>EXP('Transformaciones'!B227+K235)</f>
        <v/>
      </c>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f>'Transformaciones'!A229</f>
        <v/>
      </c>
      <c r="B236" s="160">
        <f>'Transformaciones'!C229</f>
        <v/>
      </c>
      <c r="C236" s="160">
        <f>$B$6</f>
        <v/>
      </c>
      <c r="D236" s="160">
        <f>$B$7*'Transformaciones'!E229</f>
        <v/>
      </c>
      <c r="E236" s="160">
        <f>$B$11*'Transformaciones'!M229</f>
        <v/>
      </c>
      <c r="F236" s="160">
        <f>$B$12*'Transformaciones'!O229</f>
        <v/>
      </c>
      <c r="G236" s="160">
        <f>$B$8*'Transformaciones'!G228</f>
        <v/>
      </c>
      <c r="H236" s="160">
        <f>$B$9*'Transformaciones'!I228</f>
        <v/>
      </c>
      <c r="I236" s="160">
        <f>$B$10*'Transformaciones'!K228</f>
        <v/>
      </c>
      <c r="J236" s="160">
        <f>$B$13*'Transformaciones'!P229</f>
        <v/>
      </c>
      <c r="K236" s="166">
        <f>SUM(C236:J236)</f>
        <v/>
      </c>
      <c r="L236" s="166">
        <f>B236-K236</f>
        <v/>
      </c>
      <c r="M236" s="167">
        <f>'Datos_fuente'!B229</f>
        <v/>
      </c>
      <c r="N236" s="167">
        <f>EXP('Transformaciones'!B228+K236)</f>
        <v/>
      </c>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f>'Transformaciones'!A230</f>
        <v/>
      </c>
      <c r="B237" s="160">
        <f>'Transformaciones'!C230</f>
        <v/>
      </c>
      <c r="C237" s="160">
        <f>$B$6</f>
        <v/>
      </c>
      <c r="D237" s="160">
        <f>$B$7*'Transformaciones'!E230</f>
        <v/>
      </c>
      <c r="E237" s="160">
        <f>$B$11*'Transformaciones'!M230</f>
        <v/>
      </c>
      <c r="F237" s="160">
        <f>$B$12*'Transformaciones'!O230</f>
        <v/>
      </c>
      <c r="G237" s="160">
        <f>$B$8*'Transformaciones'!G229</f>
        <v/>
      </c>
      <c r="H237" s="160">
        <f>$B$9*'Transformaciones'!I229</f>
        <v/>
      </c>
      <c r="I237" s="160">
        <f>$B$10*'Transformaciones'!K229</f>
        <v/>
      </c>
      <c r="J237" s="160">
        <f>$B$13*'Transformaciones'!P230</f>
        <v/>
      </c>
      <c r="K237" s="166">
        <f>SUM(C237:J237)</f>
        <v/>
      </c>
      <c r="L237" s="166">
        <f>B237-K237</f>
        <v/>
      </c>
      <c r="M237" s="167">
        <f>'Datos_fuente'!B230</f>
        <v/>
      </c>
      <c r="N237" s="167">
        <f>EXP('Transformaciones'!B229+K237)</f>
        <v/>
      </c>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f>'Transformaciones'!A231</f>
        <v/>
      </c>
      <c r="B238" s="160">
        <f>'Transformaciones'!C231</f>
        <v/>
      </c>
      <c r="C238" s="160">
        <f>$B$6</f>
        <v/>
      </c>
      <c r="D238" s="160">
        <f>$B$7*'Transformaciones'!E231</f>
        <v/>
      </c>
      <c r="E238" s="160">
        <f>$B$11*'Transformaciones'!M231</f>
        <v/>
      </c>
      <c r="F238" s="160">
        <f>$B$12*'Transformaciones'!O231</f>
        <v/>
      </c>
      <c r="G238" s="160">
        <f>$B$8*'Transformaciones'!G230</f>
        <v/>
      </c>
      <c r="H238" s="160">
        <f>$B$9*'Transformaciones'!I230</f>
        <v/>
      </c>
      <c r="I238" s="160">
        <f>$B$10*'Transformaciones'!K230</f>
        <v/>
      </c>
      <c r="J238" s="160">
        <f>$B$13*'Transformaciones'!P231</f>
        <v/>
      </c>
      <c r="K238" s="166">
        <f>SUM(C238:J238)</f>
        <v/>
      </c>
      <c r="L238" s="166">
        <f>B238-K238</f>
        <v/>
      </c>
      <c r="M238" s="167">
        <f>'Datos_fuente'!B231</f>
        <v/>
      </c>
      <c r="N238" s="167">
        <f>EXP('Transformaciones'!B230+K238)</f>
        <v/>
      </c>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f>'Transformaciones'!A232</f>
        <v/>
      </c>
      <c r="B239" s="160">
        <f>'Transformaciones'!C232</f>
        <v/>
      </c>
      <c r="C239" s="160">
        <f>$B$6</f>
        <v/>
      </c>
      <c r="D239" s="160">
        <f>$B$7*'Transformaciones'!E232</f>
        <v/>
      </c>
      <c r="E239" s="160">
        <f>$B$11*'Transformaciones'!M232</f>
        <v/>
      </c>
      <c r="F239" s="160">
        <f>$B$12*'Transformaciones'!O232</f>
        <v/>
      </c>
      <c r="G239" s="160">
        <f>$B$8*'Transformaciones'!G231</f>
        <v/>
      </c>
      <c r="H239" s="160">
        <f>$B$9*'Transformaciones'!I231</f>
        <v/>
      </c>
      <c r="I239" s="160">
        <f>$B$10*'Transformaciones'!K231</f>
        <v/>
      </c>
      <c r="J239" s="160">
        <f>$B$13*'Transformaciones'!P232</f>
        <v/>
      </c>
      <c r="K239" s="166">
        <f>SUM(C239:J239)</f>
        <v/>
      </c>
      <c r="L239" s="166">
        <f>B239-K239</f>
        <v/>
      </c>
      <c r="M239" s="167">
        <f>'Datos_fuente'!B232</f>
        <v/>
      </c>
      <c r="N239" s="167">
        <f>EXP('Transformaciones'!B231+K239)</f>
        <v/>
      </c>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f>'Transformaciones'!A233</f>
        <v/>
      </c>
      <c r="B240" s="160">
        <f>'Transformaciones'!C233</f>
        <v/>
      </c>
      <c r="C240" s="160">
        <f>$B$6</f>
        <v/>
      </c>
      <c r="D240" s="160">
        <f>$B$7*'Transformaciones'!E233</f>
        <v/>
      </c>
      <c r="E240" s="160">
        <f>$B$11*'Transformaciones'!M233</f>
        <v/>
      </c>
      <c r="F240" s="160">
        <f>$B$12*'Transformaciones'!O233</f>
        <v/>
      </c>
      <c r="G240" s="160">
        <f>$B$8*'Transformaciones'!G232</f>
        <v/>
      </c>
      <c r="H240" s="160">
        <f>$B$9*'Transformaciones'!I232</f>
        <v/>
      </c>
      <c r="I240" s="160">
        <f>$B$10*'Transformaciones'!K232</f>
        <v/>
      </c>
      <c r="J240" s="160">
        <f>$B$13*'Transformaciones'!P233</f>
        <v/>
      </c>
      <c r="K240" s="166">
        <f>SUM(C240:J240)</f>
        <v/>
      </c>
      <c r="L240" s="166">
        <f>B240-K240</f>
        <v/>
      </c>
      <c r="M240" s="167">
        <f>'Datos_fuente'!B233</f>
        <v/>
      </c>
      <c r="N240" s="167">
        <f>EXP('Transformaciones'!B232+K240)</f>
        <v/>
      </c>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f>'Transformaciones'!A234</f>
        <v/>
      </c>
      <c r="B241" s="160">
        <f>'Transformaciones'!C234</f>
        <v/>
      </c>
      <c r="C241" s="160">
        <f>$B$6</f>
        <v/>
      </c>
      <c r="D241" s="160">
        <f>$B$7*'Transformaciones'!E234</f>
        <v/>
      </c>
      <c r="E241" s="160">
        <f>$B$11*'Transformaciones'!M234</f>
        <v/>
      </c>
      <c r="F241" s="160">
        <f>$B$12*'Transformaciones'!O234</f>
        <v/>
      </c>
      <c r="G241" s="160">
        <f>$B$8*'Transformaciones'!G233</f>
        <v/>
      </c>
      <c r="H241" s="160">
        <f>$B$9*'Transformaciones'!I233</f>
        <v/>
      </c>
      <c r="I241" s="160">
        <f>$B$10*'Transformaciones'!K233</f>
        <v/>
      </c>
      <c r="J241" s="160">
        <f>$B$13*'Transformaciones'!P234</f>
        <v/>
      </c>
      <c r="K241" s="166">
        <f>SUM(C241:J241)</f>
        <v/>
      </c>
      <c r="L241" s="166">
        <f>B241-K241</f>
        <v/>
      </c>
      <c r="M241" s="167">
        <f>'Datos_fuente'!B234</f>
        <v/>
      </c>
      <c r="N241" s="167">
        <f>EXP('Transformaciones'!B233+K241)</f>
        <v/>
      </c>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f>'Transformaciones'!A235</f>
        <v/>
      </c>
      <c r="B242" s="160">
        <f>'Transformaciones'!C235</f>
        <v/>
      </c>
      <c r="C242" s="160">
        <f>$B$6</f>
        <v/>
      </c>
      <c r="D242" s="160">
        <f>$B$7*'Transformaciones'!E235</f>
        <v/>
      </c>
      <c r="E242" s="160">
        <f>$B$11*'Transformaciones'!M235</f>
        <v/>
      </c>
      <c r="F242" s="160">
        <f>$B$12*'Transformaciones'!O235</f>
        <v/>
      </c>
      <c r="G242" s="160">
        <f>$B$8*'Transformaciones'!G234</f>
        <v/>
      </c>
      <c r="H242" s="160">
        <f>$B$9*'Transformaciones'!I234</f>
        <v/>
      </c>
      <c r="I242" s="160">
        <f>$B$10*'Transformaciones'!K234</f>
        <v/>
      </c>
      <c r="J242" s="160">
        <f>$B$13*'Transformaciones'!P235</f>
        <v/>
      </c>
      <c r="K242" s="166">
        <f>SUM(C242:J242)</f>
        <v/>
      </c>
      <c r="L242" s="166">
        <f>B242-K242</f>
        <v/>
      </c>
      <c r="M242" s="167">
        <f>'Datos_fuente'!B235</f>
        <v/>
      </c>
      <c r="N242" s="167">
        <f>EXP('Transformaciones'!B234+K242)</f>
        <v/>
      </c>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f>'Transformaciones'!A236</f>
        <v/>
      </c>
      <c r="B243" s="160">
        <f>'Transformaciones'!C236</f>
        <v/>
      </c>
      <c r="C243" s="160">
        <f>$B$6</f>
        <v/>
      </c>
      <c r="D243" s="160">
        <f>$B$7*'Transformaciones'!E236</f>
        <v/>
      </c>
      <c r="E243" s="160">
        <f>$B$11*'Transformaciones'!M236</f>
        <v/>
      </c>
      <c r="F243" s="160">
        <f>$B$12*'Transformaciones'!O236</f>
        <v/>
      </c>
      <c r="G243" s="160">
        <f>$B$8*'Transformaciones'!G235</f>
        <v/>
      </c>
      <c r="H243" s="160">
        <f>$B$9*'Transformaciones'!I235</f>
        <v/>
      </c>
      <c r="I243" s="160">
        <f>$B$10*'Transformaciones'!K235</f>
        <v/>
      </c>
      <c r="J243" s="160">
        <f>$B$13*'Transformaciones'!P236</f>
        <v/>
      </c>
      <c r="K243" s="166">
        <f>SUM(C243:J243)</f>
        <v/>
      </c>
      <c r="L243" s="166">
        <f>B243-K243</f>
        <v/>
      </c>
      <c r="M243" s="167">
        <f>'Datos_fuente'!B236</f>
        <v/>
      </c>
      <c r="N243" s="167">
        <f>EXP('Transformaciones'!B235+K243)</f>
        <v/>
      </c>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f>'Transformaciones'!A237</f>
        <v/>
      </c>
      <c r="B244" s="160">
        <f>'Transformaciones'!C237</f>
        <v/>
      </c>
      <c r="C244" s="160">
        <f>$B$6</f>
        <v/>
      </c>
      <c r="D244" s="160">
        <f>$B$7*'Transformaciones'!E237</f>
        <v/>
      </c>
      <c r="E244" s="160">
        <f>$B$11*'Transformaciones'!M237</f>
        <v/>
      </c>
      <c r="F244" s="160">
        <f>$B$12*'Transformaciones'!O237</f>
        <v/>
      </c>
      <c r="G244" s="160">
        <f>$B$8*'Transformaciones'!G236</f>
        <v/>
      </c>
      <c r="H244" s="160">
        <f>$B$9*'Transformaciones'!I236</f>
        <v/>
      </c>
      <c r="I244" s="160">
        <f>$B$10*'Transformaciones'!K236</f>
        <v/>
      </c>
      <c r="J244" s="160">
        <f>$B$13*'Transformaciones'!P237</f>
        <v/>
      </c>
      <c r="K244" s="166">
        <f>SUM(C244:J244)</f>
        <v/>
      </c>
      <c r="L244" s="166">
        <f>B244-K244</f>
        <v/>
      </c>
      <c r="M244" s="167">
        <f>'Datos_fuente'!B237</f>
        <v/>
      </c>
      <c r="N244" s="167">
        <f>EXP('Transformaciones'!B236+K244)</f>
        <v/>
      </c>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f>'Transformaciones'!A238</f>
        <v/>
      </c>
      <c r="B245" s="160">
        <f>'Transformaciones'!C238</f>
        <v/>
      </c>
      <c r="C245" s="160">
        <f>$B$6</f>
        <v/>
      </c>
      <c r="D245" s="160">
        <f>$B$7*'Transformaciones'!E238</f>
        <v/>
      </c>
      <c r="E245" s="160">
        <f>$B$11*'Transformaciones'!M238</f>
        <v/>
      </c>
      <c r="F245" s="160">
        <f>$B$12*'Transformaciones'!O238</f>
        <v/>
      </c>
      <c r="G245" s="160">
        <f>$B$8*'Transformaciones'!G237</f>
        <v/>
      </c>
      <c r="H245" s="160">
        <f>$B$9*'Transformaciones'!I237</f>
        <v/>
      </c>
      <c r="I245" s="160">
        <f>$B$10*'Transformaciones'!K237</f>
        <v/>
      </c>
      <c r="J245" s="160">
        <f>$B$13*'Transformaciones'!P238</f>
        <v/>
      </c>
      <c r="K245" s="166">
        <f>SUM(C245:J245)</f>
        <v/>
      </c>
      <c r="L245" s="166">
        <f>B245-K245</f>
        <v/>
      </c>
      <c r="M245" s="167">
        <f>'Datos_fuente'!B238</f>
        <v/>
      </c>
      <c r="N245" s="167">
        <f>EXP('Transformaciones'!B237+K245)</f>
        <v/>
      </c>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f>'Transformaciones'!A239</f>
        <v/>
      </c>
      <c r="B246" s="160">
        <f>'Transformaciones'!C239</f>
        <v/>
      </c>
      <c r="C246" s="160">
        <f>$B$6</f>
        <v/>
      </c>
      <c r="D246" s="160">
        <f>$B$7*'Transformaciones'!E239</f>
        <v/>
      </c>
      <c r="E246" s="160">
        <f>$B$11*'Transformaciones'!M239</f>
        <v/>
      </c>
      <c r="F246" s="160">
        <f>$B$12*'Transformaciones'!O239</f>
        <v/>
      </c>
      <c r="G246" s="160">
        <f>$B$8*'Transformaciones'!G238</f>
        <v/>
      </c>
      <c r="H246" s="160">
        <f>$B$9*'Transformaciones'!I238</f>
        <v/>
      </c>
      <c r="I246" s="160">
        <f>$B$10*'Transformaciones'!K238</f>
        <v/>
      </c>
      <c r="J246" s="160">
        <f>$B$13*'Transformaciones'!P239</f>
        <v/>
      </c>
      <c r="K246" s="166">
        <f>SUM(C246:J246)</f>
        <v/>
      </c>
      <c r="L246" s="166">
        <f>B246-K246</f>
        <v/>
      </c>
      <c r="M246" s="167">
        <f>'Datos_fuente'!B239</f>
        <v/>
      </c>
      <c r="N246" s="167">
        <f>EXP('Transformaciones'!B238+K246)</f>
        <v/>
      </c>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f>'Transformaciones'!A240</f>
        <v/>
      </c>
      <c r="B247" s="160">
        <f>'Transformaciones'!C240</f>
        <v/>
      </c>
      <c r="C247" s="160">
        <f>$B$6</f>
        <v/>
      </c>
      <c r="D247" s="160">
        <f>$B$7*'Transformaciones'!E240</f>
        <v/>
      </c>
      <c r="E247" s="160">
        <f>$B$11*'Transformaciones'!M240</f>
        <v/>
      </c>
      <c r="F247" s="160">
        <f>$B$12*'Transformaciones'!O240</f>
        <v/>
      </c>
      <c r="G247" s="160">
        <f>$B$8*'Transformaciones'!G239</f>
        <v/>
      </c>
      <c r="H247" s="160">
        <f>$B$9*'Transformaciones'!I239</f>
        <v/>
      </c>
      <c r="I247" s="160">
        <f>$B$10*'Transformaciones'!K239</f>
        <v/>
      </c>
      <c r="J247" s="160">
        <f>$B$13*'Transformaciones'!P240</f>
        <v/>
      </c>
      <c r="K247" s="166">
        <f>SUM(C247:J247)</f>
        <v/>
      </c>
      <c r="L247" s="166">
        <f>B247-K247</f>
        <v/>
      </c>
      <c r="M247" s="167">
        <f>'Datos_fuente'!B240</f>
        <v/>
      </c>
      <c r="N247" s="167">
        <f>EXP('Transformaciones'!B239+K247)</f>
        <v/>
      </c>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f>'Transformaciones'!A241</f>
        <v/>
      </c>
      <c r="B248" s="160">
        <f>'Transformaciones'!C241</f>
        <v/>
      </c>
      <c r="C248" s="160">
        <f>$B$6</f>
        <v/>
      </c>
      <c r="D248" s="160">
        <f>$B$7*'Transformaciones'!E241</f>
        <v/>
      </c>
      <c r="E248" s="160">
        <f>$B$11*'Transformaciones'!M241</f>
        <v/>
      </c>
      <c r="F248" s="160">
        <f>$B$12*'Transformaciones'!O241</f>
        <v/>
      </c>
      <c r="G248" s="160">
        <f>$B$8*'Transformaciones'!G240</f>
        <v/>
      </c>
      <c r="H248" s="160">
        <f>$B$9*'Transformaciones'!I240</f>
        <v/>
      </c>
      <c r="I248" s="160">
        <f>$B$10*'Transformaciones'!K240</f>
        <v/>
      </c>
      <c r="J248" s="160">
        <f>$B$13*'Transformaciones'!P241</f>
        <v/>
      </c>
      <c r="K248" s="166">
        <f>SUM(C248:J248)</f>
        <v/>
      </c>
      <c r="L248" s="166">
        <f>B248-K248</f>
        <v/>
      </c>
      <c r="M248" s="167">
        <f>'Datos_fuente'!B241</f>
        <v/>
      </c>
      <c r="N248" s="167">
        <f>EXP('Transformaciones'!B240+K248)</f>
        <v/>
      </c>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f>'Transformaciones'!A242</f>
        <v/>
      </c>
      <c r="B249" s="160">
        <f>'Transformaciones'!C242</f>
        <v/>
      </c>
      <c r="C249" s="160">
        <f>$B$6</f>
        <v/>
      </c>
      <c r="D249" s="160">
        <f>$B$7*'Transformaciones'!E242</f>
        <v/>
      </c>
      <c r="E249" s="160">
        <f>$B$11*'Transformaciones'!M242</f>
        <v/>
      </c>
      <c r="F249" s="160">
        <f>$B$12*'Transformaciones'!O242</f>
        <v/>
      </c>
      <c r="G249" s="160">
        <f>$B$8*'Transformaciones'!G241</f>
        <v/>
      </c>
      <c r="H249" s="160">
        <f>$B$9*'Transformaciones'!I241</f>
        <v/>
      </c>
      <c r="I249" s="160">
        <f>$B$10*'Transformaciones'!K241</f>
        <v/>
      </c>
      <c r="J249" s="160">
        <f>$B$13*'Transformaciones'!P242</f>
        <v/>
      </c>
      <c r="K249" s="166">
        <f>SUM(C249:J249)</f>
        <v/>
      </c>
      <c r="L249" s="166">
        <f>B249-K249</f>
        <v/>
      </c>
      <c r="M249" s="167">
        <f>'Datos_fuente'!B242</f>
        <v/>
      </c>
      <c r="N249" s="167">
        <f>EXP('Transformaciones'!B241+K249)</f>
        <v/>
      </c>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f>'Transformaciones'!A243</f>
        <v/>
      </c>
      <c r="B250" s="160">
        <f>'Transformaciones'!C243</f>
        <v/>
      </c>
      <c r="C250" s="160">
        <f>$B$6</f>
        <v/>
      </c>
      <c r="D250" s="160">
        <f>$B$7*'Transformaciones'!E243</f>
        <v/>
      </c>
      <c r="E250" s="160">
        <f>$B$11*'Transformaciones'!M243</f>
        <v/>
      </c>
      <c r="F250" s="160">
        <f>$B$12*'Transformaciones'!O243</f>
        <v/>
      </c>
      <c r="G250" s="160">
        <f>$B$8*'Transformaciones'!G242</f>
        <v/>
      </c>
      <c r="H250" s="160">
        <f>$B$9*'Transformaciones'!I242</f>
        <v/>
      </c>
      <c r="I250" s="160">
        <f>$B$10*'Transformaciones'!K242</f>
        <v/>
      </c>
      <c r="J250" s="160">
        <f>$B$13*'Transformaciones'!P243</f>
        <v/>
      </c>
      <c r="K250" s="166">
        <f>SUM(C250:J250)</f>
        <v/>
      </c>
      <c r="L250" s="166">
        <f>B250-K250</f>
        <v/>
      </c>
      <c r="M250" s="167">
        <f>'Datos_fuente'!B243</f>
        <v/>
      </c>
      <c r="N250" s="167">
        <f>EXP('Transformaciones'!B242+K250)</f>
        <v/>
      </c>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f>'Transformaciones'!A244</f>
        <v/>
      </c>
      <c r="B251" s="160">
        <f>'Transformaciones'!C244</f>
        <v/>
      </c>
      <c r="C251" s="160">
        <f>$B$6</f>
        <v/>
      </c>
      <c r="D251" s="160">
        <f>$B$7*'Transformaciones'!E244</f>
        <v/>
      </c>
      <c r="E251" s="160">
        <f>$B$11*'Transformaciones'!M244</f>
        <v/>
      </c>
      <c r="F251" s="160">
        <f>$B$12*'Transformaciones'!O244</f>
        <v/>
      </c>
      <c r="G251" s="160">
        <f>$B$8*'Transformaciones'!G243</f>
        <v/>
      </c>
      <c r="H251" s="160">
        <f>$B$9*'Transformaciones'!I243</f>
        <v/>
      </c>
      <c r="I251" s="160">
        <f>$B$10*'Transformaciones'!K243</f>
        <v/>
      </c>
      <c r="J251" s="160">
        <f>$B$13*'Transformaciones'!P244</f>
        <v/>
      </c>
      <c r="K251" s="166">
        <f>SUM(C251:J251)</f>
        <v/>
      </c>
      <c r="L251" s="166">
        <f>B251-K251</f>
        <v/>
      </c>
      <c r="M251" s="167">
        <f>'Datos_fuente'!B244</f>
        <v/>
      </c>
      <c r="N251" s="167">
        <f>EXP('Transformaciones'!B243+K251)</f>
        <v/>
      </c>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f>'Transformaciones'!A245</f>
        <v/>
      </c>
      <c r="B252" s="160">
        <f>'Transformaciones'!C245</f>
        <v/>
      </c>
      <c r="C252" s="160">
        <f>$B$6</f>
        <v/>
      </c>
      <c r="D252" s="160">
        <f>$B$7*'Transformaciones'!E245</f>
        <v/>
      </c>
      <c r="E252" s="160">
        <f>$B$11*'Transformaciones'!M245</f>
        <v/>
      </c>
      <c r="F252" s="160">
        <f>$B$12*'Transformaciones'!O245</f>
        <v/>
      </c>
      <c r="G252" s="160">
        <f>$B$8*'Transformaciones'!G244</f>
        <v/>
      </c>
      <c r="H252" s="160">
        <f>$B$9*'Transformaciones'!I244</f>
        <v/>
      </c>
      <c r="I252" s="160">
        <f>$B$10*'Transformaciones'!K244</f>
        <v/>
      </c>
      <c r="J252" s="160">
        <f>$B$13*'Transformaciones'!P245</f>
        <v/>
      </c>
      <c r="K252" s="166">
        <f>SUM(C252:J252)</f>
        <v/>
      </c>
      <c r="L252" s="166">
        <f>B252-K252</f>
        <v/>
      </c>
      <c r="M252" s="167">
        <f>'Datos_fuente'!B245</f>
        <v/>
      </c>
      <c r="N252" s="167">
        <f>EXP('Transformaciones'!B244+K252)</f>
        <v/>
      </c>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f>'Transformaciones'!A246</f>
        <v/>
      </c>
      <c r="B253" s="160">
        <f>'Transformaciones'!C246</f>
        <v/>
      </c>
      <c r="C253" s="160">
        <f>$B$6</f>
        <v/>
      </c>
      <c r="D253" s="160">
        <f>$B$7*'Transformaciones'!E246</f>
        <v/>
      </c>
      <c r="E253" s="160">
        <f>$B$11*'Transformaciones'!M246</f>
        <v/>
      </c>
      <c r="F253" s="160">
        <f>$B$12*'Transformaciones'!O246</f>
        <v/>
      </c>
      <c r="G253" s="160">
        <f>$B$8*'Transformaciones'!G245</f>
        <v/>
      </c>
      <c r="H253" s="160">
        <f>$B$9*'Transformaciones'!I245</f>
        <v/>
      </c>
      <c r="I253" s="160">
        <f>$B$10*'Transformaciones'!K245</f>
        <v/>
      </c>
      <c r="J253" s="160">
        <f>$B$13*'Transformaciones'!P246</f>
        <v/>
      </c>
      <c r="K253" s="166">
        <f>SUM(C253:J253)</f>
        <v/>
      </c>
      <c r="L253" s="166">
        <f>B253-K253</f>
        <v/>
      </c>
      <c r="M253" s="167">
        <f>'Datos_fuente'!B246</f>
        <v/>
      </c>
      <c r="N253" s="167">
        <f>EXP('Transformaciones'!B245+K253)</f>
        <v/>
      </c>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f>'Transformaciones'!A247</f>
        <v/>
      </c>
      <c r="B254" s="160">
        <f>'Transformaciones'!C247</f>
        <v/>
      </c>
      <c r="C254" s="160">
        <f>$B$6</f>
        <v/>
      </c>
      <c r="D254" s="160">
        <f>$B$7*'Transformaciones'!E247</f>
        <v/>
      </c>
      <c r="E254" s="160">
        <f>$B$11*'Transformaciones'!M247</f>
        <v/>
      </c>
      <c r="F254" s="160">
        <f>$B$12*'Transformaciones'!O247</f>
        <v/>
      </c>
      <c r="G254" s="160">
        <f>$B$8*'Transformaciones'!G246</f>
        <v/>
      </c>
      <c r="H254" s="160">
        <f>$B$9*'Transformaciones'!I246</f>
        <v/>
      </c>
      <c r="I254" s="160">
        <f>$B$10*'Transformaciones'!K246</f>
        <v/>
      </c>
      <c r="J254" s="160">
        <f>$B$13*'Transformaciones'!P247</f>
        <v/>
      </c>
      <c r="K254" s="166">
        <f>SUM(C254:J254)</f>
        <v/>
      </c>
      <c r="L254" s="166">
        <f>B254-K254</f>
        <v/>
      </c>
      <c r="M254" s="167">
        <f>'Datos_fuente'!B247</f>
        <v/>
      </c>
      <c r="N254" s="167">
        <f>EXP('Transformaciones'!B246+K254)</f>
        <v/>
      </c>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f>'Transformaciones'!A248</f>
        <v/>
      </c>
      <c r="B255" s="160">
        <f>'Transformaciones'!C248</f>
        <v/>
      </c>
      <c r="C255" s="160">
        <f>$B$6</f>
        <v/>
      </c>
      <c r="D255" s="160">
        <f>$B$7*'Transformaciones'!E248</f>
        <v/>
      </c>
      <c r="E255" s="160">
        <f>$B$11*'Transformaciones'!M248</f>
        <v/>
      </c>
      <c r="F255" s="160">
        <f>$B$12*'Transformaciones'!O248</f>
        <v/>
      </c>
      <c r="G255" s="160">
        <f>$B$8*'Transformaciones'!G247</f>
        <v/>
      </c>
      <c r="H255" s="160">
        <f>$B$9*'Transformaciones'!I247</f>
        <v/>
      </c>
      <c r="I255" s="160">
        <f>$B$10*'Transformaciones'!K247</f>
        <v/>
      </c>
      <c r="J255" s="160">
        <f>$B$13*'Transformaciones'!P248</f>
        <v/>
      </c>
      <c r="K255" s="166">
        <f>SUM(C255:J255)</f>
        <v/>
      </c>
      <c r="L255" s="166">
        <f>B255-K255</f>
        <v/>
      </c>
      <c r="M255" s="167">
        <f>'Datos_fuente'!B248</f>
        <v/>
      </c>
      <c r="N255" s="167">
        <f>EXP('Transformaciones'!B247+K255)</f>
        <v/>
      </c>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f>'Transformaciones'!A249</f>
        <v/>
      </c>
      <c r="B256" s="160">
        <f>'Transformaciones'!C249</f>
        <v/>
      </c>
      <c r="C256" s="160">
        <f>$B$6</f>
        <v/>
      </c>
      <c r="D256" s="160">
        <f>$B$7*'Transformaciones'!E249</f>
        <v/>
      </c>
      <c r="E256" s="160">
        <f>$B$11*'Transformaciones'!M249</f>
        <v/>
      </c>
      <c r="F256" s="160">
        <f>$B$12*'Transformaciones'!O249</f>
        <v/>
      </c>
      <c r="G256" s="160">
        <f>$B$8*'Transformaciones'!G248</f>
        <v/>
      </c>
      <c r="H256" s="160">
        <f>$B$9*'Transformaciones'!I248</f>
        <v/>
      </c>
      <c r="I256" s="160">
        <f>$B$10*'Transformaciones'!K248</f>
        <v/>
      </c>
      <c r="J256" s="160">
        <f>$B$13*'Transformaciones'!P249</f>
        <v/>
      </c>
      <c r="K256" s="166">
        <f>SUM(C256:J256)</f>
        <v/>
      </c>
      <c r="L256" s="166">
        <f>B256-K256</f>
        <v/>
      </c>
      <c r="M256" s="167">
        <f>'Datos_fuente'!B249</f>
        <v/>
      </c>
      <c r="N256" s="167">
        <f>EXP('Transformaciones'!B248+K256)</f>
        <v/>
      </c>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f>'Transformaciones'!A250</f>
        <v/>
      </c>
      <c r="B257" s="160">
        <f>'Transformaciones'!C250</f>
        <v/>
      </c>
      <c r="C257" s="160">
        <f>$B$6</f>
        <v/>
      </c>
      <c r="D257" s="160">
        <f>$B$7*'Transformaciones'!E250</f>
        <v/>
      </c>
      <c r="E257" s="160">
        <f>$B$11*'Transformaciones'!M250</f>
        <v/>
      </c>
      <c r="F257" s="160">
        <f>$B$12*'Transformaciones'!O250</f>
        <v/>
      </c>
      <c r="G257" s="160">
        <f>$B$8*'Transformaciones'!G249</f>
        <v/>
      </c>
      <c r="H257" s="160">
        <f>$B$9*'Transformaciones'!I249</f>
        <v/>
      </c>
      <c r="I257" s="160">
        <f>$B$10*'Transformaciones'!K249</f>
        <v/>
      </c>
      <c r="J257" s="160">
        <f>$B$13*'Transformaciones'!P250</f>
        <v/>
      </c>
      <c r="K257" s="166">
        <f>SUM(C257:J257)</f>
        <v/>
      </c>
      <c r="L257" s="166">
        <f>B257-K257</f>
        <v/>
      </c>
      <c r="M257" s="167">
        <f>'Datos_fuente'!B250</f>
        <v/>
      </c>
      <c r="N257" s="167">
        <f>EXP('Transformaciones'!B249+K257)</f>
        <v/>
      </c>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2">
    <mergeCell ref="A1:W1"/>
    <mergeCell ref="A2:W3"/>
  </mergeCells>
  <conditionalFormatting sqref="E6:E13">
    <cfRule type="cellIs" priority="1" operator="lessThan" dxfId="0">
      <formula>0.05</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1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s>
  <sheetData>
    <row r="1" ht="30" customHeight="1">
      <c r="A1" s="4" t="inlineStr">
        <is>
          <t>Modelo ampliado: nuevos canales domésticos y regionales</t>
        </is>
      </c>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7" t="inlineStr">
        <is>
          <t>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t>
        </is>
      </c>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c r="A5" s="62" t="inlineStr">
        <is>
          <t>Variable</t>
        </is>
      </c>
      <c r="B5" s="62" t="inlineStr">
        <is>
          <t>Coeficiente</t>
        </is>
      </c>
      <c r="C5" s="62" t="inlineStr">
        <is>
          <t>EE HAC</t>
        </is>
      </c>
      <c r="D5" s="62" t="inlineStr">
        <is>
          <t>t</t>
        </is>
      </c>
      <c r="E5" s="62" t="inlineStr">
        <is>
          <t>p-valor</t>
        </is>
      </c>
      <c r="F5" s="62" t="inlineStr">
        <is>
          <t>IC 95% inferior</t>
        </is>
      </c>
      <c r="G5" s="62" t="inlineStr">
        <is>
          <t>IC 95% superior</t>
        </is>
      </c>
      <c r="H5" s="64" t="n"/>
      <c r="I5" s="66" t="inlineStr">
        <is>
          <t>Indicador</t>
        </is>
      </c>
      <c r="J5" s="66" t="inlineStr">
        <is>
          <t>Valor</t>
        </is>
      </c>
      <c r="K5" s="66" t="inlineStr">
        <is>
          <t>Lectura</t>
        </is>
      </c>
      <c r="L5" s="66" t="inlineStr">
        <is>
          <t>Indicador</t>
        </is>
      </c>
      <c r="M5" s="66" t="inlineStr">
        <is>
          <t>Valor</t>
        </is>
      </c>
      <c r="N5" s="66" t="inlineStr">
        <is>
          <t>Lectura</t>
        </is>
      </c>
      <c r="O5" s="64" t="n"/>
      <c r="P5" s="64" t="n"/>
      <c r="Q5" s="64" t="n"/>
      <c r="R5" s="64" t="n"/>
      <c r="S5" s="64" t="n"/>
      <c r="T5" s="64" t="n"/>
      <c r="U5" s="64" t="n"/>
      <c r="V5" s="64"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c r="A6" s="64" t="inlineStr">
        <is>
          <t>Intercepto</t>
        </is>
      </c>
      <c r="B6" s="163" t="n">
        <v>0.003180297575970861</v>
      </c>
      <c r="C6" s="163" t="n">
        <v>0.00189373132002502</v>
      </c>
      <c r="D6" s="163" t="n">
        <v>1.679381622060749</v>
      </c>
      <c r="E6" s="163" t="n">
        <v>0.09445959318082726</v>
      </c>
      <c r="F6" s="163" t="n">
        <v>-0.0005513307494162626</v>
      </c>
      <c r="G6" s="163" t="n">
        <v>0.006911925901357985</v>
      </c>
      <c r="H6" s="64" t="n"/>
      <c r="I6" s="67" t="inlineStr">
        <is>
          <t>R²</t>
        </is>
      </c>
      <c r="J6" s="164" t="n">
        <v>0.6077231207021747</v>
      </c>
      <c r="K6" s="67" t="inlineStr">
        <is>
          <t>Variación explicada dentro de muestra</t>
        </is>
      </c>
      <c r="L6" s="67" t="inlineStr">
        <is>
          <t>AIC</t>
        </is>
      </c>
      <c r="M6" s="165" t="n">
        <v>-1152.183748797755</v>
      </c>
      <c r="N6" s="67" t="inlineStr">
        <is>
          <t>Comparación relativa</t>
        </is>
      </c>
      <c r="O6" s="64" t="n"/>
      <c r="P6" s="64" t="n"/>
      <c r="Q6" s="64" t="n"/>
      <c r="R6" s="64" t="n"/>
      <c r="S6" s="64" t="n"/>
      <c r="T6" s="64" t="n"/>
      <c r="U6" s="64" t="n"/>
      <c r="V6" s="64"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c r="A7" s="64" t="inlineStr">
        <is>
          <t>Δ ln términos de intercambio (t)</t>
        </is>
      </c>
      <c r="B7" s="163" t="n">
        <v>-0.09186138028377784</v>
      </c>
      <c r="C7" s="163" t="n">
        <v>0.02844017811030493</v>
      </c>
      <c r="D7" s="163" t="n">
        <v>-3.229986110758324</v>
      </c>
      <c r="E7" s="163" t="n">
        <v>0.001422253696621447</v>
      </c>
      <c r="F7" s="163" t="n">
        <v>-0.1479032131949358</v>
      </c>
      <c r="G7" s="163" t="n">
        <v>-0.03581954737261991</v>
      </c>
      <c r="H7" s="64" t="n"/>
      <c r="I7" s="67" t="inlineStr">
        <is>
          <t>R² ajustado</t>
        </is>
      </c>
      <c r="J7" s="164" t="n">
        <v>0.5851585214505299</v>
      </c>
      <c r="K7" s="67" t="inlineStr">
        <is>
          <t>Penaliza el número de parámetros</t>
        </is>
      </c>
      <c r="L7" s="67" t="inlineStr">
        <is>
          <t>BIC</t>
        </is>
      </c>
      <c r="M7" s="165" t="n">
        <v>-1103.454803870967</v>
      </c>
      <c r="N7" s="67" t="inlineStr">
        <is>
          <t>Comparación relativa</t>
        </is>
      </c>
      <c r="O7" s="64" t="n"/>
      <c r="P7" s="64" t="n"/>
      <c r="Q7" s="64" t="n"/>
      <c r="R7" s="64" t="n"/>
      <c r="S7" s="64" t="n"/>
      <c r="T7" s="64" t="n"/>
      <c r="U7" s="64" t="n"/>
      <c r="V7" s="64"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c r="A8" s="64" t="inlineStr">
        <is>
          <t>Δ ln remesas 12m (t−1)</t>
        </is>
      </c>
      <c r="B8" s="163" t="n">
        <v>0.1007553015283628</v>
      </c>
      <c r="C8" s="163" t="n">
        <v>0.1014490502682372</v>
      </c>
      <c r="D8" s="163" t="n">
        <v>0.9931616043911687</v>
      </c>
      <c r="E8" s="163" t="n">
        <v>0.3216933550497373</v>
      </c>
      <c r="F8" s="163" t="n">
        <v>-0.09915169982997904</v>
      </c>
      <c r="G8" s="163" t="n">
        <v>0.3006623028867047</v>
      </c>
      <c r="H8" s="64" t="n"/>
      <c r="I8" s="67" t="inlineStr">
        <is>
          <t>Observaciones</t>
        </is>
      </c>
      <c r="J8" s="67" t="n">
        <v>240</v>
      </c>
      <c r="K8" s="67" t="inlineStr">
        <is>
          <t>Muestra común completa</t>
        </is>
      </c>
      <c r="L8" s="67" t="inlineStr">
        <is>
          <t>MAPE condicional</t>
        </is>
      </c>
      <c r="M8" s="164" t="n">
        <v>0.01700257399880555</v>
      </c>
      <c r="N8" s="67" t="inlineStr">
        <is>
          <t>Ventana de validación</t>
        </is>
      </c>
      <c r="O8" s="64" t="n"/>
      <c r="P8" s="64" t="n"/>
      <c r="Q8" s="64" t="n"/>
      <c r="R8" s="64" t="n"/>
      <c r="S8" s="64" t="n"/>
      <c r="T8" s="64" t="n"/>
      <c r="U8" s="64" t="n"/>
      <c r="V8" s="64"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c r="A9" s="64" t="inlineStr">
        <is>
          <t>Δ diferencial tasas (t−1)</t>
        </is>
      </c>
      <c r="B9" s="163" t="n">
        <v>-0.00496295655526978</v>
      </c>
      <c r="C9" s="163" t="n">
        <v>0.0047239039151809</v>
      </c>
      <c r="D9" s="163" t="n">
        <v>-1.050604890442554</v>
      </c>
      <c r="E9" s="163" t="n">
        <v>0.2945621973833648</v>
      </c>
      <c r="F9" s="163" t="n">
        <v>-0.01427148594900832</v>
      </c>
      <c r="G9" s="163" t="n">
        <v>0.004345572838468756</v>
      </c>
      <c r="H9" s="64" t="n"/>
      <c r="I9" s="67" t="inlineStr">
        <is>
          <t>Acierto dirección</t>
        </is>
      </c>
      <c r="J9" s="164" t="n">
        <v>0.8125</v>
      </c>
      <c r="K9" s="67" t="inlineStr">
        <is>
          <t>Signo del cambio mensual</t>
        </is>
      </c>
      <c r="L9" s="67" t="inlineStr">
        <is>
          <t>Inferencia</t>
        </is>
      </c>
      <c r="M9" s="67" t="inlineStr">
        <is>
          <t>HAC</t>
        </is>
      </c>
      <c r="N9" s="67" t="inlineStr">
        <is>
          <t>Errores robustos</t>
        </is>
      </c>
      <c r="O9" s="64" t="n"/>
      <c r="P9" s="64" t="n"/>
      <c r="Q9" s="64" t="n"/>
      <c r="R9" s="64" t="n"/>
      <c r="S9" s="64" t="n"/>
      <c r="T9" s="64" t="n"/>
      <c r="U9" s="64" t="n"/>
      <c r="V9" s="64"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c r="A10" s="64" t="inlineStr">
        <is>
          <t>Δ déficit fiscal 12m/PIB (t−1)</t>
        </is>
      </c>
      <c r="B10" s="163" t="n">
        <v>-0.0007533975692797452</v>
      </c>
      <c r="C10" s="163" t="n">
        <v>0.003456228868980784</v>
      </c>
      <c r="D10" s="163" t="n">
        <v>-0.2179825462490036</v>
      </c>
      <c r="E10" s="163" t="n">
        <v>0.8276394022591397</v>
      </c>
      <c r="F10" s="163" t="n">
        <v>-0.007563952694036828</v>
      </c>
      <c r="G10" s="163" t="n">
        <v>0.006057157555477337</v>
      </c>
      <c r="H10" s="64" t="n"/>
      <c r="I10" s="64" t="n"/>
      <c r="J10" s="64" t="n"/>
      <c r="K10" s="64" t="n"/>
      <c r="L10" s="64" t="n"/>
      <c r="M10" s="64" t="n"/>
      <c r="N10" s="64" t="n"/>
      <c r="O10" s="64" t="n"/>
      <c r="P10" s="64" t="n"/>
      <c r="Q10" s="64" t="n"/>
      <c r="R10" s="64" t="n"/>
      <c r="S10" s="64" t="n"/>
      <c r="T10" s="64" t="n"/>
      <c r="U10" s="64" t="n"/>
      <c r="V10" s="64"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c r="A11" s="64" t="inlineStr">
        <is>
          <t>Δ ln índice dólar amplio (t)</t>
        </is>
      </c>
      <c r="B11" s="163" t="n">
        <v>0.2414496523574372</v>
      </c>
      <c r="C11" s="163" t="n">
        <v>0.2104254975212278</v>
      </c>
      <c r="D11" s="163" t="n">
        <v>1.147435340306512</v>
      </c>
      <c r="E11" s="163" t="n">
        <v>0.252414963842583</v>
      </c>
      <c r="F11" s="163" t="n">
        <v>-0.1731972083828273</v>
      </c>
      <c r="G11" s="163" t="n">
        <v>0.6560965130977017</v>
      </c>
      <c r="H11" s="64" t="n"/>
      <c r="I11" s="64" t="n"/>
      <c r="J11" s="64" t="n"/>
      <c r="K11" s="64" t="n"/>
      <c r="L11" s="64" t="n"/>
      <c r="M11" s="64" t="n"/>
      <c r="N11" s="64" t="n"/>
      <c r="O11" s="64" t="n"/>
      <c r="P11" s="64" t="n"/>
      <c r="Q11" s="64" t="n"/>
      <c r="R11" s="64" t="n"/>
      <c r="S11" s="64" t="n"/>
      <c r="T11" s="64" t="n"/>
      <c r="U11" s="64" t="n"/>
      <c r="V11" s="64"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ht="22" customHeight="1">
      <c r="A12" s="64" t="inlineStr">
        <is>
          <t>Δ ln VIX (t)</t>
        </is>
      </c>
      <c r="B12" s="163" t="n">
        <v>0.01143925941531714</v>
      </c>
      <c r="C12" s="163" t="n">
        <v>0.009755982936752415</v>
      </c>
      <c r="D12" s="163" t="n">
        <v>1.17253786619732</v>
      </c>
      <c r="E12" s="163" t="n">
        <v>0.2422156280137635</v>
      </c>
      <c r="F12" s="163" t="n">
        <v>-0.007785063424893251</v>
      </c>
      <c r="G12" s="163" t="n">
        <v>0.03066358225552753</v>
      </c>
      <c r="H12" s="64" t="n"/>
      <c r="I12" s="111" t="inlineStr">
        <is>
          <t>Diagnósticos del modelo ampliado</t>
        </is>
      </c>
      <c r="M12" s="64" t="n"/>
      <c r="N12" s="64" t="n"/>
      <c r="O12" s="64" t="n"/>
      <c r="P12" s="64" t="n"/>
      <c r="Q12" s="64" t="n"/>
      <c r="R12" s="64" t="n"/>
      <c r="S12" s="64" t="n"/>
      <c r="T12" s="64" t="n"/>
      <c r="U12" s="64" t="n"/>
      <c r="V12" s="64"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c r="A13" s="64" t="inlineStr">
        <is>
          <t>Δ EMBIG Colombia (t)</t>
        </is>
      </c>
      <c r="B13" s="163" t="n">
        <v>0.01709657521635157</v>
      </c>
      <c r="C13" s="163" t="n">
        <v>0.01131754888215643</v>
      </c>
      <c r="D13" s="163" t="n">
        <v>1.51062525944169</v>
      </c>
      <c r="E13" s="163" t="n">
        <v>0.1322808535708251</v>
      </c>
      <c r="F13" s="163" t="n">
        <v>-0.005204838683298321</v>
      </c>
      <c r="G13" s="163" t="n">
        <v>0.03939798911600147</v>
      </c>
      <c r="H13" s="64" t="n"/>
      <c r="I13" s="62" t="inlineStr">
        <is>
          <t>Prueba</t>
        </is>
      </c>
      <c r="J13" s="62" t="inlineStr">
        <is>
          <t>Estadístico</t>
        </is>
      </c>
      <c r="K13" s="62" t="inlineStr">
        <is>
          <t>p-valor</t>
        </is>
      </c>
      <c r="L13" s="62" t="inlineStr">
        <is>
          <t>Lectura</t>
        </is>
      </c>
      <c r="M13" s="64" t="n"/>
      <c r="N13" s="64" t="n"/>
      <c r="O13" s="64" t="n"/>
      <c r="P13" s="64" t="n"/>
      <c r="Q13" s="64" t="n"/>
      <c r="R13" s="64" t="n"/>
      <c r="S13" s="64" t="n"/>
      <c r="T13" s="64" t="n"/>
      <c r="U13" s="64" t="n"/>
      <c r="V13" s="64"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c r="A14" s="64" t="inlineStr">
        <is>
          <t>Δ ln reservas netas sin FLAR (t−1)</t>
        </is>
      </c>
      <c r="B14" s="163" t="n">
        <v>-0.2936563751181938</v>
      </c>
      <c r="C14" s="163" t="n">
        <v>0.1174429211949793</v>
      </c>
      <c r="D14" s="163" t="n">
        <v>-2.500417838131462</v>
      </c>
      <c r="E14" s="163" t="n">
        <v>0.01311467655321556</v>
      </c>
      <c r="F14" s="163" t="n">
        <v>-0.5250795589210587</v>
      </c>
      <c r="G14" s="163" t="n">
        <v>-0.06223319131532876</v>
      </c>
      <c r="H14" s="64" t="n"/>
      <c r="I14" s="64" t="inlineStr">
        <is>
          <t>Ljung-Box (6)</t>
        </is>
      </c>
      <c r="J14" s="169" t="n">
        <v>4.344009993030405</v>
      </c>
      <c r="K14" s="169" t="n">
        <v>0.6302295840540659</v>
      </c>
      <c r="L14" s="64" t="inlineStr">
        <is>
          <t>Sin autocorrelación detectada</t>
        </is>
      </c>
      <c r="M14" s="64" t="n"/>
      <c r="N14" s="64" t="n"/>
      <c r="O14" s="64" t="n"/>
      <c r="P14" s="64" t="n"/>
      <c r="Q14" s="64" t="n"/>
      <c r="R14" s="64" t="n"/>
      <c r="S14" s="64" t="n"/>
      <c r="T14" s="64" t="n"/>
      <c r="U14" s="64" t="n"/>
      <c r="V14" s="64"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c r="A15" s="64" t="inlineStr">
        <is>
          <t>Δ asinh balanza comercial cambiaria (t−1)</t>
        </is>
      </c>
      <c r="B15" s="163" t="n">
        <v>0.04698718139201329</v>
      </c>
      <c r="C15" s="163" t="n">
        <v>0.01175432986743407</v>
      </c>
      <c r="D15" s="163" t="n">
        <v>3.99743600204666</v>
      </c>
      <c r="E15" s="163" t="n">
        <v>8.671532212089644e-05</v>
      </c>
      <c r="F15" s="163" t="n">
        <v>0.02382508346637867</v>
      </c>
      <c r="G15" s="163" t="n">
        <v>0.07014927931764792</v>
      </c>
      <c r="H15" s="64" t="n"/>
      <c r="I15" s="64" t="inlineStr">
        <is>
          <t>Ljung-Box (12)</t>
        </is>
      </c>
      <c r="J15" s="169" t="n">
        <v>7.545392430306235</v>
      </c>
      <c r="K15" s="169" t="n">
        <v>0.8195718602186132</v>
      </c>
      <c r="L15" s="64" t="inlineStr">
        <is>
          <t>Sin autocorrelación detectada</t>
        </is>
      </c>
      <c r="M15" s="64" t="n"/>
      <c r="N15" s="64" t="n"/>
      <c r="O15" s="64" t="n"/>
      <c r="P15" s="64" t="n"/>
      <c r="Q15" s="64" t="n"/>
      <c r="R15" s="64" t="n"/>
      <c r="S15" s="64" t="n"/>
      <c r="T15" s="64" t="n"/>
      <c r="U15" s="64" t="n"/>
      <c r="V15" s="64"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c r="A16" s="64" t="inlineStr">
        <is>
          <t>Δ asinh flujo neto de capital (t−1)</t>
        </is>
      </c>
      <c r="B16" s="163" t="n">
        <v>0.0006549951561383525</v>
      </c>
      <c r="C16" s="163" t="n">
        <v>0.003471803613994819</v>
      </c>
      <c r="D16" s="163" t="n">
        <v>0.1886613498234955</v>
      </c>
      <c r="E16" s="163" t="n">
        <v>0.850527549819585</v>
      </c>
      <c r="F16" s="163" t="n">
        <v>-0.006186250256644534</v>
      </c>
      <c r="G16" s="163" t="n">
        <v>0.007496240568921239</v>
      </c>
      <c r="H16" s="64" t="n"/>
      <c r="I16" s="64" t="inlineStr">
        <is>
          <t>Breusch-Godfrey (12)</t>
        </is>
      </c>
      <c r="J16" s="169" t="n">
        <v>8.565786402439484</v>
      </c>
      <c r="K16" s="169" t="n">
        <v>0.7395020759248623</v>
      </c>
      <c r="L16" s="64" t="inlineStr">
        <is>
          <t>Sin autocorrelación detectada</t>
        </is>
      </c>
      <c r="M16" s="64" t="n"/>
      <c r="N16" s="64" t="n"/>
      <c r="O16" s="64" t="n"/>
      <c r="P16" s="64" t="n"/>
      <c r="Q16" s="64" t="n"/>
      <c r="R16" s="64" t="n"/>
      <c r="S16" s="64" t="n"/>
      <c r="T16" s="64" t="n"/>
      <c r="U16" s="64" t="n"/>
      <c r="V16" s="64"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c r="A17" s="64" t="inlineStr">
        <is>
          <t>Δ diferencial BEI 5 años (t−1)</t>
        </is>
      </c>
      <c r="B17" s="163" t="n">
        <v>-0.006274326192998767</v>
      </c>
      <c r="C17" s="163" t="n">
        <v>0.004633946140495352</v>
      </c>
      <c r="D17" s="163" t="n">
        <v>-1.353992041074535</v>
      </c>
      <c r="E17" s="163" t="n">
        <v>0.177091293037099</v>
      </c>
      <c r="F17" s="163" t="n">
        <v>-0.0154055923305638</v>
      </c>
      <c r="G17" s="163" t="n">
        <v>0.002856939944566264</v>
      </c>
      <c r="H17" s="64" t="n"/>
      <c r="I17" s="64" t="inlineStr">
        <is>
          <t>ARCH-LM (12)</t>
        </is>
      </c>
      <c r="J17" s="169" t="n">
        <v>31.63607035221656</v>
      </c>
      <c r="K17" s="169" t="n">
        <v>0.00157437247627409</v>
      </c>
      <c r="L17" s="64" t="inlineStr">
        <is>
          <t>Heterocedasticidad condicional</t>
        </is>
      </c>
      <c r="M17" s="64" t="n"/>
      <c r="N17" s="64" t="n"/>
      <c r="O17" s="64" t="n"/>
      <c r="P17" s="64" t="n"/>
      <c r="Q17" s="64" t="n"/>
      <c r="R17" s="64" t="n"/>
      <c r="S17" s="64" t="n"/>
      <c r="T17" s="64" t="n"/>
      <c r="U17" s="64" t="n"/>
      <c r="V17" s="64"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c r="A18" s="64" t="inlineStr">
        <is>
          <t>Factor regional BRL, CLP, MXN y PEN (t)</t>
        </is>
      </c>
      <c r="B18" s="163" t="n">
        <v>0.01653101447929981</v>
      </c>
      <c r="C18" s="163" t="n">
        <v>0.003587440672361753</v>
      </c>
      <c r="D18" s="163" t="n">
        <v>4.608024491291948</v>
      </c>
      <c r="E18" s="163" t="n">
        <v>6.794482561747047e-06</v>
      </c>
      <c r="F18" s="163" t="n">
        <v>0.009461904364748782</v>
      </c>
      <c r="G18" s="163" t="n">
        <v>0.02360012459385084</v>
      </c>
      <c r="H18" s="64" t="n"/>
      <c r="I18" s="64" t="inlineStr">
        <is>
          <t>Jarque-Bera</t>
        </is>
      </c>
      <c r="J18" s="169" t="n">
        <v>12.48032855499101</v>
      </c>
      <c r="K18" s="169" t="n">
        <v>0.001949535231772257</v>
      </c>
      <c r="L18" s="64" t="inlineStr">
        <is>
          <t>Residuos no normales</t>
        </is>
      </c>
      <c r="M18" s="64" t="n"/>
      <c r="N18" s="64" t="n"/>
      <c r="O18" s="64" t="n"/>
      <c r="P18" s="64" t="n"/>
      <c r="Q18" s="64" t="n"/>
      <c r="R18" s="64" t="n"/>
      <c r="S18" s="64" t="n"/>
      <c r="T18" s="64" t="n"/>
      <c r="U18" s="64" t="n"/>
      <c r="V18" s="64"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c r="A19" s="64" t="inlineStr">
        <is>
          <t>Dummy pandemia 2020</t>
        </is>
      </c>
      <c r="B19" s="163" t="n">
        <v>-0.002721153020680826</v>
      </c>
      <c r="C19" s="163" t="n">
        <v>0.006347536208018718</v>
      </c>
      <c r="D19" s="163" t="n">
        <v>-0.4286943676261739</v>
      </c>
      <c r="E19" s="163" t="n">
        <v>0.6685539812375776</v>
      </c>
      <c r="F19" s="163" t="n">
        <v>-0.01522907621960118</v>
      </c>
      <c r="G19" s="163" t="n">
        <v>0.009786770178239531</v>
      </c>
      <c r="H19" s="64" t="n"/>
      <c r="I19" s="64" t="inlineStr">
        <is>
          <t>Ramsey RESET</t>
        </is>
      </c>
      <c r="J19" s="169" t="n">
        <v>3.132491188857761</v>
      </c>
      <c r="K19" s="169" t="n">
        <v>0.07810073138624381</v>
      </c>
      <c r="L19" s="64" t="inlineStr">
        <is>
          <t>Sin evidencia de mala forma funcional</t>
        </is>
      </c>
      <c r="M19" s="64" t="n"/>
      <c r="N19" s="64" t="n"/>
      <c r="O19" s="64" t="n"/>
      <c r="P19" s="64" t="n"/>
      <c r="Q19" s="64" t="n"/>
      <c r="R19" s="64" t="n"/>
      <c r="S19" s="64" t="n"/>
      <c r="T19" s="64" t="n"/>
      <c r="U19" s="64" t="n"/>
      <c r="V19" s="64"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c r="A20" s="64" t="n"/>
      <c r="B20" s="64" t="n"/>
      <c r="C20" s="64" t="n"/>
      <c r="D20" s="64" t="n"/>
      <c r="E20" s="64" t="n"/>
      <c r="F20" s="64" t="n"/>
      <c r="G20" s="64" t="n"/>
      <c r="H20" s="64" t="n"/>
      <c r="I20" s="64" t="inlineStr">
        <is>
          <t>CUSUM estabilidad</t>
        </is>
      </c>
      <c r="J20" s="169" t="n">
        <v>0.91045055206151</v>
      </c>
      <c r="K20" s="169" t="n">
        <v>0.3784640189957469</v>
      </c>
      <c r="L20" s="64" t="inlineStr">
        <is>
          <t>Sin inestabilidad detectada</t>
        </is>
      </c>
      <c r="M20" s="64" t="n"/>
      <c r="N20" s="64" t="n"/>
      <c r="O20" s="64" t="n"/>
      <c r="P20" s="64" t="n"/>
      <c r="Q20" s="64" t="n"/>
      <c r="R20" s="64" t="n"/>
      <c r="S20" s="64" t="n"/>
      <c r="T20" s="64" t="n"/>
      <c r="U20" s="64" t="n"/>
      <c r="V20" s="64"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c r="A21" s="64" t="n"/>
      <c r="B21" s="64" t="n"/>
      <c r="C21" s="64" t="n"/>
      <c r="D21" s="64" t="n"/>
      <c r="E21" s="64" t="n"/>
      <c r="F21" s="64" t="n"/>
      <c r="G21" s="64" t="n"/>
      <c r="H21" s="64" t="n"/>
      <c r="I21" s="64" t="inlineStr">
        <is>
          <t>Durbin-Watson</t>
        </is>
      </c>
      <c r="J21" s="169" t="n">
        <v>1.790245741992393</v>
      </c>
      <c r="K21" s="169" t="n"/>
      <c r="L21" s="64" t="inlineStr">
        <is>
          <t>Cercano a 2</t>
        </is>
      </c>
      <c r="M21" s="64" t="n"/>
      <c r="N21" s="64" t="n"/>
      <c r="O21" s="64" t="n"/>
      <c r="P21" s="64" t="n"/>
      <c r="Q21" s="64" t="n"/>
      <c r="R21" s="64" t="n"/>
      <c r="S21" s="64" t="n"/>
      <c r="T21" s="64" t="n"/>
      <c r="U21" s="64" t="n"/>
      <c r="V21" s="64"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c r="A22" s="64" t="n"/>
      <c r="B22" s="64" t="n"/>
      <c r="C22" s="64" t="n"/>
      <c r="D22" s="64" t="n"/>
      <c r="E22" s="64" t="n"/>
      <c r="F22" s="64" t="n"/>
      <c r="G22" s="64" t="n"/>
      <c r="H22" s="64" t="n"/>
      <c r="I22" s="64" t="n"/>
      <c r="J22" s="64" t="n"/>
      <c r="K22" s="64" t="n"/>
      <c r="L22" s="64" t="n"/>
      <c r="M22" s="64" t="n"/>
      <c r="N22" s="64" t="n"/>
      <c r="O22" s="64" t="n"/>
      <c r="P22" s="64" t="n"/>
      <c r="Q22" s="64" t="n"/>
      <c r="R22" s="64" t="n"/>
      <c r="S22" s="64" t="n"/>
      <c r="T22" s="64" t="n"/>
      <c r="U22" s="64" t="n"/>
      <c r="V22" s="64"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c r="A23" s="64" t="n"/>
      <c r="B23" s="64" t="n"/>
      <c r="C23" s="64" t="n"/>
      <c r="D23" s="64" t="n"/>
      <c r="E23" s="64" t="n"/>
      <c r="F23" s="64" t="n"/>
      <c r="G23" s="64" t="n"/>
      <c r="H23" s="64" t="n"/>
      <c r="I23" s="64" t="n"/>
      <c r="J23" s="64" t="n"/>
      <c r="K23" s="64" t="n"/>
      <c r="L23" s="64" t="n"/>
      <c r="M23" s="64" t="n"/>
      <c r="N23" s="64" t="n"/>
      <c r="O23" s="64" t="n"/>
      <c r="P23" s="64" t="n"/>
      <c r="Q23" s="64" t="n"/>
      <c r="R23" s="64" t="n"/>
      <c r="S23" s="64" t="n"/>
      <c r="T23" s="64" t="n"/>
      <c r="U23" s="64" t="n"/>
      <c r="V23" s="64"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ht="48" customHeight="1">
      <c r="A24" s="62" t="inlineStr">
        <is>
          <t>Mes</t>
        </is>
      </c>
      <c r="B24" s="62" t="inlineStr">
        <is>
          <t>Δln TRM observado</t>
        </is>
      </c>
      <c r="C24" s="62" t="inlineStr">
        <is>
          <t>Δln TRM ajustado</t>
        </is>
      </c>
      <c r="D24" s="62" t="inlineStr">
        <is>
          <t>Residuo</t>
        </is>
      </c>
      <c r="E24" s="62" t="inlineStr">
        <is>
          <t>TRM observada</t>
        </is>
      </c>
      <c r="F24" s="62" t="inlineStr">
        <is>
          <t>TRM ajustada 1 paso</t>
        </is>
      </c>
      <c r="G24" s="62" t="inlineStr">
        <is>
          <t>Intercepto</t>
        </is>
      </c>
      <c r="H24" s="62" t="inlineStr">
        <is>
          <t>Δ ln términos de intercambio (t)</t>
        </is>
      </c>
      <c r="I24" s="62" t="inlineStr">
        <is>
          <t>Δ ln remesas 12m (t−1)</t>
        </is>
      </c>
      <c r="J24" s="62" t="inlineStr">
        <is>
          <t>Δ diferencial tasas (t−1)</t>
        </is>
      </c>
      <c r="K24" s="62" t="inlineStr">
        <is>
          <t>Δ déficit fiscal 12m/PIB (t−1)</t>
        </is>
      </c>
      <c r="L24" s="62" t="inlineStr">
        <is>
          <t>Δ ln índice dólar amplio (t)</t>
        </is>
      </c>
      <c r="M24" s="62" t="inlineStr">
        <is>
          <t>Δ ln VIX (t)</t>
        </is>
      </c>
      <c r="N24" s="62" t="inlineStr">
        <is>
          <t>Δ EMBIG Colombia (t)</t>
        </is>
      </c>
      <c r="O24" s="62" t="inlineStr">
        <is>
          <t>Δ ln reservas netas sin FLAR (t−1)</t>
        </is>
      </c>
      <c r="P24" s="62" t="inlineStr">
        <is>
          <t>Δ asinh balanza comercial cambiaria (t−1)</t>
        </is>
      </c>
      <c r="Q24" s="62" t="inlineStr">
        <is>
          <t>Δ asinh flujo neto de capital (t−1)</t>
        </is>
      </c>
      <c r="R24" s="62" t="inlineStr">
        <is>
          <t>Δ diferencial BEI 5 años (t−1)</t>
        </is>
      </c>
      <c r="S24" s="62" t="inlineStr">
        <is>
          <t>Factor regional BRL, CLP, MXN y PEN (t)</t>
        </is>
      </c>
      <c r="T24" s="62" t="inlineStr">
        <is>
          <t>Dummy pandemia 2020</t>
        </is>
      </c>
      <c r="U24" s="62" t="inlineStr">
        <is>
          <t>Ajuste total de contribuciones</t>
        </is>
      </c>
      <c r="V24" s="62" t="inlineStr">
        <is>
          <t>Diferencia de control</t>
        </is>
      </c>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c r="A25" s="64" t="inlineStr">
        <is>
          <t>2006-05</t>
        </is>
      </c>
      <c r="B25" s="163" t="n">
        <v>0.03513841925748107</v>
      </c>
      <c r="C25" s="163" t="n">
        <v>0.003522497353265481</v>
      </c>
      <c r="D25" s="163" t="n">
        <v>0.03161592190421559</v>
      </c>
      <c r="E25" s="170" t="n">
        <v>2418.64935483871</v>
      </c>
      <c r="F25" s="170" t="n">
        <v>2343.377687121962</v>
      </c>
      <c r="G25" s="163" t="n">
        <v>0.003180297575970861</v>
      </c>
      <c r="H25" s="163" t="n">
        <v>0.0006146404023747782</v>
      </c>
      <c r="I25" s="163" t="n">
        <v>0.0006300741275846504</v>
      </c>
      <c r="J25" s="163" t="n">
        <v>0.0009925913110539568</v>
      </c>
      <c r="K25" s="163" t="n">
        <v>-0.0005479170979451454</v>
      </c>
      <c r="L25" s="163" t="n">
        <v>-0.005463658290512057</v>
      </c>
      <c r="M25" s="163" t="n">
        <v>0.002275304853494863</v>
      </c>
      <c r="N25" s="163" t="n">
        <v>0.002540328078342672</v>
      </c>
      <c r="O25" s="163" t="n">
        <v>0.0009087371639048415</v>
      </c>
      <c r="P25" s="163" t="n">
        <v>0.001929427374408909</v>
      </c>
      <c r="Q25" s="163" t="n">
        <v>-7.139974153197924e-05</v>
      </c>
      <c r="R25" s="163" t="n">
        <v>-0.0007986671617368425</v>
      </c>
      <c r="S25" s="163" t="n">
        <v>-0.002667261242144027</v>
      </c>
      <c r="T25" s="163" t="n">
        <v>0</v>
      </c>
      <c r="U25" s="163" t="n">
        <v>0.003522497353265481</v>
      </c>
      <c r="V25" s="171">
        <f>C25-U25</f>
        <v/>
      </c>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c r="A26" s="64" t="inlineStr">
        <is>
          <t>2006-06</t>
        </is>
      </c>
      <c r="B26" s="163" t="n">
        <v>0.04982844852150414</v>
      </c>
      <c r="C26" s="163" t="n">
        <v>0.0341150180620602</v>
      </c>
      <c r="D26" s="163" t="n">
        <v>0.01571343045944394</v>
      </c>
      <c r="E26" s="170" t="n">
        <v>2542.22</v>
      </c>
      <c r="F26" s="170" t="n">
        <v>2502.585217537975</v>
      </c>
      <c r="G26" s="163" t="n">
        <v>0.003180297575970861</v>
      </c>
      <c r="H26" s="163" t="n">
        <v>0.0001627906448928914</v>
      </c>
      <c r="I26" s="163" t="n">
        <v>0.002783459942411953</v>
      </c>
      <c r="J26" s="163" t="n">
        <v>-0.0004562718123393178</v>
      </c>
      <c r="K26" s="163" t="n">
        <v>0.0003685255020628283</v>
      </c>
      <c r="L26" s="163" t="n">
        <v>0.002906591122536423</v>
      </c>
      <c r="M26" s="163" t="n">
        <v>0.001800617543154589</v>
      </c>
      <c r="N26" s="163" t="n">
        <v>0.007301859426888808</v>
      </c>
      <c r="O26" s="163" t="n">
        <v>0.01010473801491356</v>
      </c>
      <c r="P26" s="163" t="n">
        <v>-0.00281586723169796</v>
      </c>
      <c r="Q26" s="163" t="n">
        <v>-0.0003290269582899426</v>
      </c>
      <c r="R26" s="163" t="n">
        <v>-0.002540248925258156</v>
      </c>
      <c r="S26" s="163" t="n">
        <v>0.01164755321681367</v>
      </c>
      <c r="T26" s="163" t="n">
        <v>0</v>
      </c>
      <c r="U26" s="163" t="n">
        <v>0.0341150180620602</v>
      </c>
      <c r="V26" s="171">
        <f>C26-U26</f>
        <v/>
      </c>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c r="A27" s="64" t="inlineStr">
        <is>
          <t>2006-07</t>
        </is>
      </c>
      <c r="B27" s="163" t="n">
        <v>-0.01128258538918914</v>
      </c>
      <c r="C27" s="163" t="n">
        <v>-0.009930561389189808</v>
      </c>
      <c r="D27" s="163" t="n">
        <v>-0.001352023999999329</v>
      </c>
      <c r="E27" s="170" t="n">
        <v>2513.698387096775</v>
      </c>
      <c r="F27" s="170" t="n">
        <v>2517.099266161889</v>
      </c>
      <c r="G27" s="163" t="n">
        <v>0.003180297575970861</v>
      </c>
      <c r="H27" s="163" t="n">
        <v>-0.001675084581045123</v>
      </c>
      <c r="I27" s="163" t="n">
        <v>0.00198745470655896</v>
      </c>
      <c r="J27" s="163" t="n">
        <v>-0.0002054557283633171</v>
      </c>
      <c r="K27" s="163" t="n">
        <v>-0.0001015360001348139</v>
      </c>
      <c r="L27" s="163" t="n">
        <v>-0.0006222273299632386</v>
      </c>
      <c r="M27" s="163" t="n">
        <v>-0.001130942670551829</v>
      </c>
      <c r="N27" s="163" t="n">
        <v>-0.0005184480925997481</v>
      </c>
      <c r="O27" s="163" t="n">
        <v>0.002711954466599719</v>
      </c>
      <c r="P27" s="163" t="n">
        <v>-0.001724741056700782</v>
      </c>
      <c r="Q27" s="163" t="n">
        <v>0.0002845091232268541</v>
      </c>
      <c r="R27" s="163" t="n">
        <v>0.0002693529797839911</v>
      </c>
      <c r="S27" s="163" t="n">
        <v>-0.01238569478197134</v>
      </c>
      <c r="T27" s="163" t="n">
        <v>0</v>
      </c>
      <c r="U27" s="163" t="n">
        <v>-0.009930561389189806</v>
      </c>
      <c r="V27" s="171">
        <f>C27-U27</f>
        <v/>
      </c>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c r="A28" s="64" t="inlineStr">
        <is>
          <t>2006-08</t>
        </is>
      </c>
      <c r="B28" s="163" t="n">
        <v>-0.05088714774135372</v>
      </c>
      <c r="C28" s="163" t="n">
        <v>-0.0181896951262733</v>
      </c>
      <c r="D28" s="163" t="n">
        <v>-0.03269745261508042</v>
      </c>
      <c r="E28" s="170" t="n">
        <v>2388.983548387097</v>
      </c>
      <c r="F28" s="170" t="n">
        <v>2468.388317260481</v>
      </c>
      <c r="G28" s="163" t="n">
        <v>0.003180297575970861</v>
      </c>
      <c r="H28" s="163" t="n">
        <v>0.002356501401057141</v>
      </c>
      <c r="I28" s="163" t="n">
        <v>0.00140463241254752</v>
      </c>
      <c r="J28" s="163" t="n">
        <v>0.0004135797129391469</v>
      </c>
      <c r="K28" s="163" t="n">
        <v>0.0001007672395557611</v>
      </c>
      <c r="L28" s="163" t="n">
        <v>-0.001784728879697625</v>
      </c>
      <c r="M28" s="163" t="n">
        <v>-0.001577520594098022</v>
      </c>
      <c r="N28" s="163" t="n">
        <v>-0.005437985197697915</v>
      </c>
      <c r="O28" s="163" t="n">
        <v>-0.004577557330687035</v>
      </c>
      <c r="P28" s="163" t="n">
        <v>-0.007193177070424133</v>
      </c>
      <c r="Q28" s="163" t="n">
        <v>0.0004246834198908977</v>
      </c>
      <c r="R28" s="163" t="n">
        <v>0.0003865592978624484</v>
      </c>
      <c r="S28" s="163" t="n">
        <v>-0.005885747113492348</v>
      </c>
      <c r="T28" s="163" t="n">
        <v>0</v>
      </c>
      <c r="U28" s="163" t="n">
        <v>-0.0181896951262733</v>
      </c>
      <c r="V28" s="171">
        <f>C28-U28</f>
        <v/>
      </c>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c r="A29" s="64" t="inlineStr">
        <is>
          <t>2006-09</t>
        </is>
      </c>
      <c r="B29" s="163" t="n">
        <v>0.004062555075931229</v>
      </c>
      <c r="C29" s="163" t="n">
        <v>0.008324384828002856</v>
      </c>
      <c r="D29" s="163" t="n">
        <v>-0.004261829752071627</v>
      </c>
      <c r="E29" s="170" t="n">
        <v>2398.708666666666</v>
      </c>
      <c r="F29" s="170" t="n">
        <v>2408.953369712569</v>
      </c>
      <c r="G29" s="163" t="n">
        <v>0.003180297575970861</v>
      </c>
      <c r="H29" s="163" t="n">
        <v>0.004520925273376445</v>
      </c>
      <c r="I29" s="163" t="n">
        <v>0.0009494473682051379</v>
      </c>
      <c r="J29" s="163" t="n">
        <v>-0.0003506088663239003</v>
      </c>
      <c r="K29" s="163" t="n">
        <v>-1.398871706289139e-05</v>
      </c>
      <c r="L29" s="163" t="n">
        <v>0.0006603247444979954</v>
      </c>
      <c r="M29" s="163" t="n">
        <v>-0.00104648628553128</v>
      </c>
      <c r="N29" s="163" t="n">
        <v>0.001684879876394071</v>
      </c>
      <c r="O29" s="163" t="n">
        <v>-0.005819507235612116</v>
      </c>
      <c r="P29" s="163" t="n">
        <v>0.005076503798540468</v>
      </c>
      <c r="Q29" s="163" t="n">
        <v>-8.386117709614437e-05</v>
      </c>
      <c r="R29" s="163" t="n">
        <v>-0.00252217680906558</v>
      </c>
      <c r="S29" s="163" t="n">
        <v>0.00208863528170979</v>
      </c>
      <c r="T29" s="163" t="n">
        <v>0</v>
      </c>
      <c r="U29" s="163" t="n">
        <v>0.008324384828002854</v>
      </c>
      <c r="V29" s="171">
        <f>C29-U29</f>
        <v/>
      </c>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c r="A30" s="64" t="inlineStr">
        <is>
          <t>2006-10</t>
        </is>
      </c>
      <c r="B30" s="163" t="n">
        <v>-0.01550799921854473</v>
      </c>
      <c r="C30" s="163" t="n">
        <v>-0.01214735648781081</v>
      </c>
      <c r="D30" s="163" t="n">
        <v>-0.003360642730733922</v>
      </c>
      <c r="E30" s="170" t="n">
        <v>2361.796451612903</v>
      </c>
      <c r="F30" s="170" t="n">
        <v>2369.746957611889</v>
      </c>
      <c r="G30" s="163" t="n">
        <v>0.003180297575970861</v>
      </c>
      <c r="H30" s="163" t="n">
        <v>0.0003455063040003287</v>
      </c>
      <c r="I30" s="163" t="n">
        <v>0.0009540226702431387</v>
      </c>
      <c r="J30" s="163" t="n">
        <v>-0.000840500706940848</v>
      </c>
      <c r="K30" s="163" t="n">
        <v>0.0001741524743810725</v>
      </c>
      <c r="L30" s="163" t="n">
        <v>0.0008223754122204088</v>
      </c>
      <c r="M30" s="163" t="n">
        <v>-0.0008556443792401704</v>
      </c>
      <c r="N30" s="163" t="n">
        <v>-0.004323361217589515</v>
      </c>
      <c r="O30" s="163" t="n">
        <v>-0.0006044314670558328</v>
      </c>
      <c r="P30" s="163" t="n">
        <v>-0.001225245585691484</v>
      </c>
      <c r="Q30" s="163" t="n">
        <v>-0.0001628198996958979</v>
      </c>
      <c r="R30" s="163" t="n">
        <v>-0.002892430688810038</v>
      </c>
      <c r="S30" s="163" t="n">
        <v>-0.006719276979602834</v>
      </c>
      <c r="T30" s="163" t="n">
        <v>0</v>
      </c>
      <c r="U30" s="163" t="n">
        <v>-0.01214735648781081</v>
      </c>
      <c r="V30" s="171">
        <f>C30-U30</f>
        <v/>
      </c>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c r="A31" s="64" t="inlineStr">
        <is>
          <t>2006-11</t>
        </is>
      </c>
      <c r="B31" s="163" t="n">
        <v>-0.03067947212335209</v>
      </c>
      <c r="C31" s="163" t="n">
        <v>-0.007697413934323081</v>
      </c>
      <c r="D31" s="163" t="n">
        <v>-0.02298205818902901</v>
      </c>
      <c r="E31" s="170" t="n">
        <v>2290.438000000001</v>
      </c>
      <c r="F31" s="170" t="n">
        <v>2343.686515949778</v>
      </c>
      <c r="G31" s="163" t="n">
        <v>0.003180297575970861</v>
      </c>
      <c r="H31" s="163" t="n">
        <v>0.0002310616034379174</v>
      </c>
      <c r="I31" s="163" t="n">
        <v>0.001230885197167449</v>
      </c>
      <c r="J31" s="163" t="n">
        <v>-0.001280762982005103</v>
      </c>
      <c r="K31" s="163" t="n">
        <v>-0.0001820538809638819</v>
      </c>
      <c r="L31" s="163" t="n">
        <v>-0.00197860136296757</v>
      </c>
      <c r="M31" s="163" t="n">
        <v>-0.0005054954137824824</v>
      </c>
      <c r="N31" s="163" t="n">
        <v>0.001437666552284115</v>
      </c>
      <c r="O31" s="163" t="n">
        <v>-0.0023826620672164</v>
      </c>
      <c r="P31" s="163" t="n">
        <v>-0.00377185852277159</v>
      </c>
      <c r="Q31" s="163" t="n">
        <v>0.0002316736507733437</v>
      </c>
      <c r="R31" s="163" t="n">
        <v>-0.0008744908319835959</v>
      </c>
      <c r="S31" s="163" t="n">
        <v>-0.003033073452266144</v>
      </c>
      <c r="T31" s="163" t="n">
        <v>0</v>
      </c>
      <c r="U31" s="163" t="n">
        <v>-0.007697413934323081</v>
      </c>
      <c r="V31" s="171">
        <f>C31-U31</f>
        <v/>
      </c>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c r="A32" s="64" t="inlineStr">
        <is>
          <t>2006-12</t>
        </is>
      </c>
      <c r="B32" s="163" t="n">
        <v>-0.01306614007567486</v>
      </c>
      <c r="C32" s="163" t="n">
        <v>-0.006688702801379154</v>
      </c>
      <c r="D32" s="163" t="n">
        <v>-0.006377437274295705</v>
      </c>
      <c r="E32" s="170" t="n">
        <v>2260.705483870968</v>
      </c>
      <c r="F32" s="170" t="n">
        <v>2275.169062551407</v>
      </c>
      <c r="G32" s="163" t="n">
        <v>0.003180297575970861</v>
      </c>
      <c r="H32" s="163" t="n">
        <v>-0.002692988642473833</v>
      </c>
      <c r="I32" s="163" t="n">
        <v>0.001020156407353254</v>
      </c>
      <c r="J32" s="163" t="n">
        <v>-0.001200715295629787</v>
      </c>
      <c r="K32" s="163" t="n">
        <v>0.0002946665541069201</v>
      </c>
      <c r="L32" s="163" t="n">
        <v>-0.001784920058531899</v>
      </c>
      <c r="M32" s="163" t="n">
        <v>0.0001542765220579186</v>
      </c>
      <c r="N32" s="163" t="n">
        <v>-0.001429155270249996</v>
      </c>
      <c r="O32" s="163" t="n">
        <v>-0.00608719811215807</v>
      </c>
      <c r="P32" s="163" t="n">
        <v>0.003632573543076914</v>
      </c>
      <c r="Q32" s="163" t="n">
        <v>6.024094172348942e-06</v>
      </c>
      <c r="R32" s="163" t="n">
        <v>0.002433293300090765</v>
      </c>
      <c r="S32" s="163" t="n">
        <v>-0.00421501341916455</v>
      </c>
      <c r="T32" s="163" t="n">
        <v>0</v>
      </c>
      <c r="U32" s="163" t="n">
        <v>-0.006688702801379154</v>
      </c>
      <c r="V32" s="171">
        <f>C32-U32</f>
        <v/>
      </c>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64" t="inlineStr">
        <is>
          <t>2007-01</t>
        </is>
      </c>
      <c r="B33" s="163" t="n">
        <v>-0.01089791906878546</v>
      </c>
      <c r="C33" s="163" t="n">
        <v>0.001770674687416862</v>
      </c>
      <c r="D33" s="163" t="n">
        <v>-0.01266859375620232</v>
      </c>
      <c r="E33" s="170" t="n">
        <v>2236.202258064517</v>
      </c>
      <c r="F33" s="170" t="n">
        <v>2264.712003921982</v>
      </c>
      <c r="G33" s="163" t="n">
        <v>0.003180297575970861</v>
      </c>
      <c r="H33" s="163" t="n">
        <v>0.004077017856398886</v>
      </c>
      <c r="I33" s="163" t="n">
        <v>0.0007152157532157541</v>
      </c>
      <c r="J33" s="163" t="n">
        <v>-0.0006099633701799317</v>
      </c>
      <c r="K33" s="163" t="n">
        <v>5.965784557554994e-05</v>
      </c>
      <c r="L33" s="163" t="n">
        <v>0.00257718778832492</v>
      </c>
      <c r="M33" s="163" t="n">
        <v>8.108928710841244e-05</v>
      </c>
      <c r="N33" s="163" t="n">
        <v>-0.002788900955064889</v>
      </c>
      <c r="O33" s="163" t="n">
        <v>0.0003257133066083766</v>
      </c>
      <c r="P33" s="163" t="n">
        <v>-0.007359120257899732</v>
      </c>
      <c r="Q33" s="163" t="n">
        <v>-4.123672779850841e-05</v>
      </c>
      <c r="R33" s="163" t="n">
        <v>-0.0003712611353868231</v>
      </c>
      <c r="S33" s="163" t="n">
        <v>0.001924977720543984</v>
      </c>
      <c r="T33" s="163" t="n">
        <v>0</v>
      </c>
      <c r="U33" s="163" t="n">
        <v>0.001770674687416862</v>
      </c>
      <c r="V33" s="171">
        <f>C33-U33</f>
        <v/>
      </c>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64" t="inlineStr">
        <is>
          <t>2007-02</t>
        </is>
      </c>
      <c r="B34" s="163" t="n">
        <v>-0.00386786160280117</v>
      </c>
      <c r="C34" s="163" t="n">
        <v>-0.01211322946360854</v>
      </c>
      <c r="D34" s="163" t="n">
        <v>0.008245367860807366</v>
      </c>
      <c r="E34" s="170" t="n">
        <v>2227.569642857143</v>
      </c>
      <c r="F34" s="170" t="n">
        <v>2209.278025902676</v>
      </c>
      <c r="G34" s="163" t="n">
        <v>0.003180297575970861</v>
      </c>
      <c r="H34" s="163" t="n">
        <v>-0.003435884325782226</v>
      </c>
      <c r="I34" s="163" t="n">
        <v>0.000997138030385544</v>
      </c>
      <c r="J34" s="163" t="n">
        <v>-0.0007508472982004929</v>
      </c>
      <c r="K34" s="163" t="n">
        <v>0.0005267432105298103</v>
      </c>
      <c r="L34" s="163" t="n">
        <v>-0.0008835450201504781</v>
      </c>
      <c r="M34" s="163" t="n">
        <v>0.000116222351097067</v>
      </c>
      <c r="N34" s="163" t="n">
        <v>-0.0002620235984245182</v>
      </c>
      <c r="O34" s="163" t="n">
        <v>-0.01863195355461699</v>
      </c>
      <c r="P34" s="163" t="n">
        <v>0.009080860974872882</v>
      </c>
      <c r="Q34" s="163" t="n">
        <v>0.0004053779036967906</v>
      </c>
      <c r="R34" s="163" t="n">
        <v>0.0002329072285589777</v>
      </c>
      <c r="S34" s="163" t="n">
        <v>-0.002688522941545767</v>
      </c>
      <c r="T34" s="163" t="n">
        <v>0</v>
      </c>
      <c r="U34" s="163" t="n">
        <v>-0.01211322946360854</v>
      </c>
      <c r="V34" s="171">
        <f>C34-U34</f>
        <v/>
      </c>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64" t="inlineStr">
        <is>
          <t>2007-03</t>
        </is>
      </c>
      <c r="B35" s="163" t="n">
        <v>-0.01116165781965073</v>
      </c>
      <c r="C35" s="163" t="n">
        <v>-0.02090948042075531</v>
      </c>
      <c r="D35" s="163" t="n">
        <v>0.009747822601104583</v>
      </c>
      <c r="E35" s="170" t="n">
        <v>2202.844516129032</v>
      </c>
      <c r="F35" s="170" t="n">
        <v>2181.475896528206</v>
      </c>
      <c r="G35" s="163" t="n">
        <v>0.003180297575970861</v>
      </c>
      <c r="H35" s="163" t="n">
        <v>-0.0002471196532715712</v>
      </c>
      <c r="I35" s="163" t="n">
        <v>0.0009059665374762223</v>
      </c>
      <c r="J35" s="163" t="n">
        <v>-0.001203974380003638</v>
      </c>
      <c r="K35" s="163" t="n">
        <v>-5.615318981531585e-07</v>
      </c>
      <c r="L35" s="163" t="n">
        <v>-0.001153743466077797</v>
      </c>
      <c r="M35" s="163" t="n">
        <v>0.00351103867609222</v>
      </c>
      <c r="N35" s="163" t="n">
        <v>0.00134052692037302</v>
      </c>
      <c r="O35" s="163" t="n">
        <v>-0.01975038215889871</v>
      </c>
      <c r="P35" s="163" t="n">
        <v>-0.00424058944719498</v>
      </c>
      <c r="Q35" s="163" t="n">
        <v>9.041692341486359e-05</v>
      </c>
      <c r="R35" s="163" t="n">
        <v>-0.001777248250058129</v>
      </c>
      <c r="S35" s="163" t="n">
        <v>-0.001564108166679515</v>
      </c>
      <c r="T35" s="163" t="n">
        <v>0</v>
      </c>
      <c r="U35" s="163" t="n">
        <v>-0.02090948042075531</v>
      </c>
      <c r="V35" s="171">
        <f>C35-U35</f>
        <v/>
      </c>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64" t="inlineStr">
        <is>
          <t>2007-04</t>
        </is>
      </c>
      <c r="B36" s="163" t="n">
        <v>-0.02665624502433595</v>
      </c>
      <c r="C36" s="163" t="n">
        <v>-0.04535210236878102</v>
      </c>
      <c r="D36" s="163" t="n">
        <v>0.01869585734444508</v>
      </c>
      <c r="E36" s="170" t="n">
        <v>2144.900666666667</v>
      </c>
      <c r="F36" s="170" t="n">
        <v>2105.172443574304</v>
      </c>
      <c r="G36" s="163" t="n">
        <v>0.003180297575970861</v>
      </c>
      <c r="H36" s="163" t="n">
        <v>-0.003133044268185699</v>
      </c>
      <c r="I36" s="163" t="n">
        <v>0.0003724160677594654</v>
      </c>
      <c r="J36" s="163" t="n">
        <v>-0.001347945861641534</v>
      </c>
      <c r="K36" s="163" t="n">
        <v>-0.0001227750734644445</v>
      </c>
      <c r="L36" s="163" t="n">
        <v>-0.003458179212392516</v>
      </c>
      <c r="M36" s="163" t="n">
        <v>-0.001819506626154101</v>
      </c>
      <c r="N36" s="163" t="n">
        <v>-0.004900278117206226</v>
      </c>
      <c r="O36" s="163" t="n">
        <v>-0.02252509863641769</v>
      </c>
      <c r="P36" s="163" t="n">
        <v>-0.002830023504987668</v>
      </c>
      <c r="Q36" s="163" t="n">
        <v>0.0001130900375400464</v>
      </c>
      <c r="R36" s="163" t="n">
        <v>-2.846411206618261e-05</v>
      </c>
      <c r="S36" s="163" t="n">
        <v>-0.008852590637535324</v>
      </c>
      <c r="T36" s="163" t="n">
        <v>0</v>
      </c>
      <c r="U36" s="163" t="n">
        <v>-0.04535210236878102</v>
      </c>
      <c r="V36" s="171">
        <f>C36-U36</f>
        <v/>
      </c>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c r="A37" s="64" t="inlineStr">
        <is>
          <t>2007-05</t>
        </is>
      </c>
      <c r="B37" s="163" t="n">
        <v>-0.06524936632637068</v>
      </c>
      <c r="C37" s="163" t="n">
        <v>-0.02141679985719478</v>
      </c>
      <c r="D37" s="163" t="n">
        <v>-0.0438325664691759</v>
      </c>
      <c r="E37" s="170" t="n">
        <v>2009.415483870968</v>
      </c>
      <c r="F37" s="170" t="n">
        <v>2099.452176164483</v>
      </c>
      <c r="G37" s="163" t="n">
        <v>0.003180297575970861</v>
      </c>
      <c r="H37" s="163" t="n">
        <v>-0.00265309942880692</v>
      </c>
      <c r="I37" s="163" t="n">
        <v>0.0008758801308657415</v>
      </c>
      <c r="J37" s="163" t="n">
        <v>-0.001050225645244183</v>
      </c>
      <c r="K37" s="163" t="n">
        <v>0.0001824443342154895</v>
      </c>
      <c r="L37" s="163" t="n">
        <v>-0.002307658469929693</v>
      </c>
      <c r="M37" s="163" t="n">
        <v>0.0003181367224590101</v>
      </c>
      <c r="N37" s="163" t="n">
        <v>-0.002124860062603692</v>
      </c>
      <c r="O37" s="163" t="n">
        <v>-0.01185784793092106</v>
      </c>
      <c r="P37" s="163" t="n">
        <v>0.003955911905145984</v>
      </c>
      <c r="Q37" s="163" t="n">
        <v>-0.0002901914684076945</v>
      </c>
      <c r="R37" s="163" t="n">
        <v>0.0003545687007978333</v>
      </c>
      <c r="S37" s="163" t="n">
        <v>-0.01000015622073646</v>
      </c>
      <c r="T37" s="163" t="n">
        <v>0</v>
      </c>
      <c r="U37" s="163" t="n">
        <v>-0.02141679985719478</v>
      </c>
      <c r="V37" s="171">
        <f>C37-U37</f>
        <v/>
      </c>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c r="A38" s="64" t="inlineStr">
        <is>
          <t>2007-06</t>
        </is>
      </c>
      <c r="B38" s="163" t="n">
        <v>-0.04367958327761645</v>
      </c>
      <c r="C38" s="163" t="n">
        <v>-0.01606878274735344</v>
      </c>
      <c r="D38" s="163" t="n">
        <v>-0.02761080053026301</v>
      </c>
      <c r="E38" s="170" t="n">
        <v>1923.534333333333</v>
      </c>
      <c r="F38" s="170" t="n">
        <v>1977.384660392336</v>
      </c>
      <c r="G38" s="163" t="n">
        <v>0.003180297575970861</v>
      </c>
      <c r="H38" s="163" t="n">
        <v>-0.000251240436644012</v>
      </c>
      <c r="I38" s="163" t="n">
        <v>-0.0006877677601346387</v>
      </c>
      <c r="J38" s="163" t="n">
        <v>-0.001600953727506379</v>
      </c>
      <c r="K38" s="163" t="n">
        <v>0.0004359553387276896</v>
      </c>
      <c r="L38" s="163" t="n">
        <v>-0.0007087447348400376</v>
      </c>
      <c r="M38" s="163" t="n">
        <v>0.001337923052163053</v>
      </c>
      <c r="N38" s="163" t="n">
        <v>-0.003696116737249341</v>
      </c>
      <c r="O38" s="163" t="n">
        <v>-0.009259910492390533</v>
      </c>
      <c r="P38" s="163" t="n">
        <v>-0.002320584431883306</v>
      </c>
      <c r="Q38" s="163" t="n">
        <v>3.30357381343208e-06</v>
      </c>
      <c r="R38" s="163" t="n">
        <v>-0.0002012834179853035</v>
      </c>
      <c r="S38" s="163" t="n">
        <v>-0.00229966054939493</v>
      </c>
      <c r="T38" s="163" t="n">
        <v>0</v>
      </c>
      <c r="U38" s="163" t="n">
        <v>-0.01606878274735344</v>
      </c>
      <c r="V38" s="171">
        <f>C38-U38</f>
        <v/>
      </c>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64" t="inlineStr">
        <is>
          <t>2007-07</t>
        </is>
      </c>
      <c r="B39" s="163" t="n">
        <v>0.01461004292953305</v>
      </c>
      <c r="C39" s="163" t="n">
        <v>0.008804889203446615</v>
      </c>
      <c r="D39" s="163" t="n">
        <v>0.005805153726086436</v>
      </c>
      <c r="E39" s="170" t="n">
        <v>1951.843548387098</v>
      </c>
      <c r="F39" s="170" t="n">
        <v>1940.545621369151</v>
      </c>
      <c r="G39" s="163" t="n">
        <v>0.003180297575970861</v>
      </c>
      <c r="H39" s="163" t="n">
        <v>-0.001069961361063554</v>
      </c>
      <c r="I39" s="163" t="n">
        <v>-0.0001891329075258846</v>
      </c>
      <c r="J39" s="163" t="n">
        <v>-0.001376820205655487</v>
      </c>
      <c r="K39" s="163" t="n">
        <v>-0.0001668334593181919</v>
      </c>
      <c r="L39" s="163" t="n">
        <v>-0.003188469611967294</v>
      </c>
      <c r="M39" s="163" t="n">
        <v>0.001654252584976538</v>
      </c>
      <c r="N39" s="163" t="n">
        <v>0.004628657203595793</v>
      </c>
      <c r="O39" s="163" t="n">
        <v>0.006031817849418571</v>
      </c>
      <c r="P39" s="163" t="n">
        <v>0.003499686900542577</v>
      </c>
      <c r="Q39" s="163" t="n">
        <v>-0.0007025747413093184</v>
      </c>
      <c r="R39" s="163" t="n">
        <v>0.004165866724938972</v>
      </c>
      <c r="S39" s="163" t="n">
        <v>-0.007661897349156966</v>
      </c>
      <c r="T39" s="163" t="n">
        <v>0</v>
      </c>
      <c r="U39" s="163" t="n">
        <v>0.008804889203446615</v>
      </c>
      <c r="V39" s="171">
        <f>C39-U39</f>
        <v/>
      </c>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64" t="inlineStr">
        <is>
          <t>2007-08</t>
        </is>
      </c>
      <c r="B40" s="163" t="n">
        <v>0.05203021666244378</v>
      </c>
      <c r="C40" s="163" t="n">
        <v>0.02171129045955131</v>
      </c>
      <c r="D40" s="163" t="n">
        <v>0.03031892620289247</v>
      </c>
      <c r="E40" s="170" t="n">
        <v>2056.086774193549</v>
      </c>
      <c r="F40" s="170" t="n">
        <v>1994.683968166001</v>
      </c>
      <c r="G40" s="163" t="n">
        <v>0.003180297575970861</v>
      </c>
      <c r="H40" s="163" t="n">
        <v>0.002735610786193981</v>
      </c>
      <c r="I40" s="163" t="n">
        <v>0.001391046969672307</v>
      </c>
      <c r="J40" s="163" t="n">
        <v>-0.0007748616041130887</v>
      </c>
      <c r="K40" s="163" t="n">
        <v>-0.0001754793328152556</v>
      </c>
      <c r="L40" s="163" t="n">
        <v>0.001431870901072014</v>
      </c>
      <c r="M40" s="163" t="n">
        <v>0.004241161167372549</v>
      </c>
      <c r="N40" s="163" t="n">
        <v>0.008715874590533697</v>
      </c>
      <c r="O40" s="163" t="n">
        <v>-0.002941694259276724</v>
      </c>
      <c r="P40" s="163" t="n">
        <v>-0.004178227357045342</v>
      </c>
      <c r="Q40" s="163" t="n">
        <v>0.0005080009851931667</v>
      </c>
      <c r="R40" s="163" t="n">
        <v>0.0003859067550982733</v>
      </c>
      <c r="S40" s="163" t="n">
        <v>0.007191783281694873</v>
      </c>
      <c r="T40" s="163" t="n">
        <v>0</v>
      </c>
      <c r="U40" s="163" t="n">
        <v>0.02171129045955132</v>
      </c>
      <c r="V40" s="171">
        <f>C40-U40</f>
        <v/>
      </c>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64" t="inlineStr">
        <is>
          <t>2007-09</t>
        </is>
      </c>
      <c r="B41" s="163" t="n">
        <v>0.02747912001290409</v>
      </c>
      <c r="C41" s="163" t="n">
        <v>-0.01409916757056597</v>
      </c>
      <c r="D41" s="163" t="n">
        <v>0.04157828758347006</v>
      </c>
      <c r="E41" s="170" t="n">
        <v>2113.369666666666</v>
      </c>
      <c r="F41" s="170" t="n">
        <v>2027.301066333274</v>
      </c>
      <c r="G41" s="163" t="n">
        <v>0.003180297575970861</v>
      </c>
      <c r="H41" s="163" t="n">
        <v>-0.003741627407609498</v>
      </c>
      <c r="I41" s="163" t="n">
        <v>0.001944144116062768</v>
      </c>
      <c r="J41" s="163" t="n">
        <v>-0.002351801025706876</v>
      </c>
      <c r="K41" s="163" t="n">
        <v>8.971188814421785e-05</v>
      </c>
      <c r="L41" s="163" t="n">
        <v>-0.003433058904944124</v>
      </c>
      <c r="M41" s="163" t="n">
        <v>-0.001371268492424453</v>
      </c>
      <c r="N41" s="163" t="n">
        <v>-0.000997547997406253</v>
      </c>
      <c r="O41" s="163" t="n">
        <v>0.001238991565246071</v>
      </c>
      <c r="P41" s="163" t="n">
        <v>0.003776352619492337</v>
      </c>
      <c r="Q41" s="163" t="n">
        <v>-0.0003388167767143934</v>
      </c>
      <c r="R41" s="163" t="n">
        <v>-0.002776276778080418</v>
      </c>
      <c r="S41" s="163" t="n">
        <v>-0.009318267952596205</v>
      </c>
      <c r="T41" s="163" t="n">
        <v>0</v>
      </c>
      <c r="U41" s="163" t="n">
        <v>-0.01409916757056597</v>
      </c>
      <c r="V41" s="171">
        <f>C41-U41</f>
        <v/>
      </c>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64" t="inlineStr">
        <is>
          <t>2007-10</t>
        </is>
      </c>
      <c r="B42" s="163" t="n">
        <v>-0.05459357439235379</v>
      </c>
      <c r="C42" s="163" t="n">
        <v>-0.04771005421292308</v>
      </c>
      <c r="D42" s="163" t="n">
        <v>-0.00688352017943071</v>
      </c>
      <c r="E42" s="170" t="n">
        <v>2001.086129032258</v>
      </c>
      <c r="F42" s="170" t="n">
        <v>2014.908163331</v>
      </c>
      <c r="G42" s="163" t="n">
        <v>0.003180297575970861</v>
      </c>
      <c r="H42" s="163" t="n">
        <v>-0.002728284166302195</v>
      </c>
      <c r="I42" s="163" t="n">
        <v>0.001868337850071331</v>
      </c>
      <c r="J42" s="163" t="n">
        <v>-0.0003970365244215783</v>
      </c>
      <c r="K42" s="163" t="n">
        <v>-0.0001810451062391961</v>
      </c>
      <c r="L42" s="163" t="n">
        <v>-0.005378704057976239</v>
      </c>
      <c r="M42" s="163" t="n">
        <v>-0.001710596961201975</v>
      </c>
      <c r="N42" s="163" t="n">
        <v>-0.003417828384555851</v>
      </c>
      <c r="O42" s="163" t="n">
        <v>-0.006316596212713381</v>
      </c>
      <c r="P42" s="163" t="n">
        <v>-0.004242752785323535</v>
      </c>
      <c r="Q42" s="163" t="n">
        <v>0.0004572488631455211</v>
      </c>
      <c r="R42" s="163" t="n">
        <v>-0.001390941630520268</v>
      </c>
      <c r="S42" s="163" t="n">
        <v>-0.02745215267285658</v>
      </c>
      <c r="T42" s="163" t="n">
        <v>0</v>
      </c>
      <c r="U42" s="163" t="n">
        <v>-0.04771005421292308</v>
      </c>
      <c r="V42" s="171">
        <f>C42-U42</f>
        <v/>
      </c>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64" t="inlineStr">
        <is>
          <t>2007-11</t>
        </is>
      </c>
      <c r="B43" s="163" t="n">
        <v>0.02237104144199709</v>
      </c>
      <c r="C43" s="163" t="n">
        <v>0.005486044354057947</v>
      </c>
      <c r="D43" s="163" t="n">
        <v>0.01688499708793914</v>
      </c>
      <c r="E43" s="170" t="n">
        <v>2046.357</v>
      </c>
      <c r="F43" s="170" t="n">
        <v>2012.094344462256</v>
      </c>
      <c r="G43" s="163" t="n">
        <v>0.003180297575970861</v>
      </c>
      <c r="H43" s="163" t="n">
        <v>0.0005404735235548494</v>
      </c>
      <c r="I43" s="163" t="n">
        <v>0.002303836956134514</v>
      </c>
      <c r="J43" s="163" t="n">
        <v>-0.0008933321799485634</v>
      </c>
      <c r="K43" s="163" t="n">
        <v>-5.230725857863644e-05</v>
      </c>
      <c r="L43" s="163" t="n">
        <v>-0.003625268077500912</v>
      </c>
      <c r="M43" s="163" t="n">
        <v>0.00333335884626487</v>
      </c>
      <c r="N43" s="163" t="n">
        <v>0.006198353208378848</v>
      </c>
      <c r="O43" s="163" t="n">
        <v>-0.001614611427656908</v>
      </c>
      <c r="P43" s="163" t="n">
        <v>-0.001181740365635371</v>
      </c>
      <c r="Q43" s="163" t="n">
        <v>-0.0001644183437502355</v>
      </c>
      <c r="R43" s="163" t="n">
        <v>0.0001266940040321388</v>
      </c>
      <c r="S43" s="163" t="n">
        <v>-0.002665292107207509</v>
      </c>
      <c r="T43" s="163" t="n">
        <v>0</v>
      </c>
      <c r="U43" s="163" t="n">
        <v>0.005486044354057945</v>
      </c>
      <c r="V43" s="171">
        <f>C43-U43</f>
        <v/>
      </c>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64" t="inlineStr">
        <is>
          <t>2007-12</t>
        </is>
      </c>
      <c r="B44" s="163" t="n">
        <v>-0.01602051495951251</v>
      </c>
      <c r="C44" s="163" t="n">
        <v>3.98553134506698e-05</v>
      </c>
      <c r="D44" s="163" t="n">
        <v>-0.01606037027296318</v>
      </c>
      <c r="E44" s="170" t="n">
        <v>2013.834516129032</v>
      </c>
      <c r="F44" s="170" t="n">
        <v>2046.438559824952</v>
      </c>
      <c r="G44" s="163" t="n">
        <v>0.003180297575970861</v>
      </c>
      <c r="H44" s="163" t="n">
        <v>-0.0008532466561014399</v>
      </c>
      <c r="I44" s="163" t="n">
        <v>0.002877050893724489</v>
      </c>
      <c r="J44" s="163" t="n">
        <v>-0.00154678812639241</v>
      </c>
      <c r="K44" s="163" t="n">
        <v>-5.768779571668631e-05</v>
      </c>
      <c r="L44" s="163" t="n">
        <v>0.002567358567372542</v>
      </c>
      <c r="M44" s="163" t="n">
        <v>-0.001908665917038388</v>
      </c>
      <c r="N44" s="163" t="n">
        <v>-0.001556084389280487</v>
      </c>
      <c r="O44" s="163" t="n">
        <v>-0.003126623350853621</v>
      </c>
      <c r="P44" s="163" t="n">
        <v>0.006018531903865471</v>
      </c>
      <c r="Q44" s="163" t="n">
        <v>-0.0001003599941886103</v>
      </c>
      <c r="R44" s="163" t="n">
        <v>-7.564474742080856e-05</v>
      </c>
      <c r="S44" s="163" t="n">
        <v>-0.005378282650490242</v>
      </c>
      <c r="T44" s="163" t="n">
        <v>0</v>
      </c>
      <c r="U44" s="163" t="n">
        <v>3.98553134506683e-05</v>
      </c>
      <c r="V44" s="171">
        <f>C44-U44</f>
        <v/>
      </c>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64" t="inlineStr">
        <is>
          <t>2008-01</t>
        </is>
      </c>
      <c r="B45" s="163" t="n">
        <v>-0.0153368926205868</v>
      </c>
      <c r="C45" s="163" t="n">
        <v>-0.007292169670196681</v>
      </c>
      <c r="D45" s="163" t="n">
        <v>-0.008044722950390115</v>
      </c>
      <c r="E45" s="170" t="n">
        <v>1983.184193548387</v>
      </c>
      <c r="F45" s="170" t="n">
        <v>1999.202706805852</v>
      </c>
      <c r="G45" s="163" t="n">
        <v>0.003180297575970861</v>
      </c>
      <c r="H45" s="163" t="n">
        <v>0.001093077259576697</v>
      </c>
      <c r="I45" s="163" t="n">
        <v>0.001187678358705165</v>
      </c>
      <c r="J45" s="163" t="n">
        <v>-0.002274688421165319</v>
      </c>
      <c r="K45" s="163" t="n">
        <v>6.071444906476321e-05</v>
      </c>
      <c r="L45" s="163" t="n">
        <v>-0.001636137805811453</v>
      </c>
      <c r="M45" s="163" t="n">
        <v>0.002012739869719297</v>
      </c>
      <c r="N45" s="163" t="n">
        <v>0.008856592308247058</v>
      </c>
      <c r="O45" s="163" t="n">
        <v>-0.0009305789298695963</v>
      </c>
      <c r="P45" s="163" t="n">
        <v>-0.008489122280561326</v>
      </c>
      <c r="Q45" s="163" t="n">
        <v>9.217285066756156e-05</v>
      </c>
      <c r="R45" s="163" t="n">
        <v>-0.0002906937216998175</v>
      </c>
      <c r="S45" s="163" t="n">
        <v>-0.01015422118304057</v>
      </c>
      <c r="T45" s="163" t="n">
        <v>0</v>
      </c>
      <c r="U45" s="163" t="n">
        <v>-0.007292169670196681</v>
      </c>
      <c r="V45" s="171">
        <f>C45-U45</f>
        <v/>
      </c>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64" t="inlineStr">
        <is>
          <t>2008-02</t>
        </is>
      </c>
      <c r="B46" s="163" t="n">
        <v>-0.04006733175866817</v>
      </c>
      <c r="C46" s="163" t="n">
        <v>-0.02220431285211942</v>
      </c>
      <c r="D46" s="163" t="n">
        <v>-0.01786301890654874</v>
      </c>
      <c r="E46" s="170" t="n">
        <v>1905.294137931035</v>
      </c>
      <c r="F46" s="170" t="n">
        <v>1939.634238956636</v>
      </c>
      <c r="G46" s="163" t="n">
        <v>0.003180297575970861</v>
      </c>
      <c r="H46" s="163" t="n">
        <v>-0.003069995632467368</v>
      </c>
      <c r="I46" s="163" t="n">
        <v>0.001703690391289756</v>
      </c>
      <c r="J46" s="163" t="n">
        <v>-0.001488886966580937</v>
      </c>
      <c r="K46" s="163" t="n">
        <v>0.000184219147539529</v>
      </c>
      <c r="L46" s="163" t="n">
        <v>-0.002044216167858344</v>
      </c>
      <c r="M46" s="163" t="n">
        <v>-0.0001607257283552942</v>
      </c>
      <c r="N46" s="163" t="n">
        <v>0.001727001873303916</v>
      </c>
      <c r="O46" s="163" t="n">
        <v>-0.005819790869625294</v>
      </c>
      <c r="P46" s="163" t="n">
        <v>0.001945490765112902</v>
      </c>
      <c r="Q46" s="163" t="n">
        <v>0.0001734219612446193</v>
      </c>
      <c r="R46" s="163" t="n">
        <v>-0.00309933265353781</v>
      </c>
      <c r="S46" s="163" t="n">
        <v>-0.01543548654815596</v>
      </c>
      <c r="T46" s="163" t="n">
        <v>0</v>
      </c>
      <c r="U46" s="163" t="n">
        <v>-0.02220431285211943</v>
      </c>
      <c r="V46" s="171">
        <f>C46-U46</f>
        <v/>
      </c>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64" t="inlineStr">
        <is>
          <t>2008-03</t>
        </is>
      </c>
      <c r="B47" s="163" t="n">
        <v>-0.03297413572495334</v>
      </c>
      <c r="C47" s="163" t="n">
        <v>-0.03670791288087494</v>
      </c>
      <c r="D47" s="163" t="n">
        <v>0.00373377715592161</v>
      </c>
      <c r="E47" s="170" t="n">
        <v>1843.493225806452</v>
      </c>
      <c r="F47" s="170" t="n">
        <v>1836.622867088746</v>
      </c>
      <c r="G47" s="163" t="n">
        <v>0.003180297575970861</v>
      </c>
      <c r="H47" s="163" t="n">
        <v>-0.003513498080565391</v>
      </c>
      <c r="I47" s="163" t="n">
        <v>0.001285293661868867</v>
      </c>
      <c r="J47" s="163" t="n">
        <v>-0.004978358834234402</v>
      </c>
      <c r="K47" s="163" t="n">
        <v>-0.0001008122408607934</v>
      </c>
      <c r="L47" s="163" t="n">
        <v>-0.004963287296498422</v>
      </c>
      <c r="M47" s="163" t="n">
        <v>0.0007173719642316486</v>
      </c>
      <c r="N47" s="163" t="n">
        <v>0.00240166175658272</v>
      </c>
      <c r="O47" s="163" t="n">
        <v>-0.006457953625698859</v>
      </c>
      <c r="P47" s="163" t="n">
        <v>0.0001204038715553307</v>
      </c>
      <c r="Q47" s="163" t="n">
        <v>5.481418834488237e-05</v>
      </c>
      <c r="R47" s="163" t="n">
        <v>-0.002027216380708208</v>
      </c>
      <c r="S47" s="163" t="n">
        <v>-0.02242662944086318</v>
      </c>
      <c r="T47" s="163" t="n">
        <v>0</v>
      </c>
      <c r="U47" s="163" t="n">
        <v>-0.03670791288087494</v>
      </c>
      <c r="V47" s="171">
        <f>C47-U47</f>
        <v/>
      </c>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64" t="inlineStr">
        <is>
          <t>2008-04</t>
        </is>
      </c>
      <c r="B48" s="163" t="n">
        <v>-0.02659986213860233</v>
      </c>
      <c r="C48" s="163" t="n">
        <v>-0.01614730549462242</v>
      </c>
      <c r="D48" s="163" t="n">
        <v>-0.01045255664397991</v>
      </c>
      <c r="E48" s="170" t="n">
        <v>1795.103</v>
      </c>
      <c r="F48" s="170" t="n">
        <v>1813.964821186268</v>
      </c>
      <c r="G48" s="163" t="n">
        <v>0.003180297575970861</v>
      </c>
      <c r="H48" s="163" t="n">
        <v>0.001047151207651012</v>
      </c>
      <c r="I48" s="163" t="n">
        <v>0.001111992611760821</v>
      </c>
      <c r="J48" s="163" t="n">
        <v>-0.002863112523091851</v>
      </c>
      <c r="K48" s="163" t="n">
        <v>0.000168636493560228</v>
      </c>
      <c r="L48" s="163" t="n">
        <v>-0.0008141666082547496</v>
      </c>
      <c r="M48" s="163" t="n">
        <v>-0.002616120145669177</v>
      </c>
      <c r="N48" s="163" t="n">
        <v>-0.008196364598852183</v>
      </c>
      <c r="O48" s="163" t="n">
        <v>-0.003832604879462773</v>
      </c>
      <c r="P48" s="163" t="n">
        <v>0.00942993608248208</v>
      </c>
      <c r="Q48" s="163" t="n">
        <v>-0.0001937109712362431</v>
      </c>
      <c r="R48" s="163" t="n">
        <v>-0.0004512186847097596</v>
      </c>
      <c r="S48" s="163" t="n">
        <v>-0.01211802105477068</v>
      </c>
      <c r="T48" s="163" t="n">
        <v>0</v>
      </c>
      <c r="U48" s="163" t="n">
        <v>-0.01614730549462241</v>
      </c>
      <c r="V48" s="171">
        <f>C48-U48</f>
        <v/>
      </c>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64" t="inlineStr">
        <is>
          <t>2008-05</t>
        </is>
      </c>
      <c r="B49" s="163" t="n">
        <v>-0.0111740228322823</v>
      </c>
      <c r="C49" s="163" t="n">
        <v>0.0004202802881376002</v>
      </c>
      <c r="D49" s="163" t="n">
        <v>-0.01159430312041991</v>
      </c>
      <c r="E49" s="170" t="n">
        <v>1775.156129032257</v>
      </c>
      <c r="F49" s="170" t="n">
        <v>1795.857604967765</v>
      </c>
      <c r="G49" s="163" t="n">
        <v>0.003180297575970861</v>
      </c>
      <c r="H49" s="163" t="n">
        <v>-0.003209789593701585</v>
      </c>
      <c r="I49" s="163" t="n">
        <v>0.001908793872545403</v>
      </c>
      <c r="J49" s="163" t="n">
        <v>-0.001637775663239028</v>
      </c>
      <c r="K49" s="163" t="n">
        <v>0.0004982491339908914</v>
      </c>
      <c r="L49" s="163" t="n">
        <v>0.000771336208768807</v>
      </c>
      <c r="M49" s="163" t="n">
        <v>-0.00187470063461607</v>
      </c>
      <c r="N49" s="163" t="n">
        <v>-0.006279105806732761</v>
      </c>
      <c r="O49" s="163" t="n">
        <v>-0.001050263808323224</v>
      </c>
      <c r="P49" s="163" t="n">
        <v>-0.006715451468166067</v>
      </c>
      <c r="Q49" s="163" t="n">
        <v>5.859129751318979e-05</v>
      </c>
      <c r="R49" s="163" t="n">
        <v>0.004089256324477223</v>
      </c>
      <c r="S49" s="163" t="n">
        <v>0.01068084284964996</v>
      </c>
      <c r="T49" s="163" t="n">
        <v>0</v>
      </c>
      <c r="U49" s="163" t="n">
        <v>0.0004202802881376009</v>
      </c>
      <c r="V49" s="171">
        <f>C49-U49</f>
        <v/>
      </c>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64" t="inlineStr">
        <is>
          <t>2008-06</t>
        </is>
      </c>
      <c r="B50" s="163" t="n">
        <v>-0.02444626312429143</v>
      </c>
      <c r="C50" s="163" t="n">
        <v>0.01553510077664286</v>
      </c>
      <c r="D50" s="163" t="n">
        <v>-0.0399813639009343</v>
      </c>
      <c r="E50" s="170" t="n">
        <v>1732.286333333333</v>
      </c>
      <c r="F50" s="170" t="n">
        <v>1802.948679476272</v>
      </c>
      <c r="G50" s="163" t="n">
        <v>0.003180297575970861</v>
      </c>
      <c r="H50" s="163" t="n">
        <v>-0.00128942381283874</v>
      </c>
      <c r="I50" s="163" t="n">
        <v>0.001397455390921773</v>
      </c>
      <c r="J50" s="163" t="n">
        <v>-0.001488886966580929</v>
      </c>
      <c r="K50" s="163" t="n">
        <v>-0.0003600621924024052</v>
      </c>
      <c r="L50" s="163" t="n">
        <v>0.0006896246242770684</v>
      </c>
      <c r="M50" s="163" t="n">
        <v>0.002161657855103224</v>
      </c>
      <c r="N50" s="163" t="n">
        <v>0.0002690305234261399</v>
      </c>
      <c r="O50" s="163" t="n">
        <v>-0.002219006025274137</v>
      </c>
      <c r="P50" s="163" t="n">
        <v>0.001570787892856241</v>
      </c>
      <c r="Q50" s="163" t="n">
        <v>-0.000141362992382794</v>
      </c>
      <c r="R50" s="163" t="n">
        <v>-0.00147369780999679</v>
      </c>
      <c r="S50" s="163" t="n">
        <v>0.01323868671356335</v>
      </c>
      <c r="T50" s="163" t="n">
        <v>0</v>
      </c>
      <c r="U50" s="163" t="n">
        <v>0.01553510077664286</v>
      </c>
      <c r="V50" s="171">
        <f>C50-U50</f>
        <v/>
      </c>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64" t="inlineStr">
        <is>
          <t>2008-07</t>
        </is>
      </c>
      <c r="B51" s="163" t="n">
        <v>0.02775824529879145</v>
      </c>
      <c r="C51" s="163" t="n">
        <v>-0.01067539263135918</v>
      </c>
      <c r="D51" s="163" t="n">
        <v>0.03843363793015064</v>
      </c>
      <c r="E51" s="170" t="n">
        <v>1781.045161290322</v>
      </c>
      <c r="F51" s="170" t="n">
        <v>1713.891855404171</v>
      </c>
      <c r="G51" s="163" t="n">
        <v>0.003180297575970861</v>
      </c>
      <c r="H51" s="163" t="n">
        <v>0.001266444105330826</v>
      </c>
      <c r="I51" s="163" t="n">
        <v>0.0005857931872893868</v>
      </c>
      <c r="J51" s="163" t="n">
        <v>9.925913110539349e-05</v>
      </c>
      <c r="K51" s="163" t="n">
        <v>0.0005155867670841032</v>
      </c>
      <c r="L51" s="163" t="n">
        <v>-0.001722728962802888</v>
      </c>
      <c r="M51" s="163" t="n">
        <v>0.001090416324403108</v>
      </c>
      <c r="N51" s="163" t="n">
        <v>0.006309096411102497</v>
      </c>
      <c r="O51" s="163" t="n">
        <v>-0.006099917434322393</v>
      </c>
      <c r="P51" s="163" t="n">
        <v>-0.003726472003033</v>
      </c>
      <c r="Q51" s="163" t="n">
        <v>0.0003522009105808173</v>
      </c>
      <c r="R51" s="163" t="n">
        <v>-0.003462793509733019</v>
      </c>
      <c r="S51" s="163" t="n">
        <v>-0.009062575134334876</v>
      </c>
      <c r="T51" s="163" t="n">
        <v>0</v>
      </c>
      <c r="U51" s="163" t="n">
        <v>-0.01067539263135919</v>
      </c>
      <c r="V51" s="171">
        <f>C51-U51</f>
        <v/>
      </c>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64" t="inlineStr">
        <is>
          <t>2008-08</t>
        </is>
      </c>
      <c r="B52" s="163" t="n">
        <v>0.03662079024300713</v>
      </c>
      <c r="C52" s="163" t="n">
        <v>0.01432487751370193</v>
      </c>
      <c r="D52" s="163" t="n">
        <v>0.0222959127293052</v>
      </c>
      <c r="E52" s="170" t="n">
        <v>1847.477419354838</v>
      </c>
      <c r="F52" s="170" t="n">
        <v>1806.742027885965</v>
      </c>
      <c r="G52" s="163" t="n">
        <v>0.003180297575970861</v>
      </c>
      <c r="H52" s="163" t="n">
        <v>0.007432808644976376</v>
      </c>
      <c r="I52" s="163" t="n">
        <v>0.002021598902942393</v>
      </c>
      <c r="J52" s="163" t="n">
        <v>-0.0001104658071979456</v>
      </c>
      <c r="K52" s="163" t="n">
        <v>9.580542934129778e-05</v>
      </c>
      <c r="L52" s="163" t="n">
        <v>0.006859218426437061</v>
      </c>
      <c r="M52" s="163" t="n">
        <v>-0.001846836123224897</v>
      </c>
      <c r="N52" s="163" t="n">
        <v>0.0007574880116561526</v>
      </c>
      <c r="O52" s="163" t="n">
        <v>-0.006332856244160353</v>
      </c>
      <c r="P52" s="163" t="n">
        <v>-0.00199017741139176</v>
      </c>
      <c r="Q52" s="163" t="n">
        <v>-7.990756667455391e-05</v>
      </c>
      <c r="R52" s="163" t="n">
        <v>-0.004707088188936155</v>
      </c>
      <c r="S52" s="163" t="n">
        <v>0.00904499186396345</v>
      </c>
      <c r="T52" s="163" t="n">
        <v>0</v>
      </c>
      <c r="U52" s="163" t="n">
        <v>0.01432487751370193</v>
      </c>
      <c r="V52" s="171">
        <f>C52-U52</f>
        <v/>
      </c>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64" t="inlineStr">
        <is>
          <t>2008-09</t>
        </is>
      </c>
      <c r="B53" s="163" t="n">
        <v>0.1118837281753144</v>
      </c>
      <c r="C53" s="163" t="n">
        <v>0.05309580815792241</v>
      </c>
      <c r="D53" s="163" t="n">
        <v>0.05878792001739203</v>
      </c>
      <c r="E53" s="170" t="n">
        <v>2066.187</v>
      </c>
      <c r="F53" s="170" t="n">
        <v>1948.221606238389</v>
      </c>
      <c r="G53" s="163" t="n">
        <v>0.003180297575970861</v>
      </c>
      <c r="H53" s="163" t="n">
        <v>0.001836911377564403</v>
      </c>
      <c r="I53" s="163" t="n">
        <v>-0.0008931613262849861</v>
      </c>
      <c r="J53" s="163" t="n">
        <v>-0.001130273331619499</v>
      </c>
      <c r="K53" s="163" t="n">
        <v>-0.0003573319325631102</v>
      </c>
      <c r="L53" s="163" t="n">
        <v>0.006217427589585214</v>
      </c>
      <c r="M53" s="163" t="n">
        <v>0.004337671876435898</v>
      </c>
      <c r="N53" s="163" t="n">
        <v>0.008292209035671128</v>
      </c>
      <c r="O53" s="163" t="n">
        <v>-0.003666341323552526</v>
      </c>
      <c r="P53" s="163" t="n">
        <v>0.001079792003977451</v>
      </c>
      <c r="Q53" s="163" t="n">
        <v>-0.0001518513116039178</v>
      </c>
      <c r="R53" s="163" t="n">
        <v>0.002585804951819652</v>
      </c>
      <c r="S53" s="163" t="n">
        <v>0.03176465297252185</v>
      </c>
      <c r="T53" s="163" t="n">
        <v>0</v>
      </c>
      <c r="U53" s="163" t="n">
        <v>0.05309580815792241</v>
      </c>
      <c r="V53" s="171">
        <f>C53-U53</f>
        <v/>
      </c>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64" t="inlineStr">
        <is>
          <t>2008-10</t>
        </is>
      </c>
      <c r="B54" s="163" t="n">
        <v>0.1023481517395446</v>
      </c>
      <c r="C54" s="163" t="n">
        <v>0.1577927254050367</v>
      </c>
      <c r="D54" s="163" t="n">
        <v>-0.05544457366549208</v>
      </c>
      <c r="E54" s="170" t="n">
        <v>2288.858064516129</v>
      </c>
      <c r="F54" s="170" t="n">
        <v>2419.346845232538</v>
      </c>
      <c r="G54" s="163" t="n">
        <v>0.003180297575970861</v>
      </c>
      <c r="H54" s="163" t="n">
        <v>0.008223755743676699</v>
      </c>
      <c r="I54" s="163" t="n">
        <v>0.001567182361180909</v>
      </c>
      <c r="J54" s="163" t="n">
        <v>-0.0009429617455012558</v>
      </c>
      <c r="K54" s="163" t="n">
        <v>6.926297596827404e-05</v>
      </c>
      <c r="L54" s="163" t="n">
        <v>0.0172894854556896</v>
      </c>
      <c r="M54" s="163" t="n">
        <v>0.008060781550855132</v>
      </c>
      <c r="N54" s="163" t="n">
        <v>0.04511671321421789</v>
      </c>
      <c r="O54" s="163" t="n">
        <v>-0.005457281149373128</v>
      </c>
      <c r="P54" s="163" t="n">
        <v>0.0008606421026237529</v>
      </c>
      <c r="Q54" s="163" t="n">
        <v>6.164100415852255e-05</v>
      </c>
      <c r="R54" s="163" t="n">
        <v>-0.003192111286241978</v>
      </c>
      <c r="S54" s="163" t="n">
        <v>0.08295531760181138</v>
      </c>
      <c r="T54" s="163" t="n">
        <v>0</v>
      </c>
      <c r="U54" s="163" t="n">
        <v>0.1577927254050367</v>
      </c>
      <c r="V54" s="171">
        <f>C54-U54</f>
        <v/>
      </c>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64" t="inlineStr">
        <is>
          <t>2008-11</t>
        </is>
      </c>
      <c r="B55" s="163" t="n">
        <v>0.01938496201559126</v>
      </c>
      <c r="C55" s="163" t="n">
        <v>0.03741708034575112</v>
      </c>
      <c r="D55" s="163" t="n">
        <v>-0.01803211833015986</v>
      </c>
      <c r="E55" s="170" t="n">
        <v>2333.660333333334</v>
      </c>
      <c r="F55" s="170" t="n">
        <v>2376.122866742624</v>
      </c>
      <c r="G55" s="163" t="n">
        <v>0.003180297575970861</v>
      </c>
      <c r="H55" s="163" t="n">
        <v>0.01063400915196119</v>
      </c>
      <c r="I55" s="163" t="n">
        <v>-0.0001353042689757082</v>
      </c>
      <c r="J55" s="163" t="n">
        <v>-0.004168883506426614</v>
      </c>
      <c r="K55" s="163" t="n">
        <v>4.817052473372475e-05</v>
      </c>
      <c r="L55" s="163" t="n">
        <v>0.006623444038011843</v>
      </c>
      <c r="M55" s="163" t="n">
        <v>0.0002755531080983597</v>
      </c>
      <c r="N55" s="163" t="n">
        <v>0.002607599385172238</v>
      </c>
      <c r="O55" s="163" t="n">
        <v>0.008345907691421921</v>
      </c>
      <c r="P55" s="163" t="n">
        <v>0.002687564966676769</v>
      </c>
      <c r="Q55" s="163" t="n">
        <v>-0.0006292723628316456</v>
      </c>
      <c r="R55" s="163" t="n">
        <v>-0.008467439548435549</v>
      </c>
      <c r="S55" s="163" t="n">
        <v>0.01641543359037373</v>
      </c>
      <c r="T55" s="163" t="n">
        <v>0</v>
      </c>
      <c r="U55" s="163" t="n">
        <v>0.03741708034575111</v>
      </c>
      <c r="V55" s="171">
        <f>C55-U55</f>
        <v/>
      </c>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64" t="inlineStr">
        <is>
          <t>2008-12</t>
        </is>
      </c>
      <c r="B56" s="163" t="n">
        <v>-0.03583674791915925</v>
      </c>
      <c r="C56" s="163" t="n">
        <v>-0.01741175998165425</v>
      </c>
      <c r="D56" s="163" t="n">
        <v>-0.018424987937505</v>
      </c>
      <c r="E56" s="170" t="n">
        <v>2251.510322580646</v>
      </c>
      <c r="F56" s="170" t="n">
        <v>2293.378902701142</v>
      </c>
      <c r="G56" s="163" t="n">
        <v>0.003180297575970861</v>
      </c>
      <c r="H56" s="163" t="n">
        <v>-0.007026970695648248</v>
      </c>
      <c r="I56" s="163" t="n">
        <v>-0.0028829234856198</v>
      </c>
      <c r="J56" s="163" t="n">
        <v>-0.002878514802056473</v>
      </c>
      <c r="K56" s="163" t="n">
        <v>-0.0004768690769640858</v>
      </c>
      <c r="L56" s="163" t="n">
        <v>-0.002660919896620481</v>
      </c>
      <c r="M56" s="163" t="n">
        <v>-0.002046072394478162</v>
      </c>
      <c r="N56" s="163" t="n">
        <v>-0.002280534467989861</v>
      </c>
      <c r="O56" s="163" t="n">
        <v>-0.002461226641417423</v>
      </c>
      <c r="P56" s="163" t="n">
        <v>-0.0007597889488916299</v>
      </c>
      <c r="Q56" s="163" t="n">
        <v>0.0004874677305857369</v>
      </c>
      <c r="R56" s="163" t="n">
        <v>-0.008314236367740053</v>
      </c>
      <c r="S56" s="163" t="n">
        <v>0.01070853148921536</v>
      </c>
      <c r="T56" s="163" t="n">
        <v>0</v>
      </c>
      <c r="U56" s="163" t="n">
        <v>-0.01741175998165426</v>
      </c>
      <c r="V56" s="171">
        <f>C56-U56</f>
        <v/>
      </c>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64" t="inlineStr">
        <is>
          <t>2009-01</t>
        </is>
      </c>
      <c r="B57" s="163" t="n">
        <v>0.000886037422334951</v>
      </c>
      <c r="C57" s="163" t="n">
        <v>-0.006584402689503136</v>
      </c>
      <c r="D57" s="163" t="n">
        <v>0.007470440111838087</v>
      </c>
      <c r="E57" s="170" t="n">
        <v>2253.506129032258</v>
      </c>
      <c r="F57" s="170" t="n">
        <v>2236.734171406143</v>
      </c>
      <c r="G57" s="163" t="n">
        <v>0.003180297575970861</v>
      </c>
      <c r="H57" s="163" t="n">
        <v>0.009903693243471233</v>
      </c>
      <c r="I57" s="163" t="n">
        <v>0.0001009127886765214</v>
      </c>
      <c r="J57" s="163" t="n">
        <v>-0.0003410031439588575</v>
      </c>
      <c r="K57" s="163" t="n">
        <v>7.314180125067118e-06</v>
      </c>
      <c r="L57" s="163" t="n">
        <v>0.0016654948066661</v>
      </c>
      <c r="M57" s="163" t="n">
        <v>-0.001823519651984981</v>
      </c>
      <c r="N57" s="163" t="n">
        <v>-0.00569424075338287</v>
      </c>
      <c r="O57" s="163" t="n">
        <v>-0.005242581868661814</v>
      </c>
      <c r="P57" s="163" t="n">
        <v>-0.009023743411562755</v>
      </c>
      <c r="Q57" s="163" t="n">
        <v>0.0001909269899814809</v>
      </c>
      <c r="R57" s="163" t="n">
        <v>0.003271617501278248</v>
      </c>
      <c r="S57" s="163" t="n">
        <v>-0.002779570946121371</v>
      </c>
      <c r="T57" s="163" t="n">
        <v>0</v>
      </c>
      <c r="U57" s="163" t="n">
        <v>-0.006584402689503137</v>
      </c>
      <c r="V57" s="171">
        <f>C57-U57</f>
        <v/>
      </c>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64" t="inlineStr">
        <is>
          <t>2009-02</t>
        </is>
      </c>
      <c r="B58" s="163" t="n">
        <v>0.1087290127010725</v>
      </c>
      <c r="C58" s="163" t="n">
        <v>0.04330122607970877</v>
      </c>
      <c r="D58" s="163" t="n">
        <v>0.06542778662136373</v>
      </c>
      <c r="E58" s="170" t="n">
        <v>2512.344285714285</v>
      </c>
      <c r="F58" s="170" t="n">
        <v>2353.229191627002</v>
      </c>
      <c r="G58" s="163" t="n">
        <v>0.003180297575970861</v>
      </c>
      <c r="H58" s="163" t="n">
        <v>-0.0005457922442306198</v>
      </c>
      <c r="I58" s="163" t="n">
        <v>-0.001305096457001937</v>
      </c>
      <c r="J58" s="163" t="n">
        <v>0.001631371848328999</v>
      </c>
      <c r="K58" s="163" t="n">
        <v>0.0004272132947930296</v>
      </c>
      <c r="L58" s="163" t="n">
        <v>0.006226751588910801</v>
      </c>
      <c r="M58" s="163" t="n">
        <v>0.0002249877973080592</v>
      </c>
      <c r="N58" s="163" t="n">
        <v>-0.004309114071575883</v>
      </c>
      <c r="O58" s="163" t="n">
        <v>0.005035517324360342</v>
      </c>
      <c r="P58" s="163" t="n">
        <v>0.01587273227556635</v>
      </c>
      <c r="Q58" s="163" t="n">
        <v>-0.0005983437616664337</v>
      </c>
      <c r="R58" s="163" t="n">
        <v>0.006451543529189118</v>
      </c>
      <c r="S58" s="163" t="n">
        <v>0.01100915737975607</v>
      </c>
      <c r="T58" s="163" t="n">
        <v>0</v>
      </c>
      <c r="U58" s="163" t="n">
        <v>0.04330122607970877</v>
      </c>
      <c r="V58" s="171">
        <f>C58-U58</f>
        <v/>
      </c>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64" t="inlineStr">
        <is>
          <t>2009-03</t>
        </is>
      </c>
      <c r="B59" s="163" t="n">
        <v>-0.017145994497894</v>
      </c>
      <c r="C59" s="163" t="n">
        <v>-0.008083741357660762</v>
      </c>
      <c r="D59" s="163" t="n">
        <v>-0.009062253140233239</v>
      </c>
      <c r="E59" s="170" t="n">
        <v>2469.634838709678</v>
      </c>
      <c r="F59" s="170" t="n">
        <v>2492.11701048681</v>
      </c>
      <c r="G59" s="163" t="n">
        <v>0.003180297575970861</v>
      </c>
      <c r="H59" s="163" t="n">
        <v>-0.01091302801069752</v>
      </c>
      <c r="I59" s="163" t="n">
        <v>0.00035985671509193</v>
      </c>
      <c r="J59" s="163" t="n">
        <v>0.002740261012302533</v>
      </c>
      <c r="K59" s="163" t="n">
        <v>0.0001029932100087788</v>
      </c>
      <c r="L59" s="163" t="n">
        <v>0.001090242310826036</v>
      </c>
      <c r="M59" s="163" t="n">
        <v>-0.0001962345649974343</v>
      </c>
      <c r="N59" s="163" t="n">
        <v>0.000967510733834442</v>
      </c>
      <c r="O59" s="163" t="n">
        <v>0.003496702388041847</v>
      </c>
      <c r="P59" s="163" t="n">
        <v>-0.00500014965748278</v>
      </c>
      <c r="Q59" s="163" t="n">
        <v>6.356306392089042e-05</v>
      </c>
      <c r="R59" s="163" t="n">
        <v>0.006992741677772003</v>
      </c>
      <c r="S59" s="163" t="n">
        <v>-0.01096849781225234</v>
      </c>
      <c r="T59" s="163" t="n">
        <v>0</v>
      </c>
      <c r="U59" s="163" t="n">
        <v>-0.008083741357660761</v>
      </c>
      <c r="V59" s="171">
        <f>C59-U59</f>
        <v/>
      </c>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64" t="inlineStr">
        <is>
          <t>2009-04</t>
        </is>
      </c>
      <c r="B60" s="163" t="n">
        <v>-0.03923807027332327</v>
      </c>
      <c r="C60" s="163" t="n">
        <v>-0.03860520709044954</v>
      </c>
      <c r="D60" s="163" t="n">
        <v>-0.0006328631828737274</v>
      </c>
      <c r="E60" s="170" t="n">
        <v>2374.607666666667</v>
      </c>
      <c r="F60" s="170" t="n">
        <v>2376.110944066957</v>
      </c>
      <c r="G60" s="163" t="n">
        <v>0.003180297575970861</v>
      </c>
      <c r="H60" s="163" t="n">
        <v>0.001216061571862076</v>
      </c>
      <c r="I60" s="163" t="n">
        <v>-7.569735532485944e-05</v>
      </c>
      <c r="J60" s="163" t="n">
        <v>0.005973730126514693</v>
      </c>
      <c r="K60" s="163" t="n">
        <v>-0.0001027037724517452</v>
      </c>
      <c r="L60" s="163" t="n">
        <v>-0.006442540321036075</v>
      </c>
      <c r="M60" s="163" t="n">
        <v>-0.001862800161327698</v>
      </c>
      <c r="N60" s="163" t="n">
        <v>-0.01126042613113337</v>
      </c>
      <c r="O60" s="163" t="n">
        <v>-0.006216727659361356</v>
      </c>
      <c r="P60" s="163" t="n">
        <v>0.003263845363500501</v>
      </c>
      <c r="Q60" s="163" t="n">
        <v>0.0004834196796943748</v>
      </c>
      <c r="R60" s="163" t="n">
        <v>0.005316752252335247</v>
      </c>
      <c r="S60" s="163" t="n">
        <v>-0.03207841825969219</v>
      </c>
      <c r="T60" s="163" t="n">
        <v>0</v>
      </c>
      <c r="U60" s="163" t="n">
        <v>-0.03860520709044954</v>
      </c>
      <c r="V60" s="171">
        <f>C60-U60</f>
        <v/>
      </c>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64" t="inlineStr">
        <is>
          <t>2009-05</t>
        </is>
      </c>
      <c r="B61" s="163" t="n">
        <v>-0.06403417564529601</v>
      </c>
      <c r="C61" s="163" t="n">
        <v>-0.05136004373063893</v>
      </c>
      <c r="D61" s="163" t="n">
        <v>-0.01267413191465708</v>
      </c>
      <c r="E61" s="170" t="n">
        <v>2227.317741935483</v>
      </c>
      <c r="F61" s="170" t="n">
        <v>2255.726710031975</v>
      </c>
      <c r="G61" s="163" t="n">
        <v>0.003180297575970861</v>
      </c>
      <c r="H61" s="163" t="n">
        <v>-0.008429399180893726</v>
      </c>
      <c r="I61" s="163" t="n">
        <v>-0.001411620773512947</v>
      </c>
      <c r="J61" s="163" t="n">
        <v>0.003693400249357224</v>
      </c>
      <c r="K61" s="163" t="n">
        <v>0.0002616468293312627</v>
      </c>
      <c r="L61" s="163" t="n">
        <v>-0.007707600766040957</v>
      </c>
      <c r="M61" s="163" t="n">
        <v>-0.001992899536911764</v>
      </c>
      <c r="N61" s="163" t="n">
        <v>-0.01625358823923363</v>
      </c>
      <c r="O61" s="163" t="n">
        <v>0.005310921525689219</v>
      </c>
      <c r="P61" s="163" t="n">
        <v>-0.006609746591282718</v>
      </c>
      <c r="Q61" s="163" t="n">
        <v>-0.0002365759733189626</v>
      </c>
      <c r="R61" s="163" t="n">
        <v>0.004150077432933264</v>
      </c>
      <c r="S61" s="163" t="n">
        <v>-0.02531495628272605</v>
      </c>
      <c r="T61" s="163" t="n">
        <v>0</v>
      </c>
      <c r="U61" s="163" t="n">
        <v>-0.05136004373063893</v>
      </c>
      <c r="V61" s="171">
        <f>C61-U61</f>
        <v/>
      </c>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64" t="inlineStr">
        <is>
          <t>2009-06</t>
        </is>
      </c>
      <c r="B62" s="163" t="n">
        <v>-0.0638922362952794</v>
      </c>
      <c r="C62" s="163" t="n">
        <v>-0.008375716958330125</v>
      </c>
      <c r="D62" s="163" t="n">
        <v>-0.05551651933694927</v>
      </c>
      <c r="E62" s="170" t="n">
        <v>2089.460333333333</v>
      </c>
      <c r="F62" s="170" t="n">
        <v>2208.740267391826</v>
      </c>
      <c r="G62" s="163" t="n">
        <v>0.003180297575970861</v>
      </c>
      <c r="H62" s="163" t="n">
        <v>-0.004048260978722571</v>
      </c>
      <c r="I62" s="163" t="n">
        <v>-0.001388584882018574</v>
      </c>
      <c r="J62" s="163" t="n">
        <v>0.004631559133675956</v>
      </c>
      <c r="K62" s="163" t="n">
        <v>-0.0006206022298364062</v>
      </c>
      <c r="L62" s="163" t="n">
        <v>-0.003764757032575006</v>
      </c>
      <c r="M62" s="163" t="n">
        <v>-0.001062944759247621</v>
      </c>
      <c r="N62" s="163" t="n">
        <v>-0.004262302020388256</v>
      </c>
      <c r="O62" s="163" t="n">
        <v>-0.002137278076372481</v>
      </c>
      <c r="P62" s="163" t="n">
        <v>0.008173961205203211</v>
      </c>
      <c r="Q62" s="163" t="n">
        <v>0.0001359007116190152</v>
      </c>
      <c r="R62" s="163" t="n">
        <v>0.003072939996909921</v>
      </c>
      <c r="S62" s="163" t="n">
        <v>-0.01028564560254817</v>
      </c>
      <c r="T62" s="163" t="n">
        <v>0</v>
      </c>
      <c r="U62" s="163" t="n">
        <v>-0.008375716958330125</v>
      </c>
      <c r="V62" s="171">
        <f>C62-U62</f>
        <v/>
      </c>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64" t="inlineStr">
        <is>
          <t>2009-07</t>
        </is>
      </c>
      <c r="B63" s="163" t="n">
        <v>-0.01943698362748236</v>
      </c>
      <c r="C63" s="163" t="n">
        <v>0.005301640297424046</v>
      </c>
      <c r="D63" s="163" t="n">
        <v>-0.02473862392490641</v>
      </c>
      <c r="E63" s="170" t="n">
        <v>2049.239677419354</v>
      </c>
      <c r="F63" s="170" t="n">
        <v>2100.567317036914</v>
      </c>
      <c r="G63" s="163" t="n">
        <v>0.003180297575970861</v>
      </c>
      <c r="H63" s="163" t="n">
        <v>0.005605214651032954</v>
      </c>
      <c r="I63" s="163" t="n">
        <v>-0.001092219216775349</v>
      </c>
      <c r="J63" s="163" t="n">
        <v>0.006253858910882428</v>
      </c>
      <c r="K63" s="163" t="n">
        <v>-0.0005678592112098045</v>
      </c>
      <c r="L63" s="163" t="n">
        <v>-0.0009624061335565008</v>
      </c>
      <c r="M63" s="163" t="n">
        <v>-0.001233056356861412</v>
      </c>
      <c r="N63" s="163" t="n">
        <v>1.081206337792827e-05</v>
      </c>
      <c r="O63" s="163" t="n">
        <v>-0.001721544057060338</v>
      </c>
      <c r="P63" s="163" t="n">
        <v>-0.0004882203835330788</v>
      </c>
      <c r="Q63" s="163" t="n">
        <v>3.293877503745926e-05</v>
      </c>
      <c r="R63" s="163" t="n">
        <v>-0.0009560288730015955</v>
      </c>
      <c r="S63" s="163" t="n">
        <v>-0.002760147446879504</v>
      </c>
      <c r="T63" s="163" t="n">
        <v>0</v>
      </c>
      <c r="U63" s="163" t="n">
        <v>0.005301640297424049</v>
      </c>
      <c r="V63" s="171">
        <f>C63-U63</f>
        <v/>
      </c>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64" t="inlineStr">
        <is>
          <t>2009-08</t>
        </is>
      </c>
      <c r="B64" s="163" t="n">
        <v>-0.01555119563424157</v>
      </c>
      <c r="C64" s="163" t="n">
        <v>-0.04445378121664841</v>
      </c>
      <c r="D64" s="163" t="n">
        <v>0.02890258558240685</v>
      </c>
      <c r="E64" s="170" t="n">
        <v>2017.618064516128</v>
      </c>
      <c r="F64" s="170" t="n">
        <v>1960.138343311195</v>
      </c>
      <c r="G64" s="163" t="n">
        <v>0.003180297575970861</v>
      </c>
      <c r="H64" s="163" t="n">
        <v>-0.00435202218964698</v>
      </c>
      <c r="I64" s="163" t="n">
        <v>-0.003403045300040717</v>
      </c>
      <c r="J64" s="163" t="n">
        <v>0.001571602909168762</v>
      </c>
      <c r="K64" s="163" t="n">
        <v>-0.0002582995359006284</v>
      </c>
      <c r="L64" s="163" t="n">
        <v>-0.003271790890218889</v>
      </c>
      <c r="M64" s="163" t="n">
        <v>-0.0003667925142592638</v>
      </c>
      <c r="N64" s="163" t="n">
        <v>-0.006234409509018635</v>
      </c>
      <c r="O64" s="163" t="n">
        <v>-0.004898866945537885</v>
      </c>
      <c r="P64" s="163" t="n">
        <v>-0.01035045176495217</v>
      </c>
      <c r="Q64" s="163" t="n">
        <v>0.0002066645292270591</v>
      </c>
      <c r="R64" s="163" t="n">
        <v>-0.0008512865012139709</v>
      </c>
      <c r="S64" s="163" t="n">
        <v>-0.01542538108022596</v>
      </c>
      <c r="T64" s="163" t="n">
        <v>0</v>
      </c>
      <c r="U64" s="163" t="n">
        <v>-0.04445378121664841</v>
      </c>
      <c r="V64" s="171">
        <f>C64-U64</f>
        <v/>
      </c>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64" t="inlineStr">
        <is>
          <t>2009-09</t>
        </is>
      </c>
      <c r="B65" s="163" t="n">
        <v>-0.01981472307592824</v>
      </c>
      <c r="C65" s="163" t="n">
        <v>-0.01451841747619731</v>
      </c>
      <c r="D65" s="163" t="n">
        <v>-0.005296305599730931</v>
      </c>
      <c r="E65" s="170" t="n">
        <v>1978.032999999999</v>
      </c>
      <c r="F65" s="170" t="n">
        <v>1988.537059053772</v>
      </c>
      <c r="G65" s="163" t="n">
        <v>0.003180297575970861</v>
      </c>
      <c r="H65" s="163" t="n">
        <v>-0.002526724348917843</v>
      </c>
      <c r="I65" s="163" t="n">
        <v>-0.001509141298967499</v>
      </c>
      <c r="J65" s="163" t="n">
        <v>0</v>
      </c>
      <c r="K65" s="163" t="n">
        <v>0.0002786591007391087</v>
      </c>
      <c r="L65" s="163" t="n">
        <v>-0.0018214223424449</v>
      </c>
      <c r="M65" s="163" t="n">
        <v>-0.0001868401165104216</v>
      </c>
      <c r="N65" s="163" t="n">
        <v>-0.001850648758808973</v>
      </c>
      <c r="O65" s="163" t="n">
        <v>-0.01328663314876028</v>
      </c>
      <c r="P65" s="163" t="n">
        <v>0.007956411824283863</v>
      </c>
      <c r="Q65" s="163" t="n">
        <v>0.0001302550540395742</v>
      </c>
      <c r="R65" s="163" t="n">
        <v>-0.00231018519273485</v>
      </c>
      <c r="S65" s="163" t="n">
        <v>-0.002572445824085948</v>
      </c>
      <c r="T65" s="163" t="n">
        <v>0</v>
      </c>
      <c r="U65" s="163" t="n">
        <v>-0.01451841747619731</v>
      </c>
      <c r="V65" s="171">
        <f>C65-U65</f>
        <v/>
      </c>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64" t="inlineStr">
        <is>
          <t>2009-10</t>
        </is>
      </c>
      <c r="B66" s="163" t="n">
        <v>-0.03951228998300049</v>
      </c>
      <c r="C66" s="163" t="n">
        <v>-0.03657863245026047</v>
      </c>
      <c r="D66" s="163" t="n">
        <v>-0.002933657532740025</v>
      </c>
      <c r="E66" s="170" t="n">
        <v>1901.400322580645</v>
      </c>
      <c r="F66" s="170" t="n">
        <v>1906.986570021749</v>
      </c>
      <c r="G66" s="163" t="n">
        <v>0.003180297575970861</v>
      </c>
      <c r="H66" s="163" t="n">
        <v>-0.003789386577118372</v>
      </c>
      <c r="I66" s="163" t="n">
        <v>-0.003852862013104316</v>
      </c>
      <c r="J66" s="163" t="n">
        <v>0.0001985182622107914</v>
      </c>
      <c r="K66" s="163" t="n">
        <v>-9.092451443438407e-05</v>
      </c>
      <c r="L66" s="163" t="n">
        <v>-0.003646777751034221</v>
      </c>
      <c r="M66" s="163" t="n">
        <v>-0.0003137542590568045</v>
      </c>
      <c r="N66" s="163" t="n">
        <v>-0.005463132898679612</v>
      </c>
      <c r="O66" s="163" t="n">
        <v>0.001356751340565821</v>
      </c>
      <c r="P66" s="163" t="n">
        <v>-0.009047702870919242</v>
      </c>
      <c r="Q66" s="163" t="n">
        <v>-0.0003103337655615852</v>
      </c>
      <c r="R66" s="163" t="n">
        <v>-0.001081864809247448</v>
      </c>
      <c r="S66" s="163" t="n">
        <v>-0.01371746016985195</v>
      </c>
      <c r="T66" s="163" t="n">
        <v>0</v>
      </c>
      <c r="U66" s="163" t="n">
        <v>-0.03657863245026047</v>
      </c>
      <c r="V66" s="171">
        <f>C66-U66</f>
        <v/>
      </c>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64" t="inlineStr">
        <is>
          <t>2009-11</t>
        </is>
      </c>
      <c r="B67" s="163" t="n">
        <v>0.03892888049012022</v>
      </c>
      <c r="C67" s="163" t="n">
        <v>-0.004944183311556668</v>
      </c>
      <c r="D67" s="163" t="n">
        <v>0.04387306380167689</v>
      </c>
      <c r="E67" s="170" t="n">
        <v>1976.879333333334</v>
      </c>
      <c r="F67" s="170" t="n">
        <v>1892.022652400403</v>
      </c>
      <c r="G67" s="163" t="n">
        <v>0.003180297575970861</v>
      </c>
      <c r="H67" s="163" t="n">
        <v>0.000519042789221197</v>
      </c>
      <c r="I67" s="163" t="n">
        <v>-0.002102005978781354</v>
      </c>
      <c r="J67" s="163" t="n">
        <v>0.002084441753213307</v>
      </c>
      <c r="K67" s="163" t="n">
        <v>-0.0003938173852671115</v>
      </c>
      <c r="L67" s="163" t="n">
        <v>-0.00120725850967963</v>
      </c>
      <c r="M67" s="163" t="n">
        <v>-0.0002206295081486012</v>
      </c>
      <c r="N67" s="163" t="n">
        <v>-0.0008600095411861698</v>
      </c>
      <c r="O67" s="163" t="n">
        <v>-0.0007374630887647281</v>
      </c>
      <c r="P67" s="163" t="n">
        <v>0.005286350123460739</v>
      </c>
      <c r="Q67" s="163" t="n">
        <v>3.723674731295067e-05</v>
      </c>
      <c r="R67" s="163" t="n">
        <v>0.002929031218240331</v>
      </c>
      <c r="S67" s="163" t="n">
        <v>-0.01345939950714846</v>
      </c>
      <c r="T67" s="163" t="n">
        <v>0</v>
      </c>
      <c r="U67" s="163" t="n">
        <v>-0.004944183311556667</v>
      </c>
      <c r="V67" s="171">
        <f>C67-U67</f>
        <v/>
      </c>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64" t="inlineStr">
        <is>
          <t>2009-12</t>
        </is>
      </c>
      <c r="B68" s="163" t="n">
        <v>0.02059364903945671</v>
      </c>
      <c r="C68" s="163" t="n">
        <v>0.005033758749999956</v>
      </c>
      <c r="D68" s="163" t="n">
        <v>0.01555989028945675</v>
      </c>
      <c r="E68" s="170" t="n">
        <v>2018.012580645162</v>
      </c>
      <c r="F68" s="170" t="n">
        <v>1986.855554855998</v>
      </c>
      <c r="G68" s="163" t="n">
        <v>0.003180297575970861</v>
      </c>
      <c r="H68" s="163" t="n">
        <v>0.0002636253265409056</v>
      </c>
      <c r="I68" s="163" t="n">
        <v>0.0005758563020837779</v>
      </c>
      <c r="J68" s="163" t="n">
        <v>0.0005790115981148078</v>
      </c>
      <c r="K68" s="163" t="n">
        <v>0.0001904753791934852</v>
      </c>
      <c r="L68" s="163" t="n">
        <v>0.001204267561477818</v>
      </c>
      <c r="M68" s="163" t="n">
        <v>-0.001296737211370805</v>
      </c>
      <c r="N68" s="163" t="n">
        <v>-0.0008895174641551046</v>
      </c>
      <c r="O68" s="163" t="n">
        <v>-0.002955596260223398</v>
      </c>
      <c r="P68" s="163" t="n">
        <v>0.00184915245743953</v>
      </c>
      <c r="Q68" s="163" t="n">
        <v>-7.368533485582048e-05</v>
      </c>
      <c r="R68" s="163" t="n">
        <v>0.006679361509389057</v>
      </c>
      <c r="S68" s="163" t="n">
        <v>-0.004272752689605159</v>
      </c>
      <c r="T68" s="163" t="n">
        <v>0</v>
      </c>
      <c r="U68" s="163" t="n">
        <v>0.005033758749999956</v>
      </c>
      <c r="V68" s="171">
        <f>C68-U68</f>
        <v/>
      </c>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64" t="inlineStr">
        <is>
          <t>2010-01</t>
        </is>
      </c>
      <c r="B69" s="163" t="n">
        <v>-0.01728711330822552</v>
      </c>
      <c r="C69" s="163" t="n">
        <v>-0.003328705311872184</v>
      </c>
      <c r="D69" s="163" t="n">
        <v>-0.01395840799635334</v>
      </c>
      <c r="E69" s="170" t="n">
        <v>1983.426774193548</v>
      </c>
      <c r="F69" s="170" t="n">
        <v>2011.30637912507</v>
      </c>
      <c r="G69" s="163" t="n">
        <v>0.003180297575970861</v>
      </c>
      <c r="H69" s="163" t="n">
        <v>-0.003276901682832034</v>
      </c>
      <c r="I69" s="163" t="n">
        <v>-0.0005995010746717049</v>
      </c>
      <c r="J69" s="163" t="n">
        <v>0.001902466679520082</v>
      </c>
      <c r="K69" s="163" t="n">
        <v>-0.0005885815735973739</v>
      </c>
      <c r="L69" s="163" t="n">
        <v>0.0004750089190221295</v>
      </c>
      <c r="M69" s="163" t="n">
        <v>-0.0003258000375782677</v>
      </c>
      <c r="N69" s="163" t="n">
        <v>0.0002707842658490529</v>
      </c>
      <c r="O69" s="163" t="n">
        <v>0.0009804687958880835</v>
      </c>
      <c r="P69" s="163" t="n">
        <v>-0.003292930116160069</v>
      </c>
      <c r="Q69" s="163" t="n">
        <v>-0.0001436264272453308</v>
      </c>
      <c r="R69" s="163" t="n">
        <v>0.0005686803809532354</v>
      </c>
      <c r="S69" s="163" t="n">
        <v>-0.002479071016990848</v>
      </c>
      <c r="T69" s="163" t="n">
        <v>0</v>
      </c>
      <c r="U69" s="163" t="n">
        <v>-0.003328705311872184</v>
      </c>
      <c r="V69" s="171">
        <f>C69-U69</f>
        <v/>
      </c>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64" t="inlineStr">
        <is>
          <t>2010-02</t>
        </is>
      </c>
      <c r="B70" s="163" t="n">
        <v>-0.01611299486480711</v>
      </c>
      <c r="C70" s="163" t="n">
        <v>0.01866435725324376</v>
      </c>
      <c r="D70" s="163" t="n">
        <v>-0.03477735211805087</v>
      </c>
      <c r="E70" s="170" t="n">
        <v>1951.723928571428</v>
      </c>
      <c r="F70" s="170" t="n">
        <v>2020.793791015782</v>
      </c>
      <c r="G70" s="163" t="n">
        <v>0.003180297575970861</v>
      </c>
      <c r="H70" s="163" t="n">
        <v>0.002410982698867253</v>
      </c>
      <c r="I70" s="163" t="n">
        <v>-0.001337285733291969</v>
      </c>
      <c r="J70" s="163" t="n">
        <v>-4.962956555269895e-05</v>
      </c>
      <c r="K70" s="163" t="n">
        <v>0.0003864987310397002</v>
      </c>
      <c r="L70" s="163" t="n">
        <v>0.00374862473486708</v>
      </c>
      <c r="M70" s="163" t="n">
        <v>0.001005597622778373</v>
      </c>
      <c r="N70" s="163" t="n">
        <v>0.004340087737065244</v>
      </c>
      <c r="O70" s="163" t="n">
        <v>0.001120323880981066</v>
      </c>
      <c r="P70" s="163" t="n">
        <v>-0.004961572001157878</v>
      </c>
      <c r="Q70" s="163" t="n">
        <v>0.0001737329932247624</v>
      </c>
      <c r="R70" s="163" t="n">
        <v>-0.003841130513811377</v>
      </c>
      <c r="S70" s="163" t="n">
        <v>0.01248782909226335</v>
      </c>
      <c r="T70" s="163" t="n">
        <v>0</v>
      </c>
      <c r="U70" s="163" t="n">
        <v>0.01866435725324376</v>
      </c>
      <c r="V70" s="171">
        <f>C70-U70</f>
        <v/>
      </c>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64" t="inlineStr">
        <is>
          <t>2010-03</t>
        </is>
      </c>
      <c r="B71" s="163" t="n">
        <v>-0.02213772769043221</v>
      </c>
      <c r="C71" s="163" t="n">
        <v>-0.03217521360840976</v>
      </c>
      <c r="D71" s="163" t="n">
        <v>0.01003748591797755</v>
      </c>
      <c r="E71" s="170" t="n">
        <v>1908.991935483871</v>
      </c>
      <c r="F71" s="170" t="n">
        <v>1889.926301404118</v>
      </c>
      <c r="G71" s="163" t="n">
        <v>0.003180297575970861</v>
      </c>
      <c r="H71" s="163" t="n">
        <v>-0.002919079623706004</v>
      </c>
      <c r="I71" s="163" t="n">
        <v>-0.002566297776560224</v>
      </c>
      <c r="J71" s="163" t="n">
        <v>9.925913110539568e-05</v>
      </c>
      <c r="K71" s="163" t="n">
        <v>0.0003822717460192024</v>
      </c>
      <c r="L71" s="163" t="n">
        <v>-0.001902317340297776</v>
      </c>
      <c r="M71" s="163" t="n">
        <v>-0.002721705020964376</v>
      </c>
      <c r="N71" s="163" t="n">
        <v>-0.007881521174738075</v>
      </c>
      <c r="O71" s="163" t="n">
        <v>0.000627179550238613</v>
      </c>
      <c r="P71" s="163" t="n">
        <v>-0.0003069673011744555</v>
      </c>
      <c r="Q71" s="163" t="n">
        <v>6.314764442838199e-05</v>
      </c>
      <c r="R71" s="163" t="n">
        <v>-0.004917659089579598</v>
      </c>
      <c r="S71" s="163" t="n">
        <v>-0.01331182192915171</v>
      </c>
      <c r="T71" s="163" t="n">
        <v>0</v>
      </c>
      <c r="U71" s="163" t="n">
        <v>-0.03217521360840976</v>
      </c>
      <c r="V71" s="171">
        <f>C71-U71</f>
        <v/>
      </c>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64" t="inlineStr">
        <is>
          <t>2010-04</t>
        </is>
      </c>
      <c r="B72" s="163" t="n">
        <v>0.01479683905510587</v>
      </c>
      <c r="C72" s="163" t="n">
        <v>-0.01053009393642307</v>
      </c>
      <c r="D72" s="163" t="n">
        <v>0.02532693299152894</v>
      </c>
      <c r="E72" s="170" t="n">
        <v>1937.449</v>
      </c>
      <c r="F72" s="170" t="n">
        <v>1888.995537823398</v>
      </c>
      <c r="G72" s="163" t="n">
        <v>0.003180297575970861</v>
      </c>
      <c r="H72" s="163" t="n">
        <v>-0.002879405350981821</v>
      </c>
      <c r="I72" s="163" t="n">
        <v>-0.0006383255258629477</v>
      </c>
      <c r="J72" s="163" t="n">
        <v>0.0001488886966580946</v>
      </c>
      <c r="K72" s="163" t="n">
        <v>2.514460187491035e-05</v>
      </c>
      <c r="L72" s="163" t="n">
        <v>-0.001327644373333733</v>
      </c>
      <c r="M72" s="163" t="n">
        <v>-0.0002230640055265239</v>
      </c>
      <c r="N72" s="163" t="n">
        <v>-0.002774307887380684</v>
      </c>
      <c r="O72" s="163" t="n">
        <v>-0.003425485694401391</v>
      </c>
      <c r="P72" s="163" t="n">
        <v>0.003299072194656597</v>
      </c>
      <c r="Q72" s="163" t="n">
        <v>0.0002025642622811042</v>
      </c>
      <c r="R72" s="163" t="n">
        <v>0.001417522102353985</v>
      </c>
      <c r="S72" s="163" t="n">
        <v>-0.00753535053273152</v>
      </c>
      <c r="T72" s="163" t="n">
        <v>0</v>
      </c>
      <c r="U72" s="163" t="n">
        <v>-0.01053009393642307</v>
      </c>
      <c r="V72" s="171">
        <f>C72-U72</f>
        <v/>
      </c>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64" t="inlineStr">
        <is>
          <t>2010-05</t>
        </is>
      </c>
      <c r="B73" s="163" t="n">
        <v>0.02353780120813642</v>
      </c>
      <c r="C73" s="163" t="n">
        <v>0.05034155572815906</v>
      </c>
      <c r="D73" s="163" t="n">
        <v>-0.02680375452002264</v>
      </c>
      <c r="E73" s="170" t="n">
        <v>1983.593225806452</v>
      </c>
      <c r="F73" s="170" t="n">
        <v>2037.479928510228</v>
      </c>
      <c r="G73" s="163" t="n">
        <v>0.003180297575970861</v>
      </c>
      <c r="H73" s="163" t="n">
        <v>0.005271004390841293</v>
      </c>
      <c r="I73" s="163" t="n">
        <v>-0.0005825067771265037</v>
      </c>
      <c r="J73" s="163" t="n">
        <v>0.0001985182622107914</v>
      </c>
      <c r="K73" s="163" t="n">
        <v>-0.0003597615304560327</v>
      </c>
      <c r="L73" s="163" t="n">
        <v>0.007421168065528491</v>
      </c>
      <c r="M73" s="163" t="n">
        <v>0.00692836344130177</v>
      </c>
      <c r="N73" s="163" t="n">
        <v>0.009963010704541845</v>
      </c>
      <c r="O73" s="163" t="n">
        <v>-0.004621222733526028</v>
      </c>
      <c r="P73" s="163" t="n">
        <v>0.004437695651519693</v>
      </c>
      <c r="Q73" s="163" t="n">
        <v>-9.923130067188904e-05</v>
      </c>
      <c r="R73" s="163" t="n">
        <v>0.005959590535320655</v>
      </c>
      <c r="S73" s="163" t="n">
        <v>0.01264462944270411</v>
      </c>
      <c r="T73" s="163" t="n">
        <v>0</v>
      </c>
      <c r="U73" s="163" t="n">
        <v>0.05034155572815906</v>
      </c>
      <c r="V73" s="171">
        <f>C73-U73</f>
        <v/>
      </c>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64" t="inlineStr">
        <is>
          <t>2010-06</t>
        </is>
      </c>
      <c r="B74" s="163" t="n">
        <v>-0.0290254912570953</v>
      </c>
      <c r="C74" s="163" t="n">
        <v>-0.005488232201172946</v>
      </c>
      <c r="D74" s="163" t="n">
        <v>-0.02353725905592236</v>
      </c>
      <c r="E74" s="170" t="n">
        <v>1926.846</v>
      </c>
      <c r="F74" s="170" t="n">
        <v>1972.736624615361</v>
      </c>
      <c r="G74" s="163" t="n">
        <v>0.003180297575970861</v>
      </c>
      <c r="H74" s="163" t="n">
        <v>-0.0027593668486143</v>
      </c>
      <c r="I74" s="163" t="n">
        <v>-0.0003049987948171497</v>
      </c>
      <c r="J74" s="163" t="n">
        <v>0.002321382904884252</v>
      </c>
      <c r="K74" s="163" t="n">
        <v>1.155803992650122e-05</v>
      </c>
      <c r="L74" s="163" t="n">
        <v>0.00133581839065005</v>
      </c>
      <c r="M74" s="163" t="n">
        <v>-0.000744978770587553</v>
      </c>
      <c r="N74" s="163" t="n">
        <v>-0.001368096073048737</v>
      </c>
      <c r="O74" s="163" t="n">
        <v>-0.0003210772389609823</v>
      </c>
      <c r="P74" s="163" t="n">
        <v>-0.004936397444279362</v>
      </c>
      <c r="Q74" s="163" t="n">
        <v>-7.666057773977997e-05</v>
      </c>
      <c r="R74" s="163" t="n">
        <v>-0.0001362628785322493</v>
      </c>
      <c r="S74" s="163" t="n">
        <v>-0.001689450486024498</v>
      </c>
      <c r="T74" s="163" t="n">
        <v>0</v>
      </c>
      <c r="U74" s="163" t="n">
        <v>-0.005488232201172947</v>
      </c>
      <c r="V74" s="171">
        <f>C74-U74</f>
        <v/>
      </c>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64" t="inlineStr">
        <is>
          <t>2010-07</t>
        </is>
      </c>
      <c r="B75" s="163" t="n">
        <v>-0.02758983764313339</v>
      </c>
      <c r="C75" s="163" t="n">
        <v>-0.0238827014321693</v>
      </c>
      <c r="D75" s="163" t="n">
        <v>-0.003707136210964086</v>
      </c>
      <c r="E75" s="170" t="n">
        <v>1874.41129032258</v>
      </c>
      <c r="F75" s="170" t="n">
        <v>1881.372884106694</v>
      </c>
      <c r="G75" s="163" t="n">
        <v>0.003180297575970861</v>
      </c>
      <c r="H75" s="163" t="n">
        <v>0.002647149891502438</v>
      </c>
      <c r="I75" s="163" t="n">
        <v>0.0001555998541013445</v>
      </c>
      <c r="J75" s="163" t="n">
        <v>6.083624164524223e-05</v>
      </c>
      <c r="K75" s="163" t="n">
        <v>-0.0002205389883074056</v>
      </c>
      <c r="L75" s="163" t="n">
        <v>-0.004070665500118565</v>
      </c>
      <c r="M75" s="163" t="n">
        <v>-0.001797932055095776</v>
      </c>
      <c r="N75" s="163" t="n">
        <v>-0.00410317805192438</v>
      </c>
      <c r="O75" s="163" t="n">
        <v>-0.005256051719018668</v>
      </c>
      <c r="P75" s="163" t="n">
        <v>-0.007851241229773362</v>
      </c>
      <c r="Q75" s="163" t="n">
        <v>0.0003078182725808276</v>
      </c>
      <c r="R75" s="163" t="n">
        <v>-0.0007642170462462211</v>
      </c>
      <c r="S75" s="163" t="n">
        <v>-0.006170578677485634</v>
      </c>
      <c r="T75" s="163" t="n">
        <v>0</v>
      </c>
      <c r="U75" s="163" t="n">
        <v>-0.0238827014321693</v>
      </c>
      <c r="V75" s="171">
        <f>C75-U75</f>
        <v/>
      </c>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64" t="inlineStr">
        <is>
          <t>2010-08</t>
        </is>
      </c>
      <c r="B76" s="163" t="n">
        <v>-0.02879865289710182</v>
      </c>
      <c r="C76" s="163" t="n">
        <v>-0.02475805250691873</v>
      </c>
      <c r="D76" s="163" t="n">
        <v>-0.004040600390183089</v>
      </c>
      <c r="E76" s="170" t="n">
        <v>1821.20064516129</v>
      </c>
      <c r="F76" s="170" t="n">
        <v>1828.574276114684</v>
      </c>
      <c r="G76" s="163" t="n">
        <v>0.003180297575970861</v>
      </c>
      <c r="H76" s="163" t="n">
        <v>-0.001956373003491999</v>
      </c>
      <c r="I76" s="163" t="n">
        <v>0.0007014940800702696</v>
      </c>
      <c r="J76" s="163" t="n">
        <v>0</v>
      </c>
      <c r="K76" s="163" t="n">
        <v>8.137393313486809e-05</v>
      </c>
      <c r="L76" s="163" t="n">
        <v>-0.001982714718887934</v>
      </c>
      <c r="M76" s="163" t="n">
        <v>-0.0003726150661104437</v>
      </c>
      <c r="N76" s="163" t="n">
        <v>-0.005688496844713338</v>
      </c>
      <c r="O76" s="163" t="n">
        <v>-0.002908518561068751</v>
      </c>
      <c r="P76" s="163" t="n">
        <v>-0.001373514297099098</v>
      </c>
      <c r="Q76" s="163" t="n">
        <v>-0.0001048044461107564</v>
      </c>
      <c r="R76" s="163" t="n">
        <v>-0.002696371648998686</v>
      </c>
      <c r="S76" s="163" t="n">
        <v>-0.01163780950961372</v>
      </c>
      <c r="T76" s="163" t="n">
        <v>0</v>
      </c>
      <c r="U76" s="163" t="n">
        <v>-0.02475805250691873</v>
      </c>
      <c r="V76" s="171">
        <f>C76-U76</f>
        <v/>
      </c>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64" t="inlineStr">
        <is>
          <t>2010-09</t>
        </is>
      </c>
      <c r="B77" s="163" t="n">
        <v>-0.008507592957902155</v>
      </c>
      <c r="C77" s="163" t="n">
        <v>-0.002866997448341037</v>
      </c>
      <c r="D77" s="163" t="n">
        <v>-0.005640595509561118</v>
      </c>
      <c r="E77" s="170" t="n">
        <v>1805.772333333333</v>
      </c>
      <c r="F77" s="170" t="n">
        <v>1815.986745248948</v>
      </c>
      <c r="G77" s="163" t="n">
        <v>0.003180297575970861</v>
      </c>
      <c r="H77" s="163" t="n">
        <v>0.0001387809106220155</v>
      </c>
      <c r="I77" s="163" t="n">
        <v>0.000845774683875115</v>
      </c>
      <c r="J77" s="163" t="n">
        <v>4.962956555269674e-05</v>
      </c>
      <c r="K77" s="163" t="n">
        <v>-8.475818585670836e-05</v>
      </c>
      <c r="L77" s="163" t="n">
        <v>-0.002381913586329982</v>
      </c>
      <c r="M77" s="163" t="n">
        <v>-0.001079432707220127</v>
      </c>
      <c r="N77" s="163" t="n">
        <v>0.001709657521635159</v>
      </c>
      <c r="O77" s="163" t="n">
        <v>-0.0004058712340304154</v>
      </c>
      <c r="P77" s="163" t="n">
        <v>0.004320847784630747</v>
      </c>
      <c r="Q77" s="163" t="n">
        <v>-0.00015315176242172</v>
      </c>
      <c r="R77" s="163" t="n">
        <v>0.0003393848944557765</v>
      </c>
      <c r="S77" s="163" t="n">
        <v>-0.009346242909224454</v>
      </c>
      <c r="T77" s="163" t="n">
        <v>0</v>
      </c>
      <c r="U77" s="163" t="n">
        <v>-0.002866997448341036</v>
      </c>
      <c r="V77" s="171">
        <f>C77-U77</f>
        <v/>
      </c>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64" t="inlineStr">
        <is>
          <t>2010-10</t>
        </is>
      </c>
      <c r="B78" s="163" t="n">
        <v>0.001568603450150086</v>
      </c>
      <c r="C78" s="163" t="n">
        <v>-0.03353028433978619</v>
      </c>
      <c r="D78" s="163" t="n">
        <v>0.03509888778993628</v>
      </c>
      <c r="E78" s="170" t="n">
        <v>1808.607096774193</v>
      </c>
      <c r="F78" s="170" t="n">
        <v>1746.228119349302</v>
      </c>
      <c r="G78" s="163" t="n">
        <v>0.003180297575970861</v>
      </c>
      <c r="H78" s="163" t="n">
        <v>-0.00296095533731822</v>
      </c>
      <c r="I78" s="163" t="n">
        <v>0.0004241851456731678</v>
      </c>
      <c r="J78" s="163" t="n">
        <v>0</v>
      </c>
      <c r="K78" s="163" t="n">
        <v>0.0002384732386932069</v>
      </c>
      <c r="L78" s="163" t="n">
        <v>-0.006686049175562986</v>
      </c>
      <c r="M78" s="163" t="n">
        <v>-0.001144740592565084</v>
      </c>
      <c r="N78" s="163" t="n">
        <v>-0.003014104007298347</v>
      </c>
      <c r="O78" s="163" t="n">
        <v>-0.006355298971917413</v>
      </c>
      <c r="P78" s="163" t="n">
        <v>-0.007250177621816817</v>
      </c>
      <c r="Q78" s="163" t="n">
        <v>0.0002808885231969992</v>
      </c>
      <c r="R78" s="163" t="n">
        <v>0.00011650336162232</v>
      </c>
      <c r="S78" s="163" t="n">
        <v>-0.01035930647846388</v>
      </c>
      <c r="T78" s="163" t="n">
        <v>0</v>
      </c>
      <c r="U78" s="163" t="n">
        <v>-0.03353028433978619</v>
      </c>
      <c r="V78" s="171">
        <f>C78-U78</f>
        <v/>
      </c>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64" t="inlineStr">
        <is>
          <t>2010-11</t>
        </is>
      </c>
      <c r="B79" s="163" t="n">
        <v>0.02962788178102027</v>
      </c>
      <c r="C79" s="163" t="n">
        <v>0.005022708472275254</v>
      </c>
      <c r="D79" s="163" t="n">
        <v>0.02460517330874502</v>
      </c>
      <c r="E79" s="170" t="n">
        <v>1862.994</v>
      </c>
      <c r="F79" s="170" t="n">
        <v>1817.714054613777</v>
      </c>
      <c r="G79" s="163" t="n">
        <v>0.003180297575970861</v>
      </c>
      <c r="H79" s="163" t="n">
        <v>-0.001533651697604675</v>
      </c>
      <c r="I79" s="163" t="n">
        <v>0.000224251066500993</v>
      </c>
      <c r="J79" s="163" t="n">
        <v>0</v>
      </c>
      <c r="K79" s="163" t="n">
        <v>0.000167942385824474</v>
      </c>
      <c r="L79" s="163" t="n">
        <v>0.000749216138537821</v>
      </c>
      <c r="M79" s="163" t="n">
        <v>-0.0001569498819320957</v>
      </c>
      <c r="N79" s="163" t="n">
        <v>-0.001112387556284693</v>
      </c>
      <c r="O79" s="163" t="n">
        <v>-0.005889632256039597</v>
      </c>
      <c r="P79" s="163" t="n">
        <v>0.005809362044897611</v>
      </c>
      <c r="Q79" s="163" t="n">
        <v>-3.900459285773534e-05</v>
      </c>
      <c r="R79" s="163" t="n">
        <v>0.0031668390592251</v>
      </c>
      <c r="S79" s="163" t="n">
        <v>0.0004564261860371911</v>
      </c>
      <c r="T79" s="163" t="n">
        <v>0</v>
      </c>
      <c r="U79" s="163" t="n">
        <v>0.005022708472275254</v>
      </c>
      <c r="V79" s="171">
        <f>C79-U79</f>
        <v/>
      </c>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64" t="inlineStr">
        <is>
          <t>2010-12</t>
        </is>
      </c>
      <c r="B80" s="163" t="n">
        <v>0.03135379218572076</v>
      </c>
      <c r="C80" s="163" t="n">
        <v>0.0005348743746345076</v>
      </c>
      <c r="D80" s="163" t="n">
        <v>0.03081891781108625</v>
      </c>
      <c r="E80" s="170" t="n">
        <v>1922.331290322581</v>
      </c>
      <c r="F80" s="170" t="n">
        <v>1863.990734290749</v>
      </c>
      <c r="G80" s="163" t="n">
        <v>0.003180297575970861</v>
      </c>
      <c r="H80" s="163" t="n">
        <v>-0.0006807831275173699</v>
      </c>
      <c r="I80" s="163" t="n">
        <v>0.0005071696802620135</v>
      </c>
      <c r="J80" s="163" t="n">
        <v>0</v>
      </c>
      <c r="K80" s="163" t="n">
        <v>0.0001158828517975378</v>
      </c>
      <c r="L80" s="163" t="n">
        <v>0.001791180253402315</v>
      </c>
      <c r="M80" s="163" t="n">
        <v>-0.001536744863737644</v>
      </c>
      <c r="N80" s="163" t="n">
        <v>0.001556261372460773</v>
      </c>
      <c r="O80" s="163" t="n">
        <v>-0.0003394632888283819</v>
      </c>
      <c r="P80" s="163" t="n">
        <v>0.0002504144903650151</v>
      </c>
      <c r="Q80" s="163" t="n">
        <v>-0.0003086582090527364</v>
      </c>
      <c r="R80" s="163" t="n">
        <v>-0.0002763085031888692</v>
      </c>
      <c r="S80" s="163" t="n">
        <v>-0.003724373857299007</v>
      </c>
      <c r="T80" s="163" t="n">
        <v>0</v>
      </c>
      <c r="U80" s="163" t="n">
        <v>0.0005348743746345077</v>
      </c>
      <c r="V80" s="171">
        <f>C80-U80</f>
        <v/>
      </c>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64" t="inlineStr">
        <is>
          <t>2011-01</t>
        </is>
      </c>
      <c r="B81" s="163" t="n">
        <v>-0.02916467778485821</v>
      </c>
      <c r="C81" s="163" t="n">
        <v>-0.02109699277924626</v>
      </c>
      <c r="D81" s="163" t="n">
        <v>-0.00806768500561195</v>
      </c>
      <c r="E81" s="170" t="n">
        <v>1867.076774193549</v>
      </c>
      <c r="F81" s="170" t="n">
        <v>1882.200686939644</v>
      </c>
      <c r="G81" s="163" t="n">
        <v>0.003180297575970861</v>
      </c>
      <c r="H81" s="163" t="n">
        <v>-0.0001639503920544115</v>
      </c>
      <c r="I81" s="163" t="n">
        <v>0.0002299425433266441</v>
      </c>
      <c r="J81" s="163" t="n">
        <v>-4.962956555269674e-05</v>
      </c>
      <c r="K81" s="163" t="n">
        <v>-0.0005432028894689424</v>
      </c>
      <c r="L81" s="163" t="n">
        <v>-0.002856098558949375</v>
      </c>
      <c r="M81" s="163" t="n">
        <v>-0.000166612552415593</v>
      </c>
      <c r="N81" s="163" t="n">
        <v>-0.002560592652486275</v>
      </c>
      <c r="O81" s="163" t="n">
        <v>-0.006056356996649643</v>
      </c>
      <c r="P81" s="163" t="n">
        <v>-0.005982432787118486</v>
      </c>
      <c r="Q81" s="163" t="n">
        <v>0.0004805906890211028</v>
      </c>
      <c r="R81" s="163" t="n">
        <v>-0.002875997492030956</v>
      </c>
      <c r="S81" s="163" t="n">
        <v>-0.003732949700838489</v>
      </c>
      <c r="T81" s="163" t="n">
        <v>0</v>
      </c>
      <c r="U81" s="163" t="n">
        <v>-0.02109699277924626</v>
      </c>
      <c r="V81" s="171">
        <f>C81-U81</f>
        <v/>
      </c>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64" t="inlineStr">
        <is>
          <t>2011-02</t>
        </is>
      </c>
      <c r="B82" s="163" t="n">
        <v>0.008158394720640061</v>
      </c>
      <c r="C82" s="163" t="n">
        <v>-0.0179514597388026</v>
      </c>
      <c r="D82" s="163" t="n">
        <v>0.02610985445944266</v>
      </c>
      <c r="E82" s="170" t="n">
        <v>1882.371428571428</v>
      </c>
      <c r="F82" s="170" t="n">
        <v>1833.859065871803</v>
      </c>
      <c r="G82" s="163" t="n">
        <v>0.003180297575970861</v>
      </c>
      <c r="H82" s="163" t="n">
        <v>-0.002843933138369297</v>
      </c>
      <c r="I82" s="163" t="n">
        <v>0.00065488902292337</v>
      </c>
      <c r="J82" s="163" t="n">
        <v>-4.962956555269895e-05</v>
      </c>
      <c r="K82" s="163" t="n">
        <v>0.0005843834073676399</v>
      </c>
      <c r="L82" s="163" t="n">
        <v>-0.001922188931557702</v>
      </c>
      <c r="M82" s="163" t="n">
        <v>7.539393270316207e-05</v>
      </c>
      <c r="N82" s="163" t="n">
        <v>0.0008869866046769042</v>
      </c>
      <c r="O82" s="163" t="n">
        <v>-0.00455097235759153</v>
      </c>
      <c r="P82" s="163" t="n">
        <v>-0.002241253105332604</v>
      </c>
      <c r="Q82" s="163" t="n">
        <v>-0.0001498480117269297</v>
      </c>
      <c r="R82" s="163" t="n">
        <v>-0.002187490648975526</v>
      </c>
      <c r="S82" s="163" t="n">
        <v>-0.009388094523338254</v>
      </c>
      <c r="T82" s="163" t="n">
        <v>0</v>
      </c>
      <c r="U82" s="163" t="n">
        <v>-0.01795145973880261</v>
      </c>
      <c r="V82" s="171">
        <f>C82-U82</f>
        <v/>
      </c>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64" t="inlineStr">
        <is>
          <t>2011-03</t>
        </is>
      </c>
      <c r="B83" s="163" t="n">
        <v>-0.0002957291835663511</v>
      </c>
      <c r="C83" s="163" t="n">
        <v>0.007451590101532107</v>
      </c>
      <c r="D83" s="163" t="n">
        <v>-0.007747319285098458</v>
      </c>
      <c r="E83" s="170" t="n">
        <v>1881.814838709677</v>
      </c>
      <c r="F83" s="170" t="n">
        <v>1896.450479387544</v>
      </c>
      <c r="G83" s="163" t="n">
        <v>0.003180297575970861</v>
      </c>
      <c r="H83" s="163" t="n">
        <v>-0.005864720309109924</v>
      </c>
      <c r="I83" s="163" t="n">
        <v>0.001167733556736186</v>
      </c>
      <c r="J83" s="163" t="n">
        <v>-9.394167765332072e-05</v>
      </c>
      <c r="K83" s="163" t="n">
        <v>-4.104969293161261e-05</v>
      </c>
      <c r="L83" s="163" t="n">
        <v>-0.002468930720523255</v>
      </c>
      <c r="M83" s="163" t="n">
        <v>0.001979843114224901</v>
      </c>
      <c r="N83" s="163" t="n">
        <v>0.0007147111769792196</v>
      </c>
      <c r="O83" s="163" t="n">
        <v>-0.00419433284592715</v>
      </c>
      <c r="P83" s="163" t="n">
        <v>0.01279639105231667</v>
      </c>
      <c r="Q83" s="163" t="n">
        <v>-0.0002494390886073359</v>
      </c>
      <c r="R83" s="163" t="n">
        <v>0.0006796134354003829</v>
      </c>
      <c r="S83" s="163" t="n">
        <v>-0.0001545854753435123</v>
      </c>
      <c r="T83" s="163" t="n">
        <v>0</v>
      </c>
      <c r="U83" s="163" t="n">
        <v>0.007451590101532106</v>
      </c>
      <c r="V83" s="171">
        <f>C83-U83</f>
        <v/>
      </c>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64" t="inlineStr">
        <is>
          <t>2011-04</t>
        </is>
      </c>
      <c r="B84" s="163" t="n">
        <v>-0.03900152257560041</v>
      </c>
      <c r="C84" s="163" t="n">
        <v>-0.0324462961817363</v>
      </c>
      <c r="D84" s="163" t="n">
        <v>-0.006555226393864112</v>
      </c>
      <c r="E84" s="170" t="n">
        <v>1809.834000000001</v>
      </c>
      <c r="F84" s="170" t="n">
        <v>1821.736841893938</v>
      </c>
      <c r="G84" s="163" t="n">
        <v>0.003180297575970861</v>
      </c>
      <c r="H84" s="163" t="n">
        <v>-0.003899030962218606</v>
      </c>
      <c r="I84" s="163" t="n">
        <v>-5.002745958203467e-05</v>
      </c>
      <c r="J84" s="163" t="n">
        <v>-0.001695924589698811</v>
      </c>
      <c r="K84" s="163" t="n">
        <v>0.0001774891632757009</v>
      </c>
      <c r="L84" s="163" t="n">
        <v>-0.004310920578958663</v>
      </c>
      <c r="M84" s="163" t="n">
        <v>-0.002785959142436079</v>
      </c>
      <c r="N84" s="163" t="n">
        <v>-0.0006166094001425323</v>
      </c>
      <c r="O84" s="163" t="n">
        <v>-0.005308628515437103</v>
      </c>
      <c r="P84" s="163" t="n">
        <v>-0.01233283474044436</v>
      </c>
      <c r="Q84" s="163" t="n">
        <v>0.0003363368862563658</v>
      </c>
      <c r="R84" s="163" t="n">
        <v>0.00370836114514907</v>
      </c>
      <c r="S84" s="163" t="n">
        <v>-0.008848845563470108</v>
      </c>
      <c r="T84" s="163" t="n">
        <v>0</v>
      </c>
      <c r="U84" s="163" t="n">
        <v>-0.03244629618173629</v>
      </c>
      <c r="V84" s="171">
        <f>C84-U84</f>
        <v/>
      </c>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64" t="inlineStr">
        <is>
          <t>2011-05</t>
        </is>
      </c>
      <c r="B85" s="163" t="n">
        <v>-0.005165886903627737</v>
      </c>
      <c r="C85" s="163" t="n">
        <v>-0.005399183618273452</v>
      </c>
      <c r="D85" s="163" t="n">
        <v>0.000233296714645715</v>
      </c>
      <c r="E85" s="170" t="n">
        <v>1800.508709677419</v>
      </c>
      <c r="F85" s="170" t="n">
        <v>1800.088705905415</v>
      </c>
      <c r="G85" s="163" t="n">
        <v>0.003180297575970861</v>
      </c>
      <c r="H85" s="163" t="n">
        <v>0.00216732403569328</v>
      </c>
      <c r="I85" s="163" t="n">
        <v>-0.0002363562540587754</v>
      </c>
      <c r="J85" s="163" t="n">
        <v>-0.001039018969151642</v>
      </c>
      <c r="K85" s="163" t="n">
        <v>0.0004398912622716979</v>
      </c>
      <c r="L85" s="163" t="n">
        <v>6.954065590244095e-05</v>
      </c>
      <c r="M85" s="163" t="n">
        <v>0.0004606135671786276</v>
      </c>
      <c r="N85" s="163" t="n">
        <v>-0.0006723912806950409</v>
      </c>
      <c r="O85" s="163" t="n">
        <v>-0.006893220408459033</v>
      </c>
      <c r="P85" s="163" t="n">
        <v>-0.0009746109375281219</v>
      </c>
      <c r="Q85" s="163" t="n">
        <v>6.087855391533245e-05</v>
      </c>
      <c r="R85" s="163" t="n">
        <v>0.003384241345271563</v>
      </c>
      <c r="S85" s="163" t="n">
        <v>-0.005346372764584642</v>
      </c>
      <c r="T85" s="163" t="n">
        <v>0</v>
      </c>
      <c r="U85" s="163" t="n">
        <v>-0.005399183618273452</v>
      </c>
      <c r="V85" s="171">
        <f>C85-U85</f>
        <v/>
      </c>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64" t="inlineStr">
        <is>
          <t>2011-06</t>
        </is>
      </c>
      <c r="B86" s="163" t="n">
        <v>-0.00968254407498037</v>
      </c>
      <c r="C86" s="163" t="n">
        <v>0.001515978692987918</v>
      </c>
      <c r="D86" s="163" t="n">
        <v>-0.01119852276796829</v>
      </c>
      <c r="E86" s="170" t="n">
        <v>1783.159333333334</v>
      </c>
      <c r="F86" s="170" t="n">
        <v>1803.240312520536</v>
      </c>
      <c r="G86" s="163" t="n">
        <v>0.003180297575970861</v>
      </c>
      <c r="H86" s="163" t="n">
        <v>0.001364934984610272</v>
      </c>
      <c r="I86" s="163" t="n">
        <v>0.0004904462807369586</v>
      </c>
      <c r="J86" s="163" t="n">
        <v>-0.001290368704370144</v>
      </c>
      <c r="K86" s="163" t="n">
        <v>0.0002311676081431136</v>
      </c>
      <c r="L86" s="163" t="n">
        <v>-1.430254426103216e-05</v>
      </c>
      <c r="M86" s="163" t="n">
        <v>0.001423950020796057</v>
      </c>
      <c r="N86" s="163" t="n">
        <v>-0.00050512608593766</v>
      </c>
      <c r="O86" s="163" t="n">
        <v>-0.002451395199746449</v>
      </c>
      <c r="P86" s="163" t="n">
        <v>0.002117902684587567</v>
      </c>
      <c r="Q86" s="163" t="n">
        <v>-0.0002274985363067321</v>
      </c>
      <c r="R86" s="163" t="n">
        <v>-0.0008233716421130081</v>
      </c>
      <c r="S86" s="163" t="n">
        <v>-0.001980657749121887</v>
      </c>
      <c r="T86" s="163" t="n">
        <v>0</v>
      </c>
      <c r="U86" s="163" t="n">
        <v>0.001515978692987917</v>
      </c>
      <c r="V86" s="171">
        <f>C86-U86</f>
        <v/>
      </c>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64" t="inlineStr">
        <is>
          <t>2011-07</t>
        </is>
      </c>
      <c r="B87" s="163" t="n">
        <v>-0.01216768964759574</v>
      </c>
      <c r="C87" s="163" t="n">
        <v>-0.01454738130916996</v>
      </c>
      <c r="D87" s="163" t="n">
        <v>0.002379691661574227</v>
      </c>
      <c r="E87" s="170" t="n">
        <v>1761.593870967742</v>
      </c>
      <c r="F87" s="170" t="n">
        <v>1757.40680466123</v>
      </c>
      <c r="G87" s="163" t="n">
        <v>0.003180297575970861</v>
      </c>
      <c r="H87" s="163" t="n">
        <v>0.0001286990127194852</v>
      </c>
      <c r="I87" s="163" t="n">
        <v>0.0001866333189632773</v>
      </c>
      <c r="J87" s="163" t="n">
        <v>-0.001695676823050509</v>
      </c>
      <c r="K87" s="163" t="n">
        <v>0.0004633318023444603</v>
      </c>
      <c r="L87" s="163" t="n">
        <v>-0.001737656040833776</v>
      </c>
      <c r="M87" s="163" t="n">
        <v>4.430072543479858e-05</v>
      </c>
      <c r="N87" s="163" t="n">
        <v>-0.0006705410019919678</v>
      </c>
      <c r="O87" s="163" t="n">
        <v>-0.003657688634169815</v>
      </c>
      <c r="P87" s="163" t="n">
        <v>-0.0007633039255710331</v>
      </c>
      <c r="Q87" s="163" t="n">
        <v>0.0001006779755642793</v>
      </c>
      <c r="R87" s="163" t="n">
        <v>-0.0002645610781375747</v>
      </c>
      <c r="S87" s="163" t="n">
        <v>-0.00986189421641245</v>
      </c>
      <c r="T87" s="163" t="n">
        <v>0</v>
      </c>
      <c r="U87" s="163" t="n">
        <v>-0.01454738130916996</v>
      </c>
      <c r="V87" s="171">
        <f>C87-U87</f>
        <v/>
      </c>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64" t="inlineStr">
        <is>
          <t>2011-08</t>
        </is>
      </c>
      <c r="B88" s="163" t="n">
        <v>0.01351308378176608</v>
      </c>
      <c r="C88" s="163" t="n">
        <v>0.03306036156513282</v>
      </c>
      <c r="D88" s="163" t="n">
        <v>-0.01954727778336674</v>
      </c>
      <c r="E88" s="170" t="n">
        <v>1785.56</v>
      </c>
      <c r="F88" s="170" t="n">
        <v>1820.80619865784</v>
      </c>
      <c r="G88" s="163" t="n">
        <v>0.003180297575970861</v>
      </c>
      <c r="H88" s="163" t="n">
        <v>0.002403873814714315</v>
      </c>
      <c r="I88" s="163" t="n">
        <v>-0.0005482921754779537</v>
      </c>
      <c r="J88" s="163" t="n">
        <v>-0.0008850605856897747</v>
      </c>
      <c r="K88" s="163" t="n">
        <v>0.0002467054249396252</v>
      </c>
      <c r="L88" s="163" t="n">
        <v>0.001618177929686492</v>
      </c>
      <c r="M88" s="163" t="n">
        <v>0.006861707837121239</v>
      </c>
      <c r="N88" s="163" t="n">
        <v>0.005148086748377169</v>
      </c>
      <c r="O88" s="163" t="n">
        <v>-0.008779131252941684</v>
      </c>
      <c r="P88" s="163" t="n">
        <v>0.01236588305461615</v>
      </c>
      <c r="Q88" s="163" t="n">
        <v>3.517959573183756e-05</v>
      </c>
      <c r="R88" s="163" t="n">
        <v>0.001932265704870048</v>
      </c>
      <c r="S88" s="163" t="n">
        <v>0.00948066789321449</v>
      </c>
      <c r="T88" s="163" t="n">
        <v>0</v>
      </c>
      <c r="U88" s="163" t="n">
        <v>0.03306036156513282</v>
      </c>
      <c r="V88" s="171">
        <f>C88-U88</f>
        <v/>
      </c>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64" t="inlineStr">
        <is>
          <t>2011-09</t>
        </is>
      </c>
      <c r="B89" s="163" t="n">
        <v>0.02639625747682839</v>
      </c>
      <c r="C89" s="163" t="n">
        <v>0.03650808039172523</v>
      </c>
      <c r="D89" s="163" t="n">
        <v>-0.01011182291489685</v>
      </c>
      <c r="E89" s="170" t="n">
        <v>1833.319666666666</v>
      </c>
      <c r="F89" s="170" t="n">
        <v>1851.9519147184</v>
      </c>
      <c r="G89" s="163" t="n">
        <v>0.003180297575970861</v>
      </c>
      <c r="H89" s="163" t="n">
        <v>-0.003016054892369125</v>
      </c>
      <c r="I89" s="163" t="n">
        <v>0.0008064409204846191</v>
      </c>
      <c r="J89" s="163" t="n">
        <v>-0.001091850442159355</v>
      </c>
      <c r="K89" s="163" t="n">
        <v>-0.0004175091822725255</v>
      </c>
      <c r="L89" s="163" t="n">
        <v>0.007729911660862942</v>
      </c>
      <c r="M89" s="163" t="n">
        <v>0.0004799207145124959</v>
      </c>
      <c r="N89" s="163" t="n">
        <v>0.007521141587272445</v>
      </c>
      <c r="O89" s="163" t="n">
        <v>-0.001918292503238211</v>
      </c>
      <c r="P89" s="163" t="n">
        <v>-0.001260892313202015</v>
      </c>
      <c r="Q89" s="163" t="n">
        <v>-0.000377900860684699</v>
      </c>
      <c r="R89" s="163" t="n">
        <v>-0.0009192560479575632</v>
      </c>
      <c r="S89" s="163" t="n">
        <v>0.02579212417450537</v>
      </c>
      <c r="T89" s="163" t="n">
        <v>0</v>
      </c>
      <c r="U89" s="163" t="n">
        <v>0.03650808039172523</v>
      </c>
      <c r="V89" s="171">
        <f>C89-U89</f>
        <v/>
      </c>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64" t="inlineStr">
        <is>
          <t>2011-10</t>
        </is>
      </c>
      <c r="B90" s="163" t="n">
        <v>0.039722293314159</v>
      </c>
      <c r="C90" s="163" t="n">
        <v>0.02206494263014079</v>
      </c>
      <c r="D90" s="163" t="n">
        <v>0.01765735068401821</v>
      </c>
      <c r="E90" s="170" t="n">
        <v>1907.609032258064</v>
      </c>
      <c r="F90" s="170" t="n">
        <v>1874.221347108941</v>
      </c>
      <c r="G90" s="163" t="n">
        <v>0.003180297575970861</v>
      </c>
      <c r="H90" s="163" t="n">
        <v>0.0006666849862156761</v>
      </c>
      <c r="I90" s="163" t="n">
        <v>0.0002216568871231313</v>
      </c>
      <c r="J90" s="163" t="n">
        <v>-9.925913110539349e-05</v>
      </c>
      <c r="K90" s="163" t="n">
        <v>0.0001033321758334898</v>
      </c>
      <c r="L90" s="163" t="n">
        <v>0.002368732767594066</v>
      </c>
      <c r="M90" s="163" t="n">
        <v>-0.001221943054144497</v>
      </c>
      <c r="N90" s="163" t="n">
        <v>-0.001320358882509574</v>
      </c>
      <c r="O90" s="163" t="n">
        <v>-0.0007146813271495631</v>
      </c>
      <c r="P90" s="163" t="n">
        <v>0.009782933442616295</v>
      </c>
      <c r="Q90" s="163" t="n">
        <v>-0.0001485015012263019</v>
      </c>
      <c r="R90" s="163" t="n">
        <v>-0.0007786796305747515</v>
      </c>
      <c r="S90" s="163" t="n">
        <v>0.01002472832149735</v>
      </c>
      <c r="T90" s="163" t="n">
        <v>0</v>
      </c>
      <c r="U90" s="163" t="n">
        <v>0.02206494263014078</v>
      </c>
      <c r="V90" s="171">
        <f>C90-U90</f>
        <v/>
      </c>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64" t="inlineStr">
        <is>
          <t>2011-11</t>
        </is>
      </c>
      <c r="B91" s="163" t="n">
        <v>0.006201068837606627</v>
      </c>
      <c r="C91" s="163" t="n">
        <v>-0.01269334964867844</v>
      </c>
      <c r="D91" s="163" t="n">
        <v>0.01889441848628507</v>
      </c>
      <c r="E91" s="170" t="n">
        <v>1919.475000000001</v>
      </c>
      <c r="F91" s="170" t="n">
        <v>1883.548113703995</v>
      </c>
      <c r="G91" s="163" t="n">
        <v>0.003180297575970861</v>
      </c>
      <c r="H91" s="163" t="n">
        <v>-0.003032261425079476</v>
      </c>
      <c r="I91" s="163" t="n">
        <v>0.0001819737411642738</v>
      </c>
      <c r="J91" s="163" t="n">
        <v>-4.962956555269674e-05</v>
      </c>
      <c r="K91" s="163" t="n">
        <v>-8.585625309584031e-05</v>
      </c>
      <c r="L91" s="163" t="n">
        <v>0.001739204354829638</v>
      </c>
      <c r="M91" s="163" t="n">
        <v>-0.000313377882363991</v>
      </c>
      <c r="N91" s="163" t="n">
        <v>-0.001718168803669274</v>
      </c>
      <c r="O91" s="163" t="n">
        <v>-0.00274774032245634</v>
      </c>
      <c r="P91" s="163" t="n">
        <v>-0.007661253897775165</v>
      </c>
      <c r="Q91" s="163" t="n">
        <v>0.0002766613906845558</v>
      </c>
      <c r="R91" s="163" t="n">
        <v>-0.001584413758255144</v>
      </c>
      <c r="S91" s="163" t="n">
        <v>-0.0008787848030798452</v>
      </c>
      <c r="T91" s="163" t="n">
        <v>0</v>
      </c>
      <c r="U91" s="163" t="n">
        <v>-0.01269334964867844</v>
      </c>
      <c r="V91" s="171">
        <f>C91-U91</f>
        <v/>
      </c>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64" t="inlineStr">
        <is>
          <t>2011-12</t>
        </is>
      </c>
      <c r="B92" s="163" t="n">
        <v>0.007203205790175637</v>
      </c>
      <c r="C92" s="163" t="n">
        <v>0.01720741677803397</v>
      </c>
      <c r="D92" s="163" t="n">
        <v>-0.01000421098785833</v>
      </c>
      <c r="E92" s="170" t="n">
        <v>1933.351290322581</v>
      </c>
      <c r="F92" s="170" t="n">
        <v>1952.790016980453</v>
      </c>
      <c r="G92" s="163" t="n">
        <v>0.003180297575970861</v>
      </c>
      <c r="H92" s="163" t="n">
        <v>0.003878732515504097</v>
      </c>
      <c r="I92" s="163" t="n">
        <v>-0.0001687192744203083</v>
      </c>
      <c r="J92" s="163" t="n">
        <v>-7.444434832904952e-05</v>
      </c>
      <c r="K92" s="163" t="n">
        <v>-0.0007898954866255075</v>
      </c>
      <c r="L92" s="163" t="n">
        <v>0.002475997442963186</v>
      </c>
      <c r="M92" s="163" t="n">
        <v>-0.002781341552780613</v>
      </c>
      <c r="N92" s="163" t="n">
        <v>-0.00169411518052938</v>
      </c>
      <c r="O92" s="163" t="n">
        <v>0.001349074413528835</v>
      </c>
      <c r="P92" s="163" t="n">
        <v>0.009790055221232283</v>
      </c>
      <c r="Q92" s="163" t="n">
        <v>-0.000491108211424561</v>
      </c>
      <c r="R92" s="163" t="n">
        <v>-0.001609726515466308</v>
      </c>
      <c r="S92" s="163" t="n">
        <v>0.004142610178410433</v>
      </c>
      <c r="T92" s="163" t="n">
        <v>0</v>
      </c>
      <c r="U92" s="163" t="n">
        <v>0.01720741677803397</v>
      </c>
      <c r="V92" s="171">
        <f>C92-U92</f>
        <v/>
      </c>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64" t="inlineStr">
        <is>
          <t>2012-01</t>
        </is>
      </c>
      <c r="B93" s="163" t="n">
        <v>-0.04229665632266322</v>
      </c>
      <c r="C93" s="163" t="n">
        <v>-0.02894203873974758</v>
      </c>
      <c r="D93" s="163" t="n">
        <v>-0.01335461758291564</v>
      </c>
      <c r="E93" s="170" t="n">
        <v>1853.282258064516</v>
      </c>
      <c r="F93" s="170" t="n">
        <v>1878.198134593146</v>
      </c>
      <c r="G93" s="163" t="n">
        <v>0.003180297575970861</v>
      </c>
      <c r="H93" s="163" t="n">
        <v>-0.002565024772003472</v>
      </c>
      <c r="I93" s="163" t="n">
        <v>-0.001012341995417622</v>
      </c>
      <c r="J93" s="163" t="n">
        <v>-0.001166294790488395</v>
      </c>
      <c r="K93" s="163" t="n">
        <v>-0.0001320385170143586</v>
      </c>
      <c r="L93" s="163" t="n">
        <v>-0.001469110638839428</v>
      </c>
      <c r="M93" s="163" t="n">
        <v>-0.002444695475065449</v>
      </c>
      <c r="N93" s="163" t="n">
        <v>0.001709657521635155</v>
      </c>
      <c r="O93" s="163" t="n">
        <v>0.002611406352820113</v>
      </c>
      <c r="P93" s="163" t="n">
        <v>-0.01338602215169638</v>
      </c>
      <c r="Q93" s="163" t="n">
        <v>0.0002254843539748458</v>
      </c>
      <c r="R93" s="163" t="n">
        <v>-0.0005037761973123274</v>
      </c>
      <c r="S93" s="163" t="n">
        <v>-0.01398958000631112</v>
      </c>
      <c r="T93" s="163" t="n">
        <v>0</v>
      </c>
      <c r="U93" s="163" t="n">
        <v>-0.02894203873974758</v>
      </c>
      <c r="V93" s="171">
        <f>C93-U93</f>
        <v/>
      </c>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64" t="inlineStr">
        <is>
          <t>2012-02</t>
        </is>
      </c>
      <c r="B94" s="163" t="n">
        <v>-0.03879843675028205</v>
      </c>
      <c r="C94" s="163" t="n">
        <v>-0.0301087140950703</v>
      </c>
      <c r="D94" s="163" t="n">
        <v>-0.00868972265521175</v>
      </c>
      <c r="E94" s="170" t="n">
        <v>1782.754827586207</v>
      </c>
      <c r="F94" s="170" t="n">
        <v>1798.313977039436</v>
      </c>
      <c r="G94" s="163" t="n">
        <v>0.003180297575970861</v>
      </c>
      <c r="H94" s="163" t="n">
        <v>-0.001169731881599339</v>
      </c>
      <c r="I94" s="163" t="n">
        <v>7.855855090239937e-05</v>
      </c>
      <c r="J94" s="163" t="n">
        <v>9.605722365038363e-06</v>
      </c>
      <c r="K94" s="163" t="n">
        <v>0.000140950275703969</v>
      </c>
      <c r="L94" s="163" t="n">
        <v>-0.00448264208981244</v>
      </c>
      <c r="M94" s="163" t="n">
        <v>-0.001070755958133707</v>
      </c>
      <c r="N94" s="163" t="n">
        <v>-0.003686865343733994</v>
      </c>
      <c r="O94" s="163" t="n">
        <v>-0.001974274691806495</v>
      </c>
      <c r="P94" s="163" t="n">
        <v>-0.001682309096625905</v>
      </c>
      <c r="Q94" s="163" t="n">
        <v>0.0003043024163340122</v>
      </c>
      <c r="R94" s="163" t="n">
        <v>0.0003692849314203181</v>
      </c>
      <c r="S94" s="163" t="n">
        <v>-0.02012513450605502</v>
      </c>
      <c r="T94" s="163" t="n">
        <v>0</v>
      </c>
      <c r="U94" s="163" t="n">
        <v>-0.0301087140950703</v>
      </c>
      <c r="V94" s="171">
        <f>C94-U94</f>
        <v/>
      </c>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64" t="inlineStr">
        <is>
          <t>2012-03</t>
        </is>
      </c>
      <c r="B95" s="163" t="n">
        <v>-0.00925496303616935</v>
      </c>
      <c r="C95" s="163" t="n">
        <v>0.008975848598268554</v>
      </c>
      <c r="D95" s="163" t="n">
        <v>-0.0182308116344379</v>
      </c>
      <c r="E95" s="170" t="n">
        <v>1766.331612903225</v>
      </c>
      <c r="F95" s="170" t="n">
        <v>1798.828594941284</v>
      </c>
      <c r="G95" s="163" t="n">
        <v>0.003180297575970861</v>
      </c>
      <c r="H95" s="163" t="n">
        <v>-0.0008842774713297789</v>
      </c>
      <c r="I95" s="163" t="n">
        <v>-0.0004361906999107029</v>
      </c>
      <c r="J95" s="163" t="n">
        <v>-0.001229808489229644</v>
      </c>
      <c r="K95" s="163" t="n">
        <v>4.701333716708236e-05</v>
      </c>
      <c r="L95" s="163" t="n">
        <v>0.001473583046341634</v>
      </c>
      <c r="M95" s="163" t="n">
        <v>-0.001492539408509658</v>
      </c>
      <c r="N95" s="163" t="n">
        <v>-0.004527261930667644</v>
      </c>
      <c r="O95" s="163" t="n">
        <v>-0.002696367983278142</v>
      </c>
      <c r="P95" s="163" t="n">
        <v>0.009880568742786087</v>
      </c>
      <c r="Q95" s="163" t="n">
        <v>-0.0001508526932368115</v>
      </c>
      <c r="R95" s="163" t="n">
        <v>0.002373989172211875</v>
      </c>
      <c r="S95" s="163" t="n">
        <v>0.003437695399953397</v>
      </c>
      <c r="T95" s="163" t="n">
        <v>0</v>
      </c>
      <c r="U95" s="163" t="n">
        <v>0.008975848598268554</v>
      </c>
      <c r="V95" s="171">
        <f>C95-U95</f>
        <v/>
      </c>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64" t="inlineStr">
        <is>
          <t>2012-04</t>
        </is>
      </c>
      <c r="B96" s="163" t="n">
        <v>0.00447237397446365</v>
      </c>
      <c r="C96" s="163" t="n">
        <v>0.01304564399758764</v>
      </c>
      <c r="D96" s="163" t="n">
        <v>-0.008573270023123988</v>
      </c>
      <c r="E96" s="170" t="n">
        <v>1774.248999999999</v>
      </c>
      <c r="F96" s="170" t="n">
        <v>1789.525507005329</v>
      </c>
      <c r="G96" s="163" t="n">
        <v>0.003180297575970861</v>
      </c>
      <c r="H96" s="163" t="n">
        <v>0.001743207177707359</v>
      </c>
      <c r="I96" s="163" t="n">
        <v>-0.0005130795006610319</v>
      </c>
      <c r="J96" s="163" t="n">
        <v>-0.0009634981174540991</v>
      </c>
      <c r="K96" s="163" t="n">
        <v>-0.0001206547920755773</v>
      </c>
      <c r="L96" s="163" t="n">
        <v>0.0008106506137542065</v>
      </c>
      <c r="M96" s="163" t="n">
        <v>0.0011153365003763</v>
      </c>
      <c r="N96" s="163" t="n">
        <v>-0.0002760615824977997</v>
      </c>
      <c r="O96" s="163" t="n">
        <v>-0.002702778754635871</v>
      </c>
      <c r="P96" s="163" t="n">
        <v>0.003229378618191062</v>
      </c>
      <c r="Q96" s="163" t="n">
        <v>-1.056460396291454e-05</v>
      </c>
      <c r="R96" s="163" t="n">
        <v>0.003408968405690919</v>
      </c>
      <c r="S96" s="163" t="n">
        <v>0.004144442457184227</v>
      </c>
      <c r="T96" s="163" t="n">
        <v>0</v>
      </c>
      <c r="U96" s="163" t="n">
        <v>0.01304564399758764</v>
      </c>
      <c r="V96" s="171">
        <f>C96-U96</f>
        <v/>
      </c>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64" t="inlineStr">
        <is>
          <t>2012-05</t>
        </is>
      </c>
      <c r="B97" s="163" t="n">
        <v>0.01066731165008328</v>
      </c>
      <c r="C97" s="163" t="n">
        <v>0.04217262387018286</v>
      </c>
      <c r="D97" s="163" t="n">
        <v>-0.03150531222009958</v>
      </c>
      <c r="E97" s="170" t="n">
        <v>1793.276774193548</v>
      </c>
      <c r="F97" s="170" t="n">
        <v>1850.673928952595</v>
      </c>
      <c r="G97" s="163" t="n">
        <v>0.003180297575970861</v>
      </c>
      <c r="H97" s="163" t="n">
        <v>0.008688445548110076</v>
      </c>
      <c r="I97" s="163" t="n">
        <v>0.000563323954918413</v>
      </c>
      <c r="J97" s="163" t="n">
        <v>4.962956555269674e-05</v>
      </c>
      <c r="K97" s="163" t="n">
        <v>0.0006557252891812082</v>
      </c>
      <c r="L97" s="163" t="n">
        <v>0.004418401715780358</v>
      </c>
      <c r="M97" s="163" t="n">
        <v>0.001877402744666772</v>
      </c>
      <c r="N97" s="163" t="n">
        <v>0.004586696100486207</v>
      </c>
      <c r="O97" s="163" t="n">
        <v>-0.003812163154269955</v>
      </c>
      <c r="P97" s="163" t="n">
        <v>0.00262707608281946</v>
      </c>
      <c r="Q97" s="163" t="n">
        <v>4.837593572046729e-05</v>
      </c>
      <c r="R97" s="163" t="n">
        <v>0.0009746613214285324</v>
      </c>
      <c r="S97" s="163" t="n">
        <v>0.01831475118981777</v>
      </c>
      <c r="T97" s="163" t="n">
        <v>0</v>
      </c>
      <c r="U97" s="163" t="n">
        <v>0.04217262387018286</v>
      </c>
      <c r="V97" s="171">
        <f>C97-U97</f>
        <v/>
      </c>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64" t="inlineStr">
        <is>
          <t>2012-06</t>
        </is>
      </c>
      <c r="B98" s="163" t="n">
        <v>-0.0004072188990962289</v>
      </c>
      <c r="C98" s="163" t="n">
        <v>0.02285155660959436</v>
      </c>
      <c r="D98" s="163" t="n">
        <v>-0.02325877550869059</v>
      </c>
      <c r="E98" s="170" t="n">
        <v>1792.546666666667</v>
      </c>
      <c r="F98" s="170" t="n">
        <v>1834.72774575686</v>
      </c>
      <c r="G98" s="163" t="n">
        <v>0.003180297575970861</v>
      </c>
      <c r="H98" s="163" t="n">
        <v>0.00655385902205758</v>
      </c>
      <c r="I98" s="163" t="n">
        <v>0.0001158149891637005</v>
      </c>
      <c r="J98" s="163" t="n">
        <v>9.925913110539789e-05</v>
      </c>
      <c r="K98" s="163" t="n">
        <v>7.583675571117292e-05</v>
      </c>
      <c r="L98" s="163" t="n">
        <v>0.003596621071136701</v>
      </c>
      <c r="M98" s="163" t="n">
        <v>7.012139050430076e-05</v>
      </c>
      <c r="N98" s="163" t="n">
        <v>-0.0002637049386373092</v>
      </c>
      <c r="O98" s="163" t="n">
        <v>-0.001001488401517249</v>
      </c>
      <c r="P98" s="163" t="n">
        <v>0.003872655075738891</v>
      </c>
      <c r="Q98" s="163" t="n">
        <v>-0.0002592551662004756</v>
      </c>
      <c r="R98" s="163" t="n">
        <v>-0.0008871203724373333</v>
      </c>
      <c r="S98" s="163" t="n">
        <v>0.007698660476998125</v>
      </c>
      <c r="T98" s="163" t="n">
        <v>0</v>
      </c>
      <c r="U98" s="163" t="n">
        <v>0.02285155660959436</v>
      </c>
      <c r="V98" s="171">
        <f>C98-U98</f>
        <v/>
      </c>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64" t="inlineStr">
        <is>
          <t>2012-07</t>
        </is>
      </c>
      <c r="B99" s="163" t="n">
        <v>-0.004880014511975617</v>
      </c>
      <c r="C99" s="163" t="n">
        <v>-0.02983637825636503</v>
      </c>
      <c r="D99" s="163" t="n">
        <v>0.02495636374438941</v>
      </c>
      <c r="E99" s="170" t="n">
        <v>1783.820322580645</v>
      </c>
      <c r="F99" s="170" t="n">
        <v>1739.853560928767</v>
      </c>
      <c r="G99" s="163" t="n">
        <v>0.003180297575970861</v>
      </c>
      <c r="H99" s="163" t="n">
        <v>-0.0009281594527272581</v>
      </c>
      <c r="I99" s="163" t="n">
        <v>-0.0001730259989083878</v>
      </c>
      <c r="J99" s="163" t="n">
        <v>0</v>
      </c>
      <c r="K99" s="163" t="n">
        <v>0.0002710089679678446</v>
      </c>
      <c r="L99" s="163" t="n">
        <v>-0.001223965091190304</v>
      </c>
      <c r="M99" s="163" t="n">
        <v>-0.002114170320548155</v>
      </c>
      <c r="N99" s="163" t="n">
        <v>-0.003728311586682726</v>
      </c>
      <c r="O99" s="163" t="n">
        <v>-0.005155990668687222</v>
      </c>
      <c r="P99" s="163" t="n">
        <v>-0.003062904846062229</v>
      </c>
      <c r="Q99" s="163" t="n">
        <v>0.0003795054462886835</v>
      </c>
      <c r="R99" s="163" t="n">
        <v>-0.0001169594569409603</v>
      </c>
      <c r="S99" s="163" t="n">
        <v>-0.01716370282484517</v>
      </c>
      <c r="T99" s="163" t="n">
        <v>0</v>
      </c>
      <c r="U99" s="163" t="n">
        <v>-0.02983637825636502</v>
      </c>
      <c r="V99" s="171">
        <f>C99-U99</f>
        <v/>
      </c>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64" t="inlineStr">
        <is>
          <t>2012-08</t>
        </is>
      </c>
      <c r="B100" s="163" t="n">
        <v>0.0120931125286452</v>
      </c>
      <c r="C100" s="163" t="n">
        <v>-0.01201727340290943</v>
      </c>
      <c r="D100" s="163" t="n">
        <v>0.02411038593155463</v>
      </c>
      <c r="E100" s="170" t="n">
        <v>1805.523225806452</v>
      </c>
      <c r="F100" s="170" t="n">
        <v>1762.511956728076</v>
      </c>
      <c r="G100" s="163" t="n">
        <v>0.003180297575970861</v>
      </c>
      <c r="H100" s="163" t="n">
        <v>0.003740758689843123</v>
      </c>
      <c r="I100" s="163" t="n">
        <v>0.0002725800806427729</v>
      </c>
      <c r="J100" s="163" t="n">
        <v>8.004768637532116e-05</v>
      </c>
      <c r="K100" s="163" t="n">
        <v>-6.969936474111895e-05</v>
      </c>
      <c r="L100" s="163" t="n">
        <v>-0.002280057251996677</v>
      </c>
      <c r="M100" s="163" t="n">
        <v>-0.001291789639085314</v>
      </c>
      <c r="N100" s="163" t="n">
        <v>-0.003790641844906093</v>
      </c>
      <c r="O100" s="163" t="n">
        <v>-0.003806282465855473</v>
      </c>
      <c r="P100" s="163" t="n">
        <v>-0.0009491935158893674</v>
      </c>
      <c r="Q100" s="163" t="n">
        <v>-7.108471288638255e-05</v>
      </c>
      <c r="R100" s="163" t="n">
        <v>0.001809709524391668</v>
      </c>
      <c r="S100" s="163" t="n">
        <v>-0.008841918164772748</v>
      </c>
      <c r="T100" s="163" t="n">
        <v>0</v>
      </c>
      <c r="U100" s="163" t="n">
        <v>-0.01201727340290943</v>
      </c>
      <c r="V100" s="171">
        <f>C100-U100</f>
        <v/>
      </c>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64" t="inlineStr">
        <is>
          <t>2012-09</t>
        </is>
      </c>
      <c r="B101" s="163" t="n">
        <v>-0.00153918268900366</v>
      </c>
      <c r="C101" s="163" t="n">
        <v>-0.01480578674338379</v>
      </c>
      <c r="D101" s="163" t="n">
        <v>0.01326660405438013</v>
      </c>
      <c r="E101" s="170" t="n">
        <v>1802.746333333333</v>
      </c>
      <c r="F101" s="170" t="n">
        <v>1778.987956468615</v>
      </c>
      <c r="G101" s="163" t="n">
        <v>0.003180297575970861</v>
      </c>
      <c r="H101" s="163" t="n">
        <v>-0.007661437998566345</v>
      </c>
      <c r="I101" s="163" t="n">
        <v>-0.0005691048362594329</v>
      </c>
      <c r="J101" s="163" t="n">
        <v>0.001211921971722326</v>
      </c>
      <c r="K101" s="163" t="n">
        <v>-1.129123358669409e-05</v>
      </c>
      <c r="L101" s="163" t="n">
        <v>-0.004073803082364087</v>
      </c>
      <c r="M101" s="163" t="n">
        <v>-0.0002990350198899115</v>
      </c>
      <c r="N101" s="163" t="n">
        <v>-0.0003902479125471598</v>
      </c>
      <c r="O101" s="163" t="n">
        <v>-0.004678620654870513</v>
      </c>
      <c r="P101" s="163" t="n">
        <v>0.00526803370842992</v>
      </c>
      <c r="Q101" s="163" t="n">
        <v>-0.000107928483473442</v>
      </c>
      <c r="R101" s="163" t="n">
        <v>0.001472581377637218</v>
      </c>
      <c r="S101" s="163" t="n">
        <v>-0.008147152155586526</v>
      </c>
      <c r="T101" s="163" t="n">
        <v>0</v>
      </c>
      <c r="U101" s="163" t="n">
        <v>-0.01480578674338379</v>
      </c>
      <c r="V101" s="171">
        <f>C101-U101</f>
        <v/>
      </c>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64" t="inlineStr">
        <is>
          <t>2012-10</t>
        </is>
      </c>
      <c r="B102" s="163" t="n">
        <v>0.0009174199923371873</v>
      </c>
      <c r="C102" s="163" t="n">
        <v>-0.009042451781881778</v>
      </c>
      <c r="D102" s="163" t="n">
        <v>0.009959871774218965</v>
      </c>
      <c r="E102" s="170" t="n">
        <v>1804.400967741936</v>
      </c>
      <c r="F102" s="170" t="n">
        <v>1786.518566511766</v>
      </c>
      <c r="G102" s="163" t="n">
        <v>0.003180297575970861</v>
      </c>
      <c r="H102" s="163" t="n">
        <v>-0.0004656976906442042</v>
      </c>
      <c r="I102" s="163" t="n">
        <v>-0.0006572009065669559</v>
      </c>
      <c r="J102" s="163" t="n">
        <v>0.001090249488431845</v>
      </c>
      <c r="K102" s="163" t="n">
        <v>-7.718538678866421e-05</v>
      </c>
      <c r="L102" s="163" t="n">
        <v>-0.0005940559875327301</v>
      </c>
      <c r="M102" s="163" t="n">
        <v>0.0007189413764312188</v>
      </c>
      <c r="N102" s="163" t="n">
        <v>-0.002709435507113103</v>
      </c>
      <c r="O102" s="163" t="n">
        <v>-0.004621147532387577</v>
      </c>
      <c r="P102" s="163" t="n">
        <v>-0.001383390890128725</v>
      </c>
      <c r="Q102" s="163" t="n">
        <v>6.283243867511676e-05</v>
      </c>
      <c r="R102" s="163" t="n">
        <v>-0.0006765507745619276</v>
      </c>
      <c r="S102" s="163" t="n">
        <v>-0.002910107985666934</v>
      </c>
      <c r="T102" s="163" t="n">
        <v>0</v>
      </c>
      <c r="U102" s="163" t="n">
        <v>-0.009042451781881778</v>
      </c>
      <c r="V102" s="171">
        <f>C102-U102</f>
        <v/>
      </c>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64" t="inlineStr">
        <is>
          <t>2012-11</t>
        </is>
      </c>
      <c r="B103" s="163" t="n">
        <v>0.009164642875816753</v>
      </c>
      <c r="C103" s="163" t="n">
        <v>0.01553690929624172</v>
      </c>
      <c r="D103" s="163" t="n">
        <v>-0.006372266420424967</v>
      </c>
      <c r="E103" s="170" t="n">
        <v>1821.013666666667</v>
      </c>
      <c r="F103" s="170" t="n">
        <v>1832.654701402194</v>
      </c>
      <c r="G103" s="163" t="n">
        <v>0.003180297575970861</v>
      </c>
      <c r="H103" s="163" t="n">
        <v>0.001656874320763284</v>
      </c>
      <c r="I103" s="163" t="n">
        <v>6.152044959901677e-05</v>
      </c>
      <c r="J103" s="163" t="n">
        <v>9.925913110539789e-05</v>
      </c>
      <c r="K103" s="163" t="n">
        <v>-0.0002738219239375379</v>
      </c>
      <c r="L103" s="163" t="n">
        <v>0.001903844303623098</v>
      </c>
      <c r="M103" s="163" t="n">
        <v>0.0002953552442024865</v>
      </c>
      <c r="N103" s="163" t="n">
        <v>0.002079970692329249</v>
      </c>
      <c r="O103" s="163" t="n">
        <v>-0.00460159823916662</v>
      </c>
      <c r="P103" s="163" t="n">
        <v>0.005558266095189219</v>
      </c>
      <c r="Q103" s="163" t="n">
        <v>-1.80957258689351e-06</v>
      </c>
      <c r="R103" s="163" t="n">
        <v>-0.0001564683892237359</v>
      </c>
      <c r="S103" s="163" t="n">
        <v>0.005735219608373895</v>
      </c>
      <c r="T103" s="163" t="n">
        <v>0</v>
      </c>
      <c r="U103" s="163" t="n">
        <v>0.01553690929624172</v>
      </c>
      <c r="V103" s="171">
        <f>C103-U103</f>
        <v/>
      </c>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64" t="inlineStr">
        <is>
          <t>2012-12</t>
        </is>
      </c>
      <c r="B104" s="163" t="n">
        <v>-0.01578489164461327</v>
      </c>
      <c r="C104" s="163" t="n">
        <v>-0.01482441816298315</v>
      </c>
      <c r="D104" s="163" t="n">
        <v>-0.000960473481630128</v>
      </c>
      <c r="E104" s="170" t="n">
        <v>1792.494838709677</v>
      </c>
      <c r="F104" s="170" t="n">
        <v>1794.217309529572</v>
      </c>
      <c r="G104" s="163" t="n">
        <v>0.003180297575970861</v>
      </c>
      <c r="H104" s="163" t="n">
        <v>0.0002809134489810646</v>
      </c>
      <c r="I104" s="163" t="n">
        <v>-0.0006742509033786986</v>
      </c>
      <c r="J104" s="163" t="n">
        <v>0.0002067898564695756</v>
      </c>
      <c r="K104" s="163" t="n">
        <v>0.0007109174981365638</v>
      </c>
      <c r="L104" s="163" t="n">
        <v>-0.001574816514024251</v>
      </c>
      <c r="M104" s="163" t="n">
        <v>0.0004071034918533986</v>
      </c>
      <c r="N104" s="163" t="n">
        <v>-0.001141251904052556</v>
      </c>
      <c r="O104" s="163" t="n">
        <v>-0.003963179317151757</v>
      </c>
      <c r="P104" s="163" t="n">
        <v>-0.003092309563767751</v>
      </c>
      <c r="Q104" s="163" t="n">
        <v>-6.398646246178788e-05</v>
      </c>
      <c r="R104" s="163" t="n">
        <v>-0.0008227291982413046</v>
      </c>
      <c r="S104" s="163" t="n">
        <v>-0.008277916171316502</v>
      </c>
      <c r="T104" s="163" t="n">
        <v>0</v>
      </c>
      <c r="U104" s="163" t="n">
        <v>-0.01482441816298315</v>
      </c>
      <c r="V104" s="171">
        <f>C104-U104</f>
        <v/>
      </c>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64" t="inlineStr">
        <is>
          <t>2013-01</t>
        </is>
      </c>
      <c r="B105" s="163" t="n">
        <v>-0.01281386731857825</v>
      </c>
      <c r="C105" s="163" t="n">
        <v>-0.02096823538339778</v>
      </c>
      <c r="D105" s="163" t="n">
        <v>0.008154368064819523</v>
      </c>
      <c r="E105" s="170" t="n">
        <v>1769.672580645162</v>
      </c>
      <c r="F105" s="170" t="n">
        <v>1755.300695525473</v>
      </c>
      <c r="G105" s="163" t="n">
        <v>0.003180297575970861</v>
      </c>
      <c r="H105" s="163" t="n">
        <v>-0.0005006381971260067</v>
      </c>
      <c r="I105" s="163" t="n">
        <v>-0.000437636671779492</v>
      </c>
      <c r="J105" s="163" t="n">
        <v>0.001354140027849145</v>
      </c>
      <c r="K105" s="163" t="n">
        <v>-0.0009633478276782728</v>
      </c>
      <c r="L105" s="163" t="n">
        <v>-0.000145837006145211</v>
      </c>
      <c r="M105" s="163" t="n">
        <v>-0.002837318711680779</v>
      </c>
      <c r="N105" s="163" t="n">
        <v>-0.0006339537518112968</v>
      </c>
      <c r="O105" s="163" t="n">
        <v>-0.004555694227670207</v>
      </c>
      <c r="P105" s="163" t="n">
        <v>-0.009159240965338397</v>
      </c>
      <c r="Q105" s="163" t="n">
        <v>0.0001578505329713478</v>
      </c>
      <c r="R105" s="163" t="n">
        <v>0.002745835841788664</v>
      </c>
      <c r="S105" s="163" t="n">
        <v>-0.009172692002748133</v>
      </c>
      <c r="T105" s="163" t="n">
        <v>0</v>
      </c>
      <c r="U105" s="163" t="n">
        <v>-0.02096823538339778</v>
      </c>
      <c r="V105" s="171">
        <f>C105-U105</f>
        <v/>
      </c>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64" t="inlineStr">
        <is>
          <t>2013-02</t>
        </is>
      </c>
      <c r="B106" s="163" t="n">
        <v>0.01172709167914654</v>
      </c>
      <c r="C106" s="163" t="n">
        <v>0.01199627837667756</v>
      </c>
      <c r="D106" s="163" t="n">
        <v>-0.0002691866975310236</v>
      </c>
      <c r="E106" s="170" t="n">
        <v>1790.547857142857</v>
      </c>
      <c r="F106" s="170" t="n">
        <v>1791.029913685985</v>
      </c>
      <c r="G106" s="163" t="n">
        <v>0.003180297575970861</v>
      </c>
      <c r="H106" s="163" t="n">
        <v>-0.001555903283259685</v>
      </c>
      <c r="I106" s="163" t="n">
        <v>0.0008809290426870514</v>
      </c>
      <c r="J106" s="163" t="n">
        <v>0.0009413607917737508</v>
      </c>
      <c r="K106" s="163" t="n">
        <v>0.0006377897047547355</v>
      </c>
      <c r="L106" s="163" t="n">
        <v>0.001920629090641896</v>
      </c>
      <c r="M106" s="163" t="n">
        <v>0.0004707743836730947</v>
      </c>
      <c r="N106" s="163" t="n">
        <v>0.003225306081032587</v>
      </c>
      <c r="O106" s="163" t="n">
        <v>-0.003086711469188542</v>
      </c>
      <c r="P106" s="163" t="n">
        <v>0.004849777732810003</v>
      </c>
      <c r="Q106" s="163" t="n">
        <v>-0.0001027118259852819</v>
      </c>
      <c r="R106" s="163" t="n">
        <v>0.00137177874312476</v>
      </c>
      <c r="S106" s="163" t="n">
        <v>-0.0007370381913576679</v>
      </c>
      <c r="T106" s="163" t="n">
        <v>0</v>
      </c>
      <c r="U106" s="163" t="n">
        <v>0.01199627837667756</v>
      </c>
      <c r="V106" s="171">
        <f>C106-U106</f>
        <v/>
      </c>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64" t="inlineStr">
        <is>
          <t>2013-03</t>
        </is>
      </c>
      <c r="B107" s="163" t="n">
        <v>0.01287417533739532</v>
      </c>
      <c r="C107" s="163" t="n">
        <v>0.01509896320644428</v>
      </c>
      <c r="D107" s="163" t="n">
        <v>-0.002224787869048962</v>
      </c>
      <c r="E107" s="170" t="n">
        <v>1813.74870967742</v>
      </c>
      <c r="F107" s="170" t="n">
        <v>1817.788407873717</v>
      </c>
      <c r="G107" s="163" t="n">
        <v>0.003180297575970861</v>
      </c>
      <c r="H107" s="163" t="n">
        <v>0.003004746321482063</v>
      </c>
      <c r="I107" s="163" t="n">
        <v>0.0003716864834897653</v>
      </c>
      <c r="J107" s="163" t="n">
        <v>0.001347545623209656</v>
      </c>
      <c r="K107" s="163" t="n">
        <v>-0.0001589570693649216</v>
      </c>
      <c r="L107" s="163" t="n">
        <v>0.002263540956646162</v>
      </c>
      <c r="M107" s="163" t="n">
        <v>-0.0008792487603936384</v>
      </c>
      <c r="N107" s="163" t="n">
        <v>0.001796768642975608</v>
      </c>
      <c r="O107" s="163" t="n">
        <v>-0.005175981217430075</v>
      </c>
      <c r="P107" s="163" t="n">
        <v>0.008891357886329724</v>
      </c>
      <c r="Q107" s="163" t="n">
        <v>-0.0001185899428761164</v>
      </c>
      <c r="R107" s="163" t="n">
        <v>0.00162437595266045</v>
      </c>
      <c r="S107" s="163" t="n">
        <v>-0.001048579246255254</v>
      </c>
      <c r="T107" s="163" t="n">
        <v>0</v>
      </c>
      <c r="U107" s="163" t="n">
        <v>0.01509896320644428</v>
      </c>
      <c r="V107" s="171">
        <f>C107-U107</f>
        <v/>
      </c>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64" t="inlineStr">
        <is>
          <t>2013-04</t>
        </is>
      </c>
      <c r="B108" s="163" t="n">
        <v>0.00904655671708543</v>
      </c>
      <c r="C108" s="163" t="n">
        <v>0.003075504626502621</v>
      </c>
      <c r="D108" s="163" t="n">
        <v>0.00597105209058281</v>
      </c>
      <c r="E108" s="170" t="n">
        <v>1830.231333333333</v>
      </c>
      <c r="F108" s="170" t="n">
        <v>1819.335488904374</v>
      </c>
      <c r="G108" s="163" t="n">
        <v>0.003180297575970861</v>
      </c>
      <c r="H108" s="163" t="n">
        <v>0.004483046586573431</v>
      </c>
      <c r="I108" s="163" t="n">
        <v>-0.000107848749107116</v>
      </c>
      <c r="J108" s="163" t="n">
        <v>0.00149414724311417</v>
      </c>
      <c r="K108" s="163" t="n">
        <v>-0.0003492921604735179</v>
      </c>
      <c r="L108" s="163" t="n">
        <v>-0.0009564677686961066</v>
      </c>
      <c r="M108" s="163" t="n">
        <v>0.0007932832096629321</v>
      </c>
      <c r="N108" s="163" t="n">
        <v>-0.001684863787014037</v>
      </c>
      <c r="O108" s="163" t="n">
        <v>-0.006027446373882784</v>
      </c>
      <c r="P108" s="163" t="n">
        <v>0.005860789006481438</v>
      </c>
      <c r="Q108" s="163" t="n">
        <v>0.0001416010243731964</v>
      </c>
      <c r="R108" s="163" t="n">
        <v>-0.0004508261080734303</v>
      </c>
      <c r="S108" s="163" t="n">
        <v>-0.003300915072426418</v>
      </c>
      <c r="T108" s="163" t="n">
        <v>0</v>
      </c>
      <c r="U108" s="163" t="n">
        <v>0.00307550462650262</v>
      </c>
      <c r="V108" s="171">
        <f>C108-U108</f>
        <v/>
      </c>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64" t="inlineStr">
        <is>
          <t>2013-05</t>
        </is>
      </c>
      <c r="B109" s="163" t="n">
        <v>0.009619009974040971</v>
      </c>
      <c r="C109" s="163" t="n">
        <v>-0.001545418711582442</v>
      </c>
      <c r="D109" s="163" t="n">
        <v>0.01116442868562341</v>
      </c>
      <c r="E109" s="170" t="n">
        <v>1847.92129032258</v>
      </c>
      <c r="F109" s="170" t="n">
        <v>1827.405044046955</v>
      </c>
      <c r="G109" s="163" t="n">
        <v>0.003180297575970861</v>
      </c>
      <c r="H109" s="163" t="n">
        <v>0.0002344001789397935</v>
      </c>
      <c r="I109" s="163" t="n">
        <v>0.001408700076985515</v>
      </c>
      <c r="J109" s="163" t="n">
        <v>0.002050821724935673</v>
      </c>
      <c r="K109" s="163" t="n">
        <v>-0.0006091146458522759</v>
      </c>
      <c r="L109" s="163" t="n">
        <v>0.00125880036485941</v>
      </c>
      <c r="M109" s="163" t="n">
        <v>-0.000394640000225307</v>
      </c>
      <c r="N109" s="163" t="n">
        <v>0.0005875680691943754</v>
      </c>
      <c r="O109" s="163" t="n">
        <v>-0.005581091378205672</v>
      </c>
      <c r="P109" s="163" t="n">
        <v>-0.01388691067456332</v>
      </c>
      <c r="Q109" s="163" t="n">
        <v>9.542558317597859e-05</v>
      </c>
      <c r="R109" s="163" t="n">
        <v>-0.001069733284696369</v>
      </c>
      <c r="S109" s="163" t="n">
        <v>0.0111800576978989</v>
      </c>
      <c r="T109" s="163" t="n">
        <v>0</v>
      </c>
      <c r="U109" s="163" t="n">
        <v>-0.00154541871158244</v>
      </c>
      <c r="V109" s="171">
        <f>C109-U109</f>
        <v/>
      </c>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64" t="inlineStr">
        <is>
          <t>2013-06</t>
        </is>
      </c>
      <c r="B110" s="163" t="n">
        <v>0.03296297537990256</v>
      </c>
      <c r="C110" s="163" t="n">
        <v>0.05166610637012305</v>
      </c>
      <c r="D110" s="163" t="n">
        <v>-0.01870313099022049</v>
      </c>
      <c r="E110" s="170" t="n">
        <v>1909.849333333333</v>
      </c>
      <c r="F110" s="170" t="n">
        <v>1945.905627324822</v>
      </c>
      <c r="G110" s="163" t="n">
        <v>0.003180297575970861</v>
      </c>
      <c r="H110" s="163" t="n">
        <v>-0.0007247022670348829</v>
      </c>
      <c r="I110" s="163" t="n">
        <v>0.001020785558363356</v>
      </c>
      <c r="J110" s="163" t="n">
        <v>-0.0001985182622107914</v>
      </c>
      <c r="K110" s="163" t="n">
        <v>-2.645633236426923e-05</v>
      </c>
      <c r="L110" s="163" t="n">
        <v>0.001961225774967885</v>
      </c>
      <c r="M110" s="163" t="n">
        <v>0.002823661650618372</v>
      </c>
      <c r="N110" s="163" t="n">
        <v>0.007626559205207266</v>
      </c>
      <c r="O110" s="163" t="n">
        <v>-0.003057592538453297</v>
      </c>
      <c r="P110" s="163" t="n">
        <v>0.008001572222338297</v>
      </c>
      <c r="Q110" s="163" t="n">
        <v>-0.000343056578307697</v>
      </c>
      <c r="R110" s="163" t="n">
        <v>-0.001603057804274546</v>
      </c>
      <c r="S110" s="163" t="n">
        <v>0.0330053881653025</v>
      </c>
      <c r="T110" s="163" t="n">
        <v>0</v>
      </c>
      <c r="U110" s="163" t="n">
        <v>0.05166610637012305</v>
      </c>
      <c r="V110" s="171">
        <f>C110-U110</f>
        <v/>
      </c>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64" t="inlineStr">
        <is>
          <t>2013-07</t>
        </is>
      </c>
      <c r="B111" s="163" t="n">
        <v>-0.004358914553056259</v>
      </c>
      <c r="C111" s="163" t="n">
        <v>-0.002405601333356735</v>
      </c>
      <c r="D111" s="163" t="n">
        <v>-0.001953313219699524</v>
      </c>
      <c r="E111" s="170" t="n">
        <v>1901.542580645161</v>
      </c>
      <c r="F111" s="170" t="n">
        <v>1905.260518872572</v>
      </c>
      <c r="G111" s="163" t="n">
        <v>0.003180297575970861</v>
      </c>
      <c r="H111" s="163" t="n">
        <v>-0.001524130261699749</v>
      </c>
      <c r="I111" s="163" t="n">
        <v>0.001294866634298036</v>
      </c>
      <c r="J111" s="163" t="n">
        <v>-9.925913110539568e-05</v>
      </c>
      <c r="K111" s="163" t="n">
        <v>-5.752922421583138e-05</v>
      </c>
      <c r="L111" s="163" t="n">
        <v>0.001519150964940822</v>
      </c>
      <c r="M111" s="163" t="n">
        <v>-0.002423066804128805</v>
      </c>
      <c r="N111" s="163" t="n">
        <v>-0.001791423750930753</v>
      </c>
      <c r="O111" s="163" t="n">
        <v>-0.002220613775834887</v>
      </c>
      <c r="P111" s="163" t="n">
        <v>-0.001103545266919301</v>
      </c>
      <c r="Q111" s="163" t="n">
        <v>7.27220913523882e-05</v>
      </c>
      <c r="R111" s="163" t="n">
        <v>-0.003861275651630651</v>
      </c>
      <c r="S111" s="163" t="n">
        <v>0.00460820526654653</v>
      </c>
      <c r="T111" s="163" t="n">
        <v>0</v>
      </c>
      <c r="U111" s="163" t="n">
        <v>-0.002405601333356735</v>
      </c>
      <c r="V111" s="171">
        <f>C111-U111</f>
        <v/>
      </c>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64" t="inlineStr">
        <is>
          <t>2013-08</t>
        </is>
      </c>
      <c r="B112" s="163" t="n">
        <v>0.000295302345695525</v>
      </c>
      <c r="C112" s="163" t="n">
        <v>0.001146531020453546</v>
      </c>
      <c r="D112" s="163" t="n">
        <v>-0.0008512286747580206</v>
      </c>
      <c r="E112" s="170" t="n">
        <v>1902.104193548387</v>
      </c>
      <c r="F112" s="170" t="n">
        <v>1903.724008498972</v>
      </c>
      <c r="G112" s="163" t="n">
        <v>0.003180297575970861</v>
      </c>
      <c r="H112" s="163" t="n">
        <v>-0.001171963894935353</v>
      </c>
      <c r="I112" s="163" t="n">
        <v>0.001532188637176963</v>
      </c>
      <c r="J112" s="163" t="n">
        <v>0</v>
      </c>
      <c r="K112" s="163" t="n">
        <v>-0.0002512994279762322</v>
      </c>
      <c r="L112" s="163" t="n">
        <v>-0.0004054467942239457</v>
      </c>
      <c r="M112" s="163" t="n">
        <v>0.0001911322849492663</v>
      </c>
      <c r="N112" s="163" t="n">
        <v>0.002296549836868413</v>
      </c>
      <c r="O112" s="163" t="n">
        <v>-0.005044945878692144</v>
      </c>
      <c r="P112" s="163" t="n">
        <v>-0.01067776352647929</v>
      </c>
      <c r="Q112" s="163" t="n">
        <v>0.0003103015422659627</v>
      </c>
      <c r="R112" s="163" t="n">
        <v>0.0010021479275668</v>
      </c>
      <c r="S112" s="163" t="n">
        <v>0.01018533273796225</v>
      </c>
      <c r="T112" s="163" t="n">
        <v>0</v>
      </c>
      <c r="U112" s="163" t="n">
        <v>0.001146531020453544</v>
      </c>
      <c r="V112" s="171">
        <f>C112-U112</f>
        <v/>
      </c>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64" t="inlineStr">
        <is>
          <t>2013-09</t>
        </is>
      </c>
      <c r="B113" s="163" t="n">
        <v>0.009110417054244202</v>
      </c>
      <c r="C113" s="163" t="n">
        <v>0.001358322802542209</v>
      </c>
      <c r="D113" s="163" t="n">
        <v>0.007752094251701993</v>
      </c>
      <c r="E113" s="170" t="n">
        <v>1919.512333333333</v>
      </c>
      <c r="F113" s="170" t="n">
        <v>1904.689620572017</v>
      </c>
      <c r="G113" s="163" t="n">
        <v>0.003180297575970861</v>
      </c>
      <c r="H113" s="163" t="n">
        <v>0.001057523391429027</v>
      </c>
      <c r="I113" s="163" t="n">
        <v>0.0006043742759886481</v>
      </c>
      <c r="J113" s="163" t="n">
        <v>-4.962956555269674e-05</v>
      </c>
      <c r="K113" s="163" t="n">
        <v>1.093793728460548e-05</v>
      </c>
      <c r="L113" s="163" t="n">
        <v>-0.0006302983632952854</v>
      </c>
      <c r="M113" s="163" t="n">
        <v>0.0003815815022849289</v>
      </c>
      <c r="N113" s="163" t="n">
        <v>-0.0002690305234261399</v>
      </c>
      <c r="O113" s="163" t="n">
        <v>-0.003995649273111813</v>
      </c>
      <c r="P113" s="163" t="n">
        <v>0.009961412937224417</v>
      </c>
      <c r="Q113" s="163" t="n">
        <v>-0.0002408307755112178</v>
      </c>
      <c r="R113" s="163" t="n">
        <v>-0.0002122095360927529</v>
      </c>
      <c r="S113" s="163" t="n">
        <v>-0.00844015678065037</v>
      </c>
      <c r="T113" s="163" t="n">
        <v>0</v>
      </c>
      <c r="U113" s="163" t="n">
        <v>0.00135832280254221</v>
      </c>
      <c r="V113" s="171">
        <f>C113-U113</f>
        <v/>
      </c>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64" t="inlineStr">
        <is>
          <t>2013-10</t>
        </is>
      </c>
      <c r="B114" s="163" t="n">
        <v>-0.01807369220940824</v>
      </c>
      <c r="C114" s="163" t="n">
        <v>-0.01880201644638731</v>
      </c>
      <c r="D114" s="163" t="n">
        <v>0.0007283242369790707</v>
      </c>
      <c r="E114" s="170" t="n">
        <v>1885.131290322581</v>
      </c>
      <c r="F114" s="170" t="n">
        <v>1883.758803382373</v>
      </c>
      <c r="G114" s="163" t="n">
        <v>0.003180297575970861</v>
      </c>
      <c r="H114" s="163" t="n">
        <v>0.000389680800159449</v>
      </c>
      <c r="I114" s="163" t="n">
        <v>0.000967025328785485</v>
      </c>
      <c r="J114" s="163" t="n">
        <v>0</v>
      </c>
      <c r="K114" s="163" t="n">
        <v>0.0001310362311194211</v>
      </c>
      <c r="L114" s="163" t="n">
        <v>-0.002522144667716889</v>
      </c>
      <c r="M114" s="163" t="n">
        <v>0.0005441934803876792</v>
      </c>
      <c r="N114" s="163" t="n">
        <v>-0.001722754276976873</v>
      </c>
      <c r="O114" s="163" t="n">
        <v>-0.006702850598948729</v>
      </c>
      <c r="P114" s="163" t="n">
        <v>-0.006634593173148086</v>
      </c>
      <c r="Q114" s="163" t="n">
        <v>0.0002622293891172619</v>
      </c>
      <c r="R114" s="163" t="n">
        <v>0.001366523660929772</v>
      </c>
      <c r="S114" s="163" t="n">
        <v>-0.008060660196066671</v>
      </c>
      <c r="T114" s="163" t="n">
        <v>0</v>
      </c>
      <c r="U114" s="163" t="n">
        <v>-0.01880201644638732</v>
      </c>
      <c r="V114" s="171">
        <f>C114-U114</f>
        <v/>
      </c>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64" t="inlineStr">
        <is>
          <t>2013-11</t>
        </is>
      </c>
      <c r="B115" s="163" t="n">
        <v>0.01924032181000168</v>
      </c>
      <c r="C115" s="163" t="n">
        <v>0.01111001326170341</v>
      </c>
      <c r="D115" s="163" t="n">
        <v>0.008130308548298272</v>
      </c>
      <c r="E115" s="170" t="n">
        <v>1921.753</v>
      </c>
      <c r="F115" s="170" t="n">
        <v>1906.191899150134</v>
      </c>
      <c r="G115" s="163" t="n">
        <v>0.003180297575970861</v>
      </c>
      <c r="H115" s="163" t="n">
        <v>0.0006049788184541187</v>
      </c>
      <c r="I115" s="163" t="n">
        <v>0.0003436633511583521</v>
      </c>
      <c r="J115" s="163" t="n">
        <v>4.962956555269674e-05</v>
      </c>
      <c r="K115" s="163" t="n">
        <v>-6.721551757750112e-05</v>
      </c>
      <c r="L115" s="163" t="n">
        <v>0.002271715238127806</v>
      </c>
      <c r="M115" s="163" t="n">
        <v>-0.002010901919926886</v>
      </c>
      <c r="N115" s="163" t="n">
        <v>0.002023979649836401</v>
      </c>
      <c r="O115" s="163" t="n">
        <v>-0.001551434120940667</v>
      </c>
      <c r="P115" s="163" t="n">
        <v>-0.008176372375227036</v>
      </c>
      <c r="Q115" s="163" t="n">
        <v>-0.0001503060443457908</v>
      </c>
      <c r="R115" s="163" t="n">
        <v>0.0002790355570403681</v>
      </c>
      <c r="S115" s="163" t="n">
        <v>0.01431294348358069</v>
      </c>
      <c r="T115" s="163" t="n">
        <v>0</v>
      </c>
      <c r="U115" s="163" t="n">
        <v>0.01111001326170341</v>
      </c>
      <c r="V115" s="171">
        <f>C115-U115</f>
        <v/>
      </c>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64" t="inlineStr">
        <is>
          <t>2013-12</t>
        </is>
      </c>
      <c r="B116" s="163" t="n">
        <v>0.00581271385267712</v>
      </c>
      <c r="C116" s="163" t="n">
        <v>0.01539712580348996</v>
      </c>
      <c r="D116" s="163" t="n">
        <v>-0.009584411950812841</v>
      </c>
      <c r="E116" s="170" t="n">
        <v>1932.956129032258</v>
      </c>
      <c r="F116" s="170" t="n">
        <v>1951.571442772004</v>
      </c>
      <c r="G116" s="163" t="n">
        <v>0.003180297575970861</v>
      </c>
      <c r="H116" s="163" t="n">
        <v>-0.0002482351456970973</v>
      </c>
      <c r="I116" s="163" t="n">
        <v>0.0007768685543016414</v>
      </c>
      <c r="J116" s="163" t="n">
        <v>-4.962956555269674e-05</v>
      </c>
      <c r="K116" s="163" t="n">
        <v>2.393610663990161e-05</v>
      </c>
      <c r="L116" s="163" t="n">
        <v>0.0004142883882170256</v>
      </c>
      <c r="M116" s="163" t="n">
        <v>0.001070934543837949</v>
      </c>
      <c r="N116" s="163" t="n">
        <v>-0.001034675850755821</v>
      </c>
      <c r="O116" s="163" t="n">
        <v>-0.0008430038082476686</v>
      </c>
      <c r="P116" s="163" t="n">
        <v>0.01151772154723916</v>
      </c>
      <c r="Q116" s="163" t="n">
        <v>-0.000364294872527263</v>
      </c>
      <c r="R116" s="163" t="n">
        <v>-0.0004343860375916783</v>
      </c>
      <c r="S116" s="163" t="n">
        <v>0.001387304367655647</v>
      </c>
      <c r="T116" s="163" t="n">
        <v>0</v>
      </c>
      <c r="U116" s="163" t="n">
        <v>0.01539712580348996</v>
      </c>
      <c r="V116" s="171">
        <f>C116-U116</f>
        <v/>
      </c>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64" t="inlineStr">
        <is>
          <t>2014-01</t>
        </is>
      </c>
      <c r="B117" s="163" t="n">
        <v>0.01250887596912076</v>
      </c>
      <c r="C117" s="163" t="n">
        <v>0.00671262486303921</v>
      </c>
      <c r="D117" s="163" t="n">
        <v>0.005796251106081549</v>
      </c>
      <c r="E117" s="170" t="n">
        <v>1957.287096774194</v>
      </c>
      <c r="F117" s="170" t="n">
        <v>1945.974984865798</v>
      </c>
      <c r="G117" s="163" t="n">
        <v>0.003180297575970861</v>
      </c>
      <c r="H117" s="163" t="n">
        <v>0.002994248258194764</v>
      </c>
      <c r="I117" s="163" t="n">
        <v>0.00130046701332455</v>
      </c>
      <c r="J117" s="163" t="n">
        <v>4.962956555269674e-05</v>
      </c>
      <c r="K117" s="163" t="n">
        <v>0.000705251353369642</v>
      </c>
      <c r="L117" s="163" t="n">
        <v>0.002390714565752217</v>
      </c>
      <c r="M117" s="163" t="n">
        <v>3.908241819898644e-05</v>
      </c>
      <c r="N117" s="163" t="n">
        <v>0.0008541530068564545</v>
      </c>
      <c r="O117" s="163" t="n">
        <v>-0.001453474685964291</v>
      </c>
      <c r="P117" s="163" t="n">
        <v>-0.01080181388713982</v>
      </c>
      <c r="Q117" s="163" t="n">
        <v>0.0002414266158496659</v>
      </c>
      <c r="R117" s="163" t="n">
        <v>-0.001132622711398483</v>
      </c>
      <c r="S117" s="163" t="n">
        <v>0.008345265774471968</v>
      </c>
      <c r="T117" s="163" t="n">
        <v>0</v>
      </c>
      <c r="U117" s="163" t="n">
        <v>0.00671262486303921</v>
      </c>
      <c r="V117" s="171">
        <f>C117-U117</f>
        <v/>
      </c>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64" t="inlineStr">
        <is>
          <t>2014-02</t>
        </is>
      </c>
      <c r="B118" s="163" t="n">
        <v>0.0406511839497119</v>
      </c>
      <c r="C118" s="163" t="n">
        <v>0.01654862605461862</v>
      </c>
      <c r="D118" s="163" t="n">
        <v>0.02410255789509328</v>
      </c>
      <c r="E118" s="170" t="n">
        <v>2038.492500000001</v>
      </c>
      <c r="F118" s="170" t="n">
        <v>1989.947001957198</v>
      </c>
      <c r="G118" s="163" t="n">
        <v>0.003180297575970861</v>
      </c>
      <c r="H118" s="163" t="n">
        <v>-0.0001368889265932958</v>
      </c>
      <c r="I118" s="163" t="n">
        <v>0.0005290514603464375</v>
      </c>
      <c r="J118" s="163" t="n">
        <v>-9.925913110539568e-05</v>
      </c>
      <c r="K118" s="163" t="n">
        <v>-3.908941199070883e-05</v>
      </c>
      <c r="L118" s="163" t="n">
        <v>0.0004617674449349284</v>
      </c>
      <c r="M118" s="163" t="n">
        <v>0.0009469519626950198</v>
      </c>
      <c r="N118" s="163" t="n">
        <v>0.001053669363877323</v>
      </c>
      <c r="O118" s="163" t="n">
        <v>-0.0005228733388440273</v>
      </c>
      <c r="P118" s="163" t="n">
        <v>0.007479300587421164</v>
      </c>
      <c r="Q118" s="163" t="n">
        <v>-0.0001355222656856044</v>
      </c>
      <c r="R118" s="163" t="n">
        <v>-0.000722225308706012</v>
      </c>
      <c r="S118" s="163" t="n">
        <v>0.004553446042297931</v>
      </c>
      <c r="T118" s="163" t="n">
        <v>0</v>
      </c>
      <c r="U118" s="163" t="n">
        <v>0.01654862605461862</v>
      </c>
      <c r="V118" s="171">
        <f>C118-U118</f>
        <v/>
      </c>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64" t="inlineStr">
        <is>
          <t>2014-03</t>
        </is>
      </c>
      <c r="B119" s="163" t="n">
        <v>-0.009255030182302448</v>
      </c>
      <c r="C119" s="163" t="n">
        <v>-0.003992555297696039</v>
      </c>
      <c r="D119" s="163" t="n">
        <v>-0.005262474884606409</v>
      </c>
      <c r="E119" s="170" t="n">
        <v>2019.713225806451</v>
      </c>
      <c r="F119" s="170" t="n">
        <v>2030.36993166125</v>
      </c>
      <c r="G119" s="163" t="n">
        <v>0.003180297575970861</v>
      </c>
      <c r="H119" s="163" t="n">
        <v>-0.001515869559620829</v>
      </c>
      <c r="I119" s="163" t="n">
        <v>0.0002933523014354706</v>
      </c>
      <c r="J119" s="163" t="n">
        <v>0</v>
      </c>
      <c r="K119" s="163" t="n">
        <v>-8.664291007036521e-05</v>
      </c>
      <c r="L119" s="163" t="n">
        <v>-0.0005229309269306085</v>
      </c>
      <c r="M119" s="163" t="n">
        <v>-0.0004781732861453474</v>
      </c>
      <c r="N119" s="163" t="n">
        <v>-0.001964070843307056</v>
      </c>
      <c r="O119" s="163" t="n">
        <v>-0.002117718915956918</v>
      </c>
      <c r="P119" s="163" t="n">
        <v>0.00253052843094206</v>
      </c>
      <c r="Q119" s="163" t="n">
        <v>4.776932693351572e-05</v>
      </c>
      <c r="R119" s="163" t="n">
        <v>-0.0003218478137825574</v>
      </c>
      <c r="S119" s="163" t="n">
        <v>-0.003037248677164265</v>
      </c>
      <c r="T119" s="163" t="n">
        <v>0</v>
      </c>
      <c r="U119" s="163" t="n">
        <v>-0.00399255529769604</v>
      </c>
      <c r="V119" s="171">
        <f>C119-U119</f>
        <v/>
      </c>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64" t="inlineStr">
        <is>
          <t>2014-04</t>
        </is>
      </c>
      <c r="B120" s="163" t="n">
        <v>-0.04111310721404138</v>
      </c>
      <c r="C120" s="163" t="n">
        <v>-0.01818279513648007</v>
      </c>
      <c r="D120" s="163" t="n">
        <v>-0.02293031207756131</v>
      </c>
      <c r="E120" s="170" t="n">
        <v>1938.360333333333</v>
      </c>
      <c r="F120" s="170" t="n">
        <v>1983.321052345906</v>
      </c>
      <c r="G120" s="163" t="n">
        <v>0.003180297575970861</v>
      </c>
      <c r="H120" s="163" t="n">
        <v>0.001337624797111069</v>
      </c>
      <c r="I120" s="163" t="n">
        <v>0.0001028121200680819</v>
      </c>
      <c r="J120" s="163" t="n">
        <v>4.962956555269895e-05</v>
      </c>
      <c r="K120" s="163" t="n">
        <v>-1.926389136852063e-05</v>
      </c>
      <c r="L120" s="163" t="n">
        <v>-0.001141082694002358</v>
      </c>
      <c r="M120" s="163" t="n">
        <v>-0.0005032562267567911</v>
      </c>
      <c r="N120" s="163" t="n">
        <v>-0.002601491856514107</v>
      </c>
      <c r="O120" s="163" t="n">
        <v>-0.001805459688205509</v>
      </c>
      <c r="P120" s="163" t="n">
        <v>-0.006598359041023797</v>
      </c>
      <c r="Q120" s="163" t="n">
        <v>0.0001390576062691956</v>
      </c>
      <c r="R120" s="163" t="n">
        <v>0.0008007581244919135</v>
      </c>
      <c r="S120" s="163" t="n">
        <v>-0.01112406152807281</v>
      </c>
      <c r="T120" s="163" t="n">
        <v>0</v>
      </c>
      <c r="U120" s="163" t="n">
        <v>-0.01818279513648007</v>
      </c>
      <c r="V120" s="171">
        <f>C120-U120</f>
        <v/>
      </c>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64" t="inlineStr">
        <is>
          <t>2014-05</t>
        </is>
      </c>
      <c r="B121" s="163" t="n">
        <v>-0.01193632692411306</v>
      </c>
      <c r="C121" s="163" t="n">
        <v>0.001741442363651248</v>
      </c>
      <c r="D121" s="163" t="n">
        <v>-0.01367776928776431</v>
      </c>
      <c r="E121" s="170" t="n">
        <v>1915.360967741935</v>
      </c>
      <c r="F121" s="170" t="n">
        <v>1941.738816997305</v>
      </c>
      <c r="G121" s="163" t="n">
        <v>0.003180297575970861</v>
      </c>
      <c r="H121" s="163" t="n">
        <v>0.003453410063785846</v>
      </c>
      <c r="I121" s="163" t="n">
        <v>-0.001602848368250537</v>
      </c>
      <c r="J121" s="163" t="n">
        <v>-7.444434832904732e-05</v>
      </c>
      <c r="K121" s="163" t="n">
        <v>-0.0001389436594323144</v>
      </c>
      <c r="L121" s="163" t="n">
        <v>-0.0008376295236334292</v>
      </c>
      <c r="M121" s="163" t="n">
        <v>-0.001479806508322619</v>
      </c>
      <c r="N121" s="163" t="n">
        <v>-0.001290014311779251</v>
      </c>
      <c r="O121" s="163" t="n">
        <v>-0.002271717652653585</v>
      </c>
      <c r="P121" s="163" t="n">
        <v>0.006070013670154611</v>
      </c>
      <c r="Q121" s="163" t="n">
        <v>7.135531178497893e-06</v>
      </c>
      <c r="R121" s="163" t="n">
        <v>0.001070264835160109</v>
      </c>
      <c r="S121" s="163" t="n">
        <v>-0.004344274940197894</v>
      </c>
      <c r="T121" s="163" t="n">
        <v>0</v>
      </c>
      <c r="U121" s="163" t="n">
        <v>0.001741442363651249</v>
      </c>
      <c r="V121" s="171">
        <f>C121-U121</f>
        <v/>
      </c>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64" t="inlineStr">
        <is>
          <t>2014-06</t>
        </is>
      </c>
      <c r="B122" s="163" t="n">
        <v>-0.01489698923112392</v>
      </c>
      <c r="C122" s="163" t="n">
        <v>-0.01399451763372312</v>
      </c>
      <c r="D122" s="163" t="n">
        <v>-0.0009024715974008043</v>
      </c>
      <c r="E122" s="170" t="n">
        <v>1887.039333333333</v>
      </c>
      <c r="F122" s="170" t="n">
        <v>1888.743101420362</v>
      </c>
      <c r="G122" s="163" t="n">
        <v>0.003180297575970861</v>
      </c>
      <c r="H122" s="163" t="n">
        <v>-0.007919511907529615</v>
      </c>
      <c r="I122" s="163" t="n">
        <v>-0.001454638566841813</v>
      </c>
      <c r="J122" s="163" t="n">
        <v>-0.001116665224935701</v>
      </c>
      <c r="K122" s="163" t="n">
        <v>-0.0001315504008177725</v>
      </c>
      <c r="L122" s="163" t="n">
        <v>0.0004053221927118127</v>
      </c>
      <c r="M122" s="163" t="n">
        <v>-0.000890005048990142</v>
      </c>
      <c r="N122" s="163" t="n">
        <v>-0.001668951390167655</v>
      </c>
      <c r="O122" s="163" t="n">
        <v>-0.002578850531974038</v>
      </c>
      <c r="P122" s="163" t="n">
        <v>-0.002240397927655286</v>
      </c>
      <c r="Q122" s="163" t="n">
        <v>2.512369758474716e-05</v>
      </c>
      <c r="R122" s="163" t="n">
        <v>-0.000239783151674859</v>
      </c>
      <c r="S122" s="163" t="n">
        <v>0.0006350930505963395</v>
      </c>
      <c r="T122" s="163" t="n">
        <v>0</v>
      </c>
      <c r="U122" s="163" t="n">
        <v>-0.01399451763372312</v>
      </c>
      <c r="V122" s="171">
        <f>C122-U122</f>
        <v/>
      </c>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64" t="inlineStr">
        <is>
          <t>2014-07</t>
        </is>
      </c>
      <c r="B123" s="163" t="n">
        <v>-0.01569998819457119</v>
      </c>
      <c r="C123" s="163" t="n">
        <v>0.005391642703966716</v>
      </c>
      <c r="D123" s="163" t="n">
        <v>-0.02109163089853791</v>
      </c>
      <c r="E123" s="170" t="n">
        <v>1857.644193548388</v>
      </c>
      <c r="F123" s="170" t="n">
        <v>1897.241052485825</v>
      </c>
      <c r="G123" s="163" t="n">
        <v>0.003180297575970861</v>
      </c>
      <c r="H123" s="163" t="n">
        <v>0.008172548218662101</v>
      </c>
      <c r="I123" s="163" t="n">
        <v>-0.001756806514944741</v>
      </c>
      <c r="J123" s="163" t="n">
        <v>-0.001397899429734319</v>
      </c>
      <c r="K123" s="163" t="n">
        <v>-0.0003186399463343887</v>
      </c>
      <c r="L123" s="163" t="n">
        <v>-0.0005759450054527828</v>
      </c>
      <c r="M123" s="163" t="n">
        <v>0.0007247975726744708</v>
      </c>
      <c r="N123" s="163" t="n">
        <v>0.0002120258499916067</v>
      </c>
      <c r="O123" s="163" t="n">
        <v>-0.003019499527136713</v>
      </c>
      <c r="P123" s="163" t="n">
        <v>0.00150723031504087</v>
      </c>
      <c r="Q123" s="163" t="n">
        <v>6.923636389119711e-05</v>
      </c>
      <c r="R123" s="163" t="n">
        <v>7.868242383556226e-07</v>
      </c>
      <c r="S123" s="163" t="n">
        <v>-0.001406489592899801</v>
      </c>
      <c r="T123" s="163" t="n">
        <v>0</v>
      </c>
      <c r="U123" s="163" t="n">
        <v>0.005391642703966717</v>
      </c>
      <c r="V123" s="171">
        <f>C123-U123</f>
        <v/>
      </c>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64" t="inlineStr">
        <is>
          <t>2014-08</t>
        </is>
      </c>
      <c r="B124" s="163" t="n">
        <v>0.02155751944298512</v>
      </c>
      <c r="C124" s="163" t="n">
        <v>0.008840364896064313</v>
      </c>
      <c r="D124" s="163" t="n">
        <v>0.01271715454692081</v>
      </c>
      <c r="E124" s="170" t="n">
        <v>1898.125161290323</v>
      </c>
      <c r="F124" s="170" t="n">
        <v>1874.13924979779</v>
      </c>
      <c r="G124" s="163" t="n">
        <v>0.003180297575970861</v>
      </c>
      <c r="H124" s="163" t="n">
        <v>-0.001781038611735978</v>
      </c>
      <c r="I124" s="163" t="n">
        <v>-0.001149138684526905</v>
      </c>
      <c r="J124" s="163" t="n">
        <v>-0.00108357884790057</v>
      </c>
      <c r="K124" s="163" t="n">
        <v>4.099243152098452e-05</v>
      </c>
      <c r="L124" s="163" t="n">
        <v>0.002506967897858357</v>
      </c>
      <c r="M124" s="163" t="n">
        <v>0.00106140631531203</v>
      </c>
      <c r="N124" s="163" t="n">
        <v>0.001383654503534543</v>
      </c>
      <c r="O124" s="163" t="n">
        <v>-0.003785405686695483</v>
      </c>
      <c r="P124" s="163" t="n">
        <v>-0.003945734139689066</v>
      </c>
      <c r="Q124" s="163" t="n">
        <v>5.752254864834188e-05</v>
      </c>
      <c r="R124" s="163" t="n">
        <v>0.0004264494679452363</v>
      </c>
      <c r="S124" s="163" t="n">
        <v>0.01192797012582196</v>
      </c>
      <c r="T124" s="163" t="n">
        <v>0</v>
      </c>
      <c r="U124" s="163" t="n">
        <v>0.008840364896064311</v>
      </c>
      <c r="V124" s="171">
        <f>C124-U124</f>
        <v/>
      </c>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64" t="inlineStr">
        <is>
          <t>2014-09</t>
        </is>
      </c>
      <c r="B125" s="163" t="n">
        <v>0.03905175632778857</v>
      </c>
      <c r="C125" s="163" t="n">
        <v>0.02014959800832107</v>
      </c>
      <c r="D125" s="163" t="n">
        <v>0.0189021583194675</v>
      </c>
      <c r="E125" s="170" t="n">
        <v>1973.716666666666</v>
      </c>
      <c r="F125" s="170" t="n">
        <v>1936.759546786849</v>
      </c>
      <c r="G125" s="163" t="n">
        <v>0.003180297575970861</v>
      </c>
      <c r="H125" s="163" t="n">
        <v>0.003439839177418004</v>
      </c>
      <c r="I125" s="163" t="n">
        <v>-0.001380534941599626</v>
      </c>
      <c r="J125" s="163" t="n">
        <v>-0.001240739138817445</v>
      </c>
      <c r="K125" s="163" t="n">
        <v>-0.0002326966719833408</v>
      </c>
      <c r="L125" s="163" t="n">
        <v>0.00389985398277884</v>
      </c>
      <c r="M125" s="163" t="n">
        <v>-2.141843485184485e-05</v>
      </c>
      <c r="N125" s="163" t="n">
        <v>-0.0002842028087913012</v>
      </c>
      <c r="O125" s="163" t="n">
        <v>-0.003880241652608344</v>
      </c>
      <c r="P125" s="163" t="n">
        <v>0.004754679979158855</v>
      </c>
      <c r="Q125" s="163" t="n">
        <v>8.853831210212591e-05</v>
      </c>
      <c r="R125" s="163" t="n">
        <v>-0.0008368208362766205</v>
      </c>
      <c r="S125" s="163" t="n">
        <v>0.0126630434658209</v>
      </c>
      <c r="T125" s="163" t="n">
        <v>0</v>
      </c>
      <c r="U125" s="163" t="n">
        <v>0.02014959800832107</v>
      </c>
      <c r="V125" s="171">
        <f>C125-U125</f>
        <v/>
      </c>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64" t="inlineStr">
        <is>
          <t>2014-10</t>
        </is>
      </c>
      <c r="B126" s="163" t="n">
        <v>0.03722233091585725</v>
      </c>
      <c r="C126" s="163" t="n">
        <v>0.02896621030851915</v>
      </c>
      <c r="D126" s="163" t="n">
        <v>0.008256120607338102</v>
      </c>
      <c r="E126" s="170" t="n">
        <v>2048.567419354838</v>
      </c>
      <c r="F126" s="170" t="n">
        <v>2031.723826710995</v>
      </c>
      <c r="G126" s="163" t="n">
        <v>0.003180297575970861</v>
      </c>
      <c r="H126" s="163" t="n">
        <v>0.008078835349506798</v>
      </c>
      <c r="I126" s="163" t="n">
        <v>-0.0002653269916263694</v>
      </c>
      <c r="J126" s="163" t="n">
        <v>-0.001240739138817445</v>
      </c>
      <c r="K126" s="163" t="n">
        <v>0.0001427891112427976</v>
      </c>
      <c r="L126" s="163" t="n">
        <v>0.0032900697867555</v>
      </c>
      <c r="M126" s="163" t="n">
        <v>0.003356391115268371</v>
      </c>
      <c r="N126" s="163" t="n">
        <v>0.003806522062992425</v>
      </c>
      <c r="O126" s="163" t="n">
        <v>-0.002513503261120943</v>
      </c>
      <c r="P126" s="163" t="n">
        <v>0.00207090514801585</v>
      </c>
      <c r="Q126" s="163" t="n">
        <v>-0.000230030945355749</v>
      </c>
      <c r="R126" s="163" t="n">
        <v>-0.0008730533456165326</v>
      </c>
      <c r="S126" s="163" t="n">
        <v>0.01016305384130358</v>
      </c>
      <c r="T126" s="163" t="n">
        <v>0</v>
      </c>
      <c r="U126" s="163" t="n">
        <v>0.02896621030851915</v>
      </c>
      <c r="V126" s="171">
        <f>C126-U126</f>
        <v/>
      </c>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64" t="inlineStr">
        <is>
          <t>2014-11</t>
        </is>
      </c>
      <c r="B127" s="163" t="n">
        <v>0.03836306277742896</v>
      </c>
      <c r="C127" s="163" t="n">
        <v>0.009523012295105871</v>
      </c>
      <c r="D127" s="163" t="n">
        <v>0.02884005048232309</v>
      </c>
      <c r="E127" s="170" t="n">
        <v>2128.683666666666</v>
      </c>
      <c r="F127" s="170" t="n">
        <v>2068.16913764273</v>
      </c>
      <c r="G127" s="163" t="n">
        <v>0.003180297575970861</v>
      </c>
      <c r="H127" s="163" t="n">
        <v>0.002317096117785607</v>
      </c>
      <c r="I127" s="163" t="n">
        <v>-0.0004668703741754861</v>
      </c>
      <c r="J127" s="163" t="n">
        <v>0</v>
      </c>
      <c r="K127" s="163" t="n">
        <v>0.0002687071429585014</v>
      </c>
      <c r="L127" s="163" t="n">
        <v>0.004115487047120097</v>
      </c>
      <c r="M127" s="163" t="n">
        <v>-0.003401934681242088</v>
      </c>
      <c r="N127" s="163" t="n">
        <v>-0.0002348920768855199</v>
      </c>
      <c r="O127" s="163" t="n">
        <v>-0.00160419987568371</v>
      </c>
      <c r="P127" s="163" t="n">
        <v>-0.001677782926376746</v>
      </c>
      <c r="Q127" s="163" t="n">
        <v>-1.869692276426822e-05</v>
      </c>
      <c r="R127" s="163" t="n">
        <v>-0.001470943760244845</v>
      </c>
      <c r="S127" s="163" t="n">
        <v>0.008516745028643469</v>
      </c>
      <c r="T127" s="163" t="n">
        <v>0</v>
      </c>
      <c r="U127" s="163" t="n">
        <v>0.009523012295105873</v>
      </c>
      <c r="V127" s="171">
        <f>C127-U127</f>
        <v/>
      </c>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64" t="inlineStr">
        <is>
          <t>2014-12</t>
        </is>
      </c>
      <c r="B128" s="163" t="n">
        <v>0.09560972898362774</v>
      </c>
      <c r="C128" s="163" t="n">
        <v>0.05080867190660436</v>
      </c>
      <c r="D128" s="163" t="n">
        <v>0.04480105707702338</v>
      </c>
      <c r="E128" s="170" t="n">
        <v>2342.253548387097</v>
      </c>
      <c r="F128" s="170" t="n">
        <v>2239.634009091374</v>
      </c>
      <c r="G128" s="163" t="n">
        <v>0.003180297575970861</v>
      </c>
      <c r="H128" s="163" t="n">
        <v>0.009478339984347738</v>
      </c>
      <c r="I128" s="163" t="n">
        <v>-0.0008988607466027101</v>
      </c>
      <c r="J128" s="163" t="n">
        <v>0</v>
      </c>
      <c r="K128" s="163" t="n">
        <v>0.0001242103914735042</v>
      </c>
      <c r="L128" s="163" t="n">
        <v>0.005609016236344374</v>
      </c>
      <c r="M128" s="163" t="n">
        <v>0.002224418581190035</v>
      </c>
      <c r="N128" s="163" t="n">
        <v>0.004605668697413661</v>
      </c>
      <c r="O128" s="163" t="n">
        <v>-9.682670899416567e-05</v>
      </c>
      <c r="P128" s="163" t="n">
        <v>0.005785548150962353</v>
      </c>
      <c r="Q128" s="163" t="n">
        <v>-0.0003169995071527318</v>
      </c>
      <c r="R128" s="163" t="n">
        <v>-0.000140734998950292</v>
      </c>
      <c r="S128" s="163" t="n">
        <v>0.02125459425060173</v>
      </c>
      <c r="T128" s="163" t="n">
        <v>0</v>
      </c>
      <c r="U128" s="163" t="n">
        <v>0.05080867190660436</v>
      </c>
      <c r="V128" s="171">
        <f>C128-U128</f>
        <v/>
      </c>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64" t="inlineStr">
        <is>
          <t>2015-01</t>
        </is>
      </c>
      <c r="B129" s="163" t="n">
        <v>0.023212090319638</v>
      </c>
      <c r="C129" s="163" t="n">
        <v>0.02694542226484522</v>
      </c>
      <c r="D129" s="163" t="n">
        <v>-0.003733331945207221</v>
      </c>
      <c r="E129" s="170" t="n">
        <v>2397.25806451613</v>
      </c>
      <c r="F129" s="170" t="n">
        <v>2406.224551651323</v>
      </c>
      <c r="G129" s="163" t="n">
        <v>0.003180297575970861</v>
      </c>
      <c r="H129" s="163" t="n">
        <v>0.01084217640374819</v>
      </c>
      <c r="I129" s="163" t="n">
        <v>0.000743904022890741</v>
      </c>
      <c r="J129" s="163" t="n">
        <v>0.0001488886966580946</v>
      </c>
      <c r="K129" s="163" t="n">
        <v>0.0003335139044147138</v>
      </c>
      <c r="L129" s="163" t="n">
        <v>0.005451796823925402</v>
      </c>
      <c r="M129" s="163" t="n">
        <v>0.001830485434782689</v>
      </c>
      <c r="N129" s="163" t="n">
        <v>0.005088089450257675</v>
      </c>
      <c r="O129" s="163" t="n">
        <v>0.0003541739176313912</v>
      </c>
      <c r="P129" s="163" t="n">
        <v>-0.004129889442635626</v>
      </c>
      <c r="Q129" s="163" t="n">
        <v>-3.71472614485651e-05</v>
      </c>
      <c r="R129" s="163" t="n">
        <v>-0.004293074655540702</v>
      </c>
      <c r="S129" s="163" t="n">
        <v>0.007432207394190361</v>
      </c>
      <c r="T129" s="163" t="n">
        <v>0</v>
      </c>
      <c r="U129" s="163" t="n">
        <v>0.02694542226484523</v>
      </c>
      <c r="V129" s="171">
        <f>C129-U129</f>
        <v/>
      </c>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64" t="inlineStr">
        <is>
          <t>2015-02</t>
        </is>
      </c>
      <c r="B130" s="163" t="n">
        <v>0.009719783009880523</v>
      </c>
      <c r="C130" s="163" t="n">
        <v>0.01816268399074794</v>
      </c>
      <c r="D130" s="163" t="n">
        <v>-0.008442900980867422</v>
      </c>
      <c r="E130" s="170" t="n">
        <v>2420.672500000001</v>
      </c>
      <c r="F130" s="170" t="n">
        <v>2441.196517431134</v>
      </c>
      <c r="G130" s="163" t="n">
        <v>0.003180297575970861</v>
      </c>
      <c r="H130" s="163" t="n">
        <v>-0.003864884413854418</v>
      </c>
      <c r="I130" s="163" t="n">
        <v>-8.791471169029234e-05</v>
      </c>
      <c r="J130" s="163" t="n">
        <v>-4.962956555269674e-05</v>
      </c>
      <c r="K130" s="163" t="n">
        <v>-0.0002055981465904339</v>
      </c>
      <c r="L130" s="163" t="n">
        <v>0.003253901976653155</v>
      </c>
      <c r="M130" s="163" t="n">
        <v>-0.0021062521471186</v>
      </c>
      <c r="N130" s="163" t="n">
        <v>-0.003718505109556463</v>
      </c>
      <c r="O130" s="163" t="n">
        <v>0.001592445411648973</v>
      </c>
      <c r="P130" s="163" t="n">
        <v>0.00302294417244884</v>
      </c>
      <c r="Q130" s="163" t="n">
        <v>-0.0001616951186738551</v>
      </c>
      <c r="R130" s="163" t="n">
        <v>0.0005020579568699623</v>
      </c>
      <c r="S130" s="163" t="n">
        <v>0.01680551611019291</v>
      </c>
      <c r="T130" s="163" t="n">
        <v>0</v>
      </c>
      <c r="U130" s="163" t="n">
        <v>0.01816268399074794</v>
      </c>
      <c r="V130" s="171">
        <f>C130-U130</f>
        <v/>
      </c>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64" t="inlineStr">
        <is>
          <t>2015-03</t>
        </is>
      </c>
      <c r="B131" s="163" t="n">
        <v>0.06582024253256868</v>
      </c>
      <c r="C131" s="163" t="n">
        <v>0.02661681317628121</v>
      </c>
      <c r="D131" s="163" t="n">
        <v>0.03920342935628747</v>
      </c>
      <c r="E131" s="170" t="n">
        <v>2585.362258064516</v>
      </c>
      <c r="F131" s="170" t="n">
        <v>2485.968214737601</v>
      </c>
      <c r="G131" s="163" t="n">
        <v>0.003180297575970861</v>
      </c>
      <c r="H131" s="163" t="n">
        <v>-0.005789938123815906</v>
      </c>
      <c r="I131" s="163" t="n">
        <v>0.0007789505321122019</v>
      </c>
      <c r="J131" s="163" t="n">
        <v>0</v>
      </c>
      <c r="K131" s="163" t="n">
        <v>-1.583051088551504e-05</v>
      </c>
      <c r="L131" s="163" t="n">
        <v>0.004990187115466561</v>
      </c>
      <c r="M131" s="163" t="n">
        <v>-0.0008132984572575048</v>
      </c>
      <c r="N131" s="163" t="n">
        <v>0.002412948456671437</v>
      </c>
      <c r="O131" s="163" t="n">
        <v>7.425459061782213e-05</v>
      </c>
      <c r="P131" s="163" t="n">
        <v>0.002204632211744308</v>
      </c>
      <c r="Q131" s="163" t="n">
        <v>0.0001018639081806745</v>
      </c>
      <c r="R131" s="163" t="n">
        <v>0.002540532453455886</v>
      </c>
      <c r="S131" s="163" t="n">
        <v>0.01695221342402039</v>
      </c>
      <c r="T131" s="163" t="n">
        <v>0</v>
      </c>
      <c r="U131" s="163" t="n">
        <v>0.02661681317628121</v>
      </c>
      <c r="V131" s="171">
        <f>C131-U131</f>
        <v/>
      </c>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64" t="inlineStr">
        <is>
          <t>2015-04</t>
        </is>
      </c>
      <c r="B132" s="163" t="n">
        <v>-0.03147790502569947</v>
      </c>
      <c r="C132" s="163" t="n">
        <v>-0.007716962078628166</v>
      </c>
      <c r="D132" s="163" t="n">
        <v>-0.0237609429470713</v>
      </c>
      <c r="E132" s="170" t="n">
        <v>2505.248</v>
      </c>
      <c r="F132" s="170" t="n">
        <v>2565.487899025932</v>
      </c>
      <c r="G132" s="163" t="n">
        <v>0.003180297575970861</v>
      </c>
      <c r="H132" s="163" t="n">
        <v>-0.001988554776283446</v>
      </c>
      <c r="I132" s="163" t="n">
        <v>0.002349613794368361</v>
      </c>
      <c r="J132" s="163" t="n">
        <v>0</v>
      </c>
      <c r="K132" s="163" t="n">
        <v>-3.126162384177817e-05</v>
      </c>
      <c r="L132" s="163" t="n">
        <v>-0.002287689066624332</v>
      </c>
      <c r="M132" s="163" t="n">
        <v>-0.001065969207328504</v>
      </c>
      <c r="N132" s="163" t="n">
        <v>-0.001049108024639758</v>
      </c>
      <c r="O132" s="163" t="n">
        <v>0.0008851990036524653</v>
      </c>
      <c r="P132" s="163" t="n">
        <v>-0.001195756657172837</v>
      </c>
      <c r="Q132" s="163" t="n">
        <v>-7.518074234493163e-05</v>
      </c>
      <c r="R132" s="163" t="n">
        <v>-0.001111671907409504</v>
      </c>
      <c r="S132" s="163" t="n">
        <v>-0.005326880446974764</v>
      </c>
      <c r="T132" s="163" t="n">
        <v>0</v>
      </c>
      <c r="U132" s="163" t="n">
        <v>-0.007716962078628166</v>
      </c>
      <c r="V132" s="171">
        <f>C132-U132</f>
        <v/>
      </c>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64" t="inlineStr">
        <is>
          <t>2015-05</t>
        </is>
      </c>
      <c r="B133" s="163" t="n">
        <v>-0.02740038270189071</v>
      </c>
      <c r="C133" s="163" t="n">
        <v>-0.003978142966370841</v>
      </c>
      <c r="D133" s="163" t="n">
        <v>-0.02342223973551987</v>
      </c>
      <c r="E133" s="170" t="n">
        <v>2437.535161290322</v>
      </c>
      <c r="F133" s="170" t="n">
        <v>2495.301562582188</v>
      </c>
      <c r="G133" s="163" t="n">
        <v>0.003180297575970861</v>
      </c>
      <c r="H133" s="163" t="n">
        <v>-0.003733544264089429</v>
      </c>
      <c r="I133" s="163" t="n">
        <v>0.0008521312752449498</v>
      </c>
      <c r="J133" s="163" t="n">
        <v>4.962956555269674e-05</v>
      </c>
      <c r="K133" s="163" t="n">
        <v>-2.574264601762869e-05</v>
      </c>
      <c r="L133" s="163" t="n">
        <v>-0.002156761289449456</v>
      </c>
      <c r="M133" s="163" t="n">
        <v>-0.0001332331997849347</v>
      </c>
      <c r="N133" s="163" t="n">
        <v>-0.001158274468120787</v>
      </c>
      <c r="O133" s="163" t="n">
        <v>-0.001618995567466724</v>
      </c>
      <c r="P133" s="163" t="n">
        <v>-0.002867868353186559</v>
      </c>
      <c r="Q133" s="163" t="n">
        <v>0.0003356846142054961</v>
      </c>
      <c r="R133" s="163" t="n">
        <v>0.002094147423445869</v>
      </c>
      <c r="S133" s="163" t="n">
        <v>0.001204386367324804</v>
      </c>
      <c r="T133" s="163" t="n">
        <v>0</v>
      </c>
      <c r="U133" s="163" t="n">
        <v>-0.003978142966370841</v>
      </c>
      <c r="V133" s="171">
        <f>C133-U133</f>
        <v/>
      </c>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64" t="inlineStr">
        <is>
          <t>2015-06</t>
        </is>
      </c>
      <c r="B134" s="163" t="n">
        <v>0.04998728004882125</v>
      </c>
      <c r="C134" s="163" t="n">
        <v>0.0273713399973361</v>
      </c>
      <c r="D134" s="163" t="n">
        <v>0.02261594005148515</v>
      </c>
      <c r="E134" s="170" t="n">
        <v>2562.477666666667</v>
      </c>
      <c r="F134" s="170" t="n">
        <v>2505.175241879052</v>
      </c>
      <c r="G134" s="163" t="n">
        <v>0.003180297575970861</v>
      </c>
      <c r="H134" s="163" t="n">
        <v>0.0008291671023522127</v>
      </c>
      <c r="I134" s="163" t="n">
        <v>0.0006978641787270568</v>
      </c>
      <c r="J134" s="163" t="n">
        <v>0</v>
      </c>
      <c r="K134" s="163" t="n">
        <v>0.0001569701549046053</v>
      </c>
      <c r="L134" s="163" t="n">
        <v>0.001763010883816569</v>
      </c>
      <c r="M134" s="163" t="n">
        <v>0.0008278196989938851</v>
      </c>
      <c r="N134" s="163" t="n">
        <v>0.002720279749251089</v>
      </c>
      <c r="O134" s="163" t="n">
        <v>0.001044684057091228</v>
      </c>
      <c r="P134" s="163" t="n">
        <v>0.005886172964620656</v>
      </c>
      <c r="Q134" s="163" t="n">
        <v>-0.0004380887295067769</v>
      </c>
      <c r="R134" s="163" t="n">
        <v>0.0006222181070103755</v>
      </c>
      <c r="S134" s="163" t="n">
        <v>0.01008094425410434</v>
      </c>
      <c r="T134" s="163" t="n">
        <v>0</v>
      </c>
      <c r="U134" s="163" t="n">
        <v>0.0273713399973361</v>
      </c>
      <c r="V134" s="171">
        <f>C134-U134</f>
        <v/>
      </c>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64" t="inlineStr">
        <is>
          <t>2015-07</t>
        </is>
      </c>
      <c r="B135" s="163" t="n">
        <v>0.06407241895791049</v>
      </c>
      <c r="C135" s="163" t="n">
        <v>0.03456085958887683</v>
      </c>
      <c r="D135" s="163" t="n">
        <v>0.02951155936903366</v>
      </c>
      <c r="E135" s="170" t="n">
        <v>2732.035806451614</v>
      </c>
      <c r="F135" s="170" t="n">
        <v>2652.587260892971</v>
      </c>
      <c r="G135" s="163" t="n">
        <v>0.003180297575970861</v>
      </c>
      <c r="H135" s="163" t="n">
        <v>0.005639905755202256</v>
      </c>
      <c r="I135" s="163" t="n">
        <v>0.002292446707647721</v>
      </c>
      <c r="J135" s="163" t="n">
        <v>4.962956555269674e-05</v>
      </c>
      <c r="K135" s="163" t="n">
        <v>-7.351001540774101e-05</v>
      </c>
      <c r="L135" s="163" t="n">
        <v>0.004381949547400888</v>
      </c>
      <c r="M135" s="163" t="n">
        <v>1.051086121964554e-05</v>
      </c>
      <c r="N135" s="163" t="n">
        <v>0.002929731298438429</v>
      </c>
      <c r="O135" s="163" t="n">
        <v>0.0001856028848170979</v>
      </c>
      <c r="P135" s="163" t="n">
        <v>0.001728099204898816</v>
      </c>
      <c r="Q135" s="163" t="n">
        <v>0.0001785021954210105</v>
      </c>
      <c r="R135" s="163" t="n">
        <v>0.0003550831304405818</v>
      </c>
      <c r="S135" s="163" t="n">
        <v>0.01370261087727456</v>
      </c>
      <c r="T135" s="163" t="n">
        <v>0</v>
      </c>
      <c r="U135" s="163" t="n">
        <v>0.03456085958887683</v>
      </c>
      <c r="V135" s="171">
        <f>C135-U135</f>
        <v/>
      </c>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64" t="inlineStr">
        <is>
          <t>2015-08</t>
        </is>
      </c>
      <c r="B136" s="163" t="n">
        <v>0.09775226933140679</v>
      </c>
      <c r="C136" s="163" t="n">
        <v>0.05322271143023078</v>
      </c>
      <c r="D136" s="163" t="n">
        <v>0.04452955790117601</v>
      </c>
      <c r="E136" s="170" t="n">
        <v>3012.58741935484</v>
      </c>
      <c r="F136" s="170" t="n">
        <v>2881.381190922722</v>
      </c>
      <c r="G136" s="163" t="n">
        <v>0.003180297575970861</v>
      </c>
      <c r="H136" s="163" t="n">
        <v>0.007641858988832633</v>
      </c>
      <c r="I136" s="163" t="n">
        <v>0.002553713840625486</v>
      </c>
      <c r="J136" s="163" t="n">
        <v>0</v>
      </c>
      <c r="K136" s="163" t="n">
        <v>-3.945358822471487e-05</v>
      </c>
      <c r="L136" s="163" t="n">
        <v>0.004103252193369146</v>
      </c>
      <c r="M136" s="163" t="n">
        <v>0.003463581809342789</v>
      </c>
      <c r="N136" s="163" t="n">
        <v>0.00576398821579853</v>
      </c>
      <c r="O136" s="163" t="n">
        <v>0.0008135984824879975</v>
      </c>
      <c r="P136" s="163" t="n">
        <v>-0.002599303021767099</v>
      </c>
      <c r="Q136" s="163" t="n">
        <v>-0.0001474176135548412</v>
      </c>
      <c r="R136" s="163" t="n">
        <v>-0.0001332903544835134</v>
      </c>
      <c r="S136" s="163" t="n">
        <v>0.02862188490183351</v>
      </c>
      <c r="T136" s="163" t="n">
        <v>0</v>
      </c>
      <c r="U136" s="163" t="n">
        <v>0.05322271143023079</v>
      </c>
      <c r="V136" s="171">
        <f>C136-U136</f>
        <v/>
      </c>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64" t="inlineStr">
        <is>
          <t>2015-09</t>
        </is>
      </c>
      <c r="B137" s="163" t="n">
        <v>0.01770752673461118</v>
      </c>
      <c r="C137" s="163" t="n">
        <v>0.02360016699287848</v>
      </c>
      <c r="D137" s="163" t="n">
        <v>-0.005892640258267304</v>
      </c>
      <c r="E137" s="170" t="n">
        <v>3066.408000000003</v>
      </c>
      <c r="F137" s="170" t="n">
        <v>3084.530581716893</v>
      </c>
      <c r="G137" s="163" t="n">
        <v>0.003180297575970861</v>
      </c>
      <c r="H137" s="163" t="n">
        <v>-0.0003202708610962087</v>
      </c>
      <c r="I137" s="163" t="n">
        <v>0.004104290362274294</v>
      </c>
      <c r="J137" s="163" t="n">
        <v>4.962956555269674e-05</v>
      </c>
      <c r="K137" s="163" t="n">
        <v>0.0001363414294521843</v>
      </c>
      <c r="L137" s="163" t="n">
        <v>0.001912358213314551</v>
      </c>
      <c r="M137" s="163" t="n">
        <v>0.002595861933501993</v>
      </c>
      <c r="N137" s="163" t="n">
        <v>0.002566706616896425</v>
      </c>
      <c r="O137" s="163" t="n">
        <v>0.0008947589641954536</v>
      </c>
      <c r="P137" s="163" t="n">
        <v>0.002267512458550509</v>
      </c>
      <c r="Q137" s="163" t="n">
        <v>-7.363391546529833e-05</v>
      </c>
      <c r="R137" s="163" t="n">
        <v>-0.005416143175659127</v>
      </c>
      <c r="S137" s="163" t="n">
        <v>0.01170245782539015</v>
      </c>
      <c r="T137" s="163" t="n">
        <v>0</v>
      </c>
      <c r="U137" s="163" t="n">
        <v>0.02360016699287848</v>
      </c>
      <c r="V137" s="171">
        <f>C137-U137</f>
        <v/>
      </c>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64" t="inlineStr">
        <is>
          <t>2015-10</t>
        </is>
      </c>
      <c r="B138" s="163" t="n">
        <v>-0.04568455389883663</v>
      </c>
      <c r="C138" s="163" t="n">
        <v>-0.01236047483766547</v>
      </c>
      <c r="D138" s="163" t="n">
        <v>-0.03332407906117116</v>
      </c>
      <c r="E138" s="170" t="n">
        <v>2929.472258064516</v>
      </c>
      <c r="F138" s="170" t="n">
        <v>3028.739023881551</v>
      </c>
      <c r="G138" s="163" t="n">
        <v>0.003180297575970861</v>
      </c>
      <c r="H138" s="163" t="n">
        <v>0.00106902666082437</v>
      </c>
      <c r="I138" s="163" t="n">
        <v>0.002312241685199654</v>
      </c>
      <c r="J138" s="163" t="n">
        <v>-0.0001240739138817463</v>
      </c>
      <c r="K138" s="163" t="n">
        <v>-0.0001737334776425195</v>
      </c>
      <c r="L138" s="163" t="n">
        <v>-0.002073067152433274</v>
      </c>
      <c r="M138" s="163" t="n">
        <v>-0.004265580030049762</v>
      </c>
      <c r="N138" s="163" t="n">
        <v>-0.00141435304062546</v>
      </c>
      <c r="O138" s="163" t="n">
        <v>-0.0001451471955531949</v>
      </c>
      <c r="P138" s="163" t="n">
        <v>-0.003703342534195346</v>
      </c>
      <c r="Q138" s="163" t="n">
        <v>7.818595443127838e-05</v>
      </c>
      <c r="R138" s="163" t="n">
        <v>-0.004181487214116792</v>
      </c>
      <c r="S138" s="163" t="n">
        <v>-0.002919442155593544</v>
      </c>
      <c r="T138" s="163" t="n">
        <v>0</v>
      </c>
      <c r="U138" s="163" t="n">
        <v>-0.01236047483766547</v>
      </c>
      <c r="V138" s="171">
        <f>C138-U138</f>
        <v/>
      </c>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64" t="inlineStr">
        <is>
          <t>2015-11</t>
        </is>
      </c>
      <c r="B139" s="163" t="n">
        <v>0.02424867113505424</v>
      </c>
      <c r="C139" s="163" t="n">
        <v>0.01288067239457289</v>
      </c>
      <c r="D139" s="163" t="n">
        <v>0.01136799874048136</v>
      </c>
      <c r="E139" s="170" t="n">
        <v>3001.376333333332</v>
      </c>
      <c r="F139" s="170" t="n">
        <v>2967.449894177719</v>
      </c>
      <c r="G139" s="163" t="n">
        <v>0.003180297575970861</v>
      </c>
      <c r="H139" s="163" t="n">
        <v>0.001899033713314162</v>
      </c>
      <c r="I139" s="163" t="n">
        <v>0.000826920178152509</v>
      </c>
      <c r="J139" s="163" t="n">
        <v>-0.001215924356041092</v>
      </c>
      <c r="K139" s="163" t="n">
        <v>-2.607774450186232e-05</v>
      </c>
      <c r="L139" s="163" t="n">
        <v>0.003896571979540016</v>
      </c>
      <c r="M139" s="163" t="n">
        <v>-0.0004018390206538756</v>
      </c>
      <c r="N139" s="163" t="n">
        <v>-0.0003545133995078883</v>
      </c>
      <c r="O139" s="163" t="n">
        <v>-0.0006275372582003656</v>
      </c>
      <c r="P139" s="163" t="n">
        <v>-0.003559066275139807</v>
      </c>
      <c r="Q139" s="163" t="n">
        <v>0.0002978628494156281</v>
      </c>
      <c r="R139" s="163" t="n">
        <v>-0.001152729471111179</v>
      </c>
      <c r="S139" s="163" t="n">
        <v>0.01011767362333578</v>
      </c>
      <c r="T139" s="163" t="n">
        <v>0</v>
      </c>
      <c r="U139" s="163" t="n">
        <v>0.01288067239457289</v>
      </c>
      <c r="V139" s="171">
        <f>C139-U139</f>
        <v/>
      </c>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64" t="inlineStr">
        <is>
          <t>2015-12</t>
        </is>
      </c>
      <c r="B140" s="163" t="n">
        <v>0.07779832255937968</v>
      </c>
      <c r="C140" s="163" t="n">
        <v>0.03600049316818961</v>
      </c>
      <c r="D140" s="163" t="n">
        <v>0.04179782939119008</v>
      </c>
      <c r="E140" s="170" t="n">
        <v>3244.201612903228</v>
      </c>
      <c r="F140" s="170" t="n">
        <v>3111.395857910576</v>
      </c>
      <c r="G140" s="163" t="n">
        <v>0.003180297575970861</v>
      </c>
      <c r="H140" s="163" t="n">
        <v>0.006575227613267211</v>
      </c>
      <c r="I140" s="163" t="n">
        <v>0.00154833826086051</v>
      </c>
      <c r="J140" s="163" t="n">
        <v>-0.002357404363753144</v>
      </c>
      <c r="K140" s="163" t="n">
        <v>-0.0001354304187681636</v>
      </c>
      <c r="L140" s="163" t="n">
        <v>0.002353729593861978</v>
      </c>
      <c r="M140" s="163" t="n">
        <v>0.001214352481171689</v>
      </c>
      <c r="N140" s="163" t="n">
        <v>0.005703106001777565</v>
      </c>
      <c r="O140" s="163" t="n">
        <v>0.0004302672073560243</v>
      </c>
      <c r="P140" s="163" t="n">
        <v>0.008403918988999132</v>
      </c>
      <c r="Q140" s="163" t="n">
        <v>-0.0003656731892901231</v>
      </c>
      <c r="R140" s="163" t="n">
        <v>-0.0003943924754232199</v>
      </c>
      <c r="S140" s="163" t="n">
        <v>0.009844155892159288</v>
      </c>
      <c r="T140" s="163" t="n">
        <v>0</v>
      </c>
      <c r="U140" s="163" t="n">
        <v>0.03600049316818961</v>
      </c>
      <c r="V140" s="171">
        <f>C140-U140</f>
        <v/>
      </c>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64" t="inlineStr">
        <is>
          <t>2016-01</t>
        </is>
      </c>
      <c r="B141" s="163" t="n">
        <v>0.007980381681104376</v>
      </c>
      <c r="C141" s="163" t="n">
        <v>0.04653602850811994</v>
      </c>
      <c r="D141" s="163" t="n">
        <v>-0.03855564682701557</v>
      </c>
      <c r="E141" s="170" t="n">
        <v>3270.195161290325</v>
      </c>
      <c r="F141" s="170" t="n">
        <v>3398.741827180131</v>
      </c>
      <c r="G141" s="163" t="n">
        <v>0.003180297575970861</v>
      </c>
      <c r="H141" s="163" t="n">
        <v>0.009665780792784275</v>
      </c>
      <c r="I141" s="163" t="n">
        <v>0.001071273988895827</v>
      </c>
      <c r="J141" s="163" t="n">
        <v>-0.001209520541131072</v>
      </c>
      <c r="K141" s="163" t="n">
        <v>-2.605993262739199e-05</v>
      </c>
      <c r="L141" s="163" t="n">
        <v>0.005185924598555364</v>
      </c>
      <c r="M141" s="163" t="n">
        <v>0.003139446578654828</v>
      </c>
      <c r="N141" s="163" t="n">
        <v>0.009179055662741801</v>
      </c>
      <c r="O141" s="163" t="n">
        <v>0.0001674825748872022</v>
      </c>
      <c r="P141" s="163" t="n">
        <v>-0.004855332032214143</v>
      </c>
      <c r="Q141" s="163" t="n">
        <v>8.048665280361862e-05</v>
      </c>
      <c r="R141" s="163" t="n">
        <v>7.132498824954482e-05</v>
      </c>
      <c r="S141" s="163" t="n">
        <v>0.02088586760054922</v>
      </c>
      <c r="T141" s="163" t="n">
        <v>0</v>
      </c>
      <c r="U141" s="163" t="n">
        <v>0.04653602850811994</v>
      </c>
      <c r="V141" s="171">
        <f>C141-U141</f>
        <v/>
      </c>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64" t="inlineStr">
        <is>
          <t>2016-02</t>
        </is>
      </c>
      <c r="B142" s="163" t="n">
        <v>0.02558925733552542</v>
      </c>
      <c r="C142" s="163" t="n">
        <v>0.003352028528471009</v>
      </c>
      <c r="D142" s="163" t="n">
        <v>0.02223722880705441</v>
      </c>
      <c r="E142" s="170" t="n">
        <v>3354.956896551723</v>
      </c>
      <c r="F142" s="170" t="n">
        <v>3281.175341421971</v>
      </c>
      <c r="G142" s="163" t="n">
        <v>0.003180297575970861</v>
      </c>
      <c r="H142" s="163" t="n">
        <v>-0.008031141896358269</v>
      </c>
      <c r="I142" s="163" t="n">
        <v>0.001217956148689415</v>
      </c>
      <c r="J142" s="163" t="n">
        <v>-0.0003041812082262134</v>
      </c>
      <c r="K142" s="163" t="n">
        <v>-7.344435713327349e-05</v>
      </c>
      <c r="L142" s="163" t="n">
        <v>-0.002004381508268307</v>
      </c>
      <c r="M142" s="163" t="n">
        <v>-0.0005943751789678702</v>
      </c>
      <c r="N142" s="163" t="n">
        <v>0.004404403424783909</v>
      </c>
      <c r="O142" s="163" t="n">
        <v>-1.998230945840837e-05</v>
      </c>
      <c r="P142" s="163" t="n">
        <v>0.004345756023772456</v>
      </c>
      <c r="Q142" s="163" t="n">
        <v>4.46291384473006e-05</v>
      </c>
      <c r="R142" s="163" t="n">
        <v>-0.001256908528941652</v>
      </c>
      <c r="S142" s="163" t="n">
        <v>0.00244340120416106</v>
      </c>
      <c r="T142" s="163" t="n">
        <v>0</v>
      </c>
      <c r="U142" s="163" t="n">
        <v>0.003352028528471011</v>
      </c>
      <c r="V142" s="171">
        <f>C142-U142</f>
        <v/>
      </c>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64" t="inlineStr">
        <is>
          <t>2016-03</t>
        </is>
      </c>
      <c r="B143" s="163" t="n">
        <v>-0.06979288377736026</v>
      </c>
      <c r="C143" s="163" t="n">
        <v>-0.06070264667617236</v>
      </c>
      <c r="D143" s="163" t="n">
        <v>-0.009090237101187899</v>
      </c>
      <c r="E143" s="170" t="n">
        <v>3128.789032258063</v>
      </c>
      <c r="F143" s="170" t="n">
        <v>3157.360128679964</v>
      </c>
      <c r="G143" s="163" t="n">
        <v>0.003180297575970861</v>
      </c>
      <c r="H143" s="163" t="n">
        <v>-0.008841340942932737</v>
      </c>
      <c r="I143" s="163" t="n">
        <v>0.001780532600487271</v>
      </c>
      <c r="J143" s="163" t="n">
        <v>-0.001384493742487326</v>
      </c>
      <c r="K143" s="163" t="n">
        <v>-0.0002267068243881214</v>
      </c>
      <c r="L143" s="163" t="n">
        <v>-0.005099466064418042</v>
      </c>
      <c r="M143" s="163" t="n">
        <v>-0.004016992453202314</v>
      </c>
      <c r="N143" s="163" t="n">
        <v>-0.01434165503190304</v>
      </c>
      <c r="O143" s="163" t="n">
        <v>-0.0007223453024938742</v>
      </c>
      <c r="P143" s="163" t="n">
        <v>0.0004714570631018019</v>
      </c>
      <c r="Q143" s="163" t="n">
        <v>1.158128230333823e-05</v>
      </c>
      <c r="R143" s="163" t="n">
        <v>-0.0009072147532428596</v>
      </c>
      <c r="S143" s="163" t="n">
        <v>-0.03060630008296732</v>
      </c>
      <c r="T143" s="163" t="n">
        <v>0</v>
      </c>
      <c r="U143" s="163" t="n">
        <v>-0.06070264667617236</v>
      </c>
      <c r="V143" s="171">
        <f>C143-U143</f>
        <v/>
      </c>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64" t="inlineStr">
        <is>
          <t>2016-04</t>
        </is>
      </c>
      <c r="B144" s="163" t="n">
        <v>-0.04279170421119716</v>
      </c>
      <c r="C144" s="163" t="n">
        <v>-0.03201075585502693</v>
      </c>
      <c r="D144" s="163" t="n">
        <v>-0.01078094835617023</v>
      </c>
      <c r="E144" s="170" t="n">
        <v>2997.727000000002</v>
      </c>
      <c r="F144" s="170" t="n">
        <v>3030.220178894914</v>
      </c>
      <c r="G144" s="163" t="n">
        <v>0.003180297575970861</v>
      </c>
      <c r="H144" s="163" t="n">
        <v>-0.001938242227230051</v>
      </c>
      <c r="I144" s="163" t="n">
        <v>-0.0004163366445668599</v>
      </c>
      <c r="J144" s="163" t="n">
        <v>-0.001397963835918762</v>
      </c>
      <c r="K144" s="163" t="n">
        <v>0.0001212471739474613</v>
      </c>
      <c r="L144" s="163" t="n">
        <v>-0.004083146087154121</v>
      </c>
      <c r="M144" s="163" t="n">
        <v>-0.001176176714698237</v>
      </c>
      <c r="N144" s="163" t="n">
        <v>-0.003845844507777633</v>
      </c>
      <c r="O144" s="163" t="n">
        <v>-0.002344722248782087</v>
      </c>
      <c r="P144" s="163" t="n">
        <v>-0.005120408140606946</v>
      </c>
      <c r="Q144" s="163" t="n">
        <v>0.0003081521940054847</v>
      </c>
      <c r="R144" s="163" t="n">
        <v>0.004483268439645259</v>
      </c>
      <c r="S144" s="163" t="n">
        <v>-0.01978088083186129</v>
      </c>
      <c r="T144" s="163" t="n">
        <v>0</v>
      </c>
      <c r="U144" s="163" t="n">
        <v>-0.03201075585502693</v>
      </c>
      <c r="V144" s="171">
        <f>C144-U144</f>
        <v/>
      </c>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64" t="inlineStr">
        <is>
          <t>2016-05</t>
        </is>
      </c>
      <c r="B145" s="163" t="n">
        <v>-0.001408261678220057</v>
      </c>
      <c r="C145" s="163" t="n">
        <v>0.0144924267928087</v>
      </c>
      <c r="D145" s="163" t="n">
        <v>-0.01590068847102876</v>
      </c>
      <c r="E145" s="170" t="n">
        <v>2993.508387096776</v>
      </c>
      <c r="F145" s="170" t="n">
        <v>3041.487672342419</v>
      </c>
      <c r="G145" s="163" t="n">
        <v>0.003180297575970861</v>
      </c>
      <c r="H145" s="163" t="n">
        <v>-0.005719534741809622</v>
      </c>
      <c r="I145" s="163" t="n">
        <v>0.0009248301842125482</v>
      </c>
      <c r="J145" s="163" t="n">
        <v>-0.0007908711413881513</v>
      </c>
      <c r="K145" s="163" t="n">
        <v>-0.0002369114646620789</v>
      </c>
      <c r="L145" s="163" t="n">
        <v>0.002453056846720233</v>
      </c>
      <c r="M145" s="163" t="n">
        <v>0.0004335411848490656</v>
      </c>
      <c r="N145" s="163" t="n">
        <v>0.0007552837665925074</v>
      </c>
      <c r="O145" s="163" t="n">
        <v>-0.0004224744366012711</v>
      </c>
      <c r="P145" s="163" t="n">
        <v>0.004461035662671724</v>
      </c>
      <c r="Q145" s="163" t="n">
        <v>-0.0002665964786144062</v>
      </c>
      <c r="R145" s="163" t="n">
        <v>7.322492225289619e-05</v>
      </c>
      <c r="S145" s="163" t="n">
        <v>0.009647544912614395</v>
      </c>
      <c r="T145" s="163" t="n">
        <v>0</v>
      </c>
      <c r="U145" s="163" t="n">
        <v>0.0144924267928087</v>
      </c>
      <c r="V145" s="171">
        <f>C145-U145</f>
        <v/>
      </c>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64" t="inlineStr">
        <is>
          <t>2016-06</t>
        </is>
      </c>
      <c r="B146" s="163" t="n">
        <v>-0.0002170666873002602</v>
      </c>
      <c r="C146" s="163" t="n">
        <v>0.004686873818894509</v>
      </c>
      <c r="D146" s="163" t="n">
        <v>-0.004903940506194769</v>
      </c>
      <c r="E146" s="170" t="n">
        <v>2992.858666666666</v>
      </c>
      <c r="F146" s="170" t="n">
        <v>3007.571513488885</v>
      </c>
      <c r="G146" s="163" t="n">
        <v>0.003180297575970861</v>
      </c>
      <c r="H146" s="163" t="n">
        <v>-0.001944527628132431</v>
      </c>
      <c r="I146" s="163" t="n">
        <v>0.00138042748339525</v>
      </c>
      <c r="J146" s="163" t="n">
        <v>-0.002441454434447232</v>
      </c>
      <c r="K146" s="163" t="n">
        <v>-5.024270686006086e-05</v>
      </c>
      <c r="L146" s="163" t="n">
        <v>0.0009087987441280163</v>
      </c>
      <c r="M146" s="163" t="n">
        <v>0.00205420679689323</v>
      </c>
      <c r="N146" s="163" t="n">
        <v>-0.001787369227164035</v>
      </c>
      <c r="O146" s="163" t="n">
        <v>-0.001483437571711273</v>
      </c>
      <c r="P146" s="163" t="n">
        <v>0.008026465593605548</v>
      </c>
      <c r="Q146" s="163" t="n">
        <v>-0.0001612625465494864</v>
      </c>
      <c r="R146" s="163" t="n">
        <v>0.0007849181410378252</v>
      </c>
      <c r="S146" s="163" t="n">
        <v>-0.003779946401271704</v>
      </c>
      <c r="T146" s="163" t="n">
        <v>0</v>
      </c>
      <c r="U146" s="163" t="n">
        <v>0.004686873818894509</v>
      </c>
      <c r="V146" s="171">
        <f>C146-U146</f>
        <v/>
      </c>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64" t="inlineStr">
        <is>
          <t>2016-07</t>
        </is>
      </c>
      <c r="B147" s="163" t="n">
        <v>-0.01070206628516424</v>
      </c>
      <c r="C147" s="163" t="n">
        <v>-0.01903099374025239</v>
      </c>
      <c r="D147" s="163" t="n">
        <v>0.008328927455088158</v>
      </c>
      <c r="E147" s="170" t="n">
        <v>2960.999677419356</v>
      </c>
      <c r="F147" s="170" t="n">
        <v>2936.440145169322</v>
      </c>
      <c r="G147" s="163" t="n">
        <v>0.003180297575970861</v>
      </c>
      <c r="H147" s="163" t="n">
        <v>0.003010787763307427</v>
      </c>
      <c r="I147" s="163" t="n">
        <v>0.0001416293026984273</v>
      </c>
      <c r="J147" s="163" t="n">
        <v>-0.001561997186803724</v>
      </c>
      <c r="K147" s="163" t="n">
        <v>3.39243627604169e-05</v>
      </c>
      <c r="L147" s="163" t="n">
        <v>0.001977982810306263</v>
      </c>
      <c r="M147" s="163" t="n">
        <v>-0.003439779192439599</v>
      </c>
      <c r="N147" s="163" t="n">
        <v>-0.005293647369478556</v>
      </c>
      <c r="O147" s="163" t="n">
        <v>0.003151452577948429</v>
      </c>
      <c r="P147" s="163" t="n">
        <v>-0.007565052515983284</v>
      </c>
      <c r="Q147" s="163" t="n">
        <v>-0.0001862240487745364</v>
      </c>
      <c r="R147" s="163" t="n">
        <v>0.001060089548505396</v>
      </c>
      <c r="S147" s="163" t="n">
        <v>-0.01354045736826991</v>
      </c>
      <c r="T147" s="163" t="n">
        <v>0</v>
      </c>
      <c r="U147" s="163" t="n">
        <v>-0.01903099374025239</v>
      </c>
      <c r="V147" s="171">
        <f>C147-U147</f>
        <v/>
      </c>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64" t="inlineStr">
        <is>
          <t>2016-08</t>
        </is>
      </c>
      <c r="B148" s="163" t="n">
        <v>-0.00278431981104621</v>
      </c>
      <c r="C148" s="163" t="n">
        <v>-0.001912955809793937</v>
      </c>
      <c r="D148" s="163" t="n">
        <v>-0.0008713640012522727</v>
      </c>
      <c r="E148" s="170" t="n">
        <v>2952.766774193547</v>
      </c>
      <c r="F148" s="170" t="n">
        <v>2955.340830171664</v>
      </c>
      <c r="G148" s="163" t="n">
        <v>0.003180297575970861</v>
      </c>
      <c r="H148" s="163" t="n">
        <v>-0.001448728231938287</v>
      </c>
      <c r="I148" s="163" t="n">
        <v>-0.001149012663168714</v>
      </c>
      <c r="J148" s="163" t="n">
        <v>-0.0008602458029134308</v>
      </c>
      <c r="K148" s="163" t="n">
        <v>-0.0002945336284061327</v>
      </c>
      <c r="L148" s="163" t="n">
        <v>-0.002240564848034297</v>
      </c>
      <c r="M148" s="163" t="n">
        <v>-0.0006795666933939674</v>
      </c>
      <c r="N148" s="163" t="n">
        <v>-0.002680587248725263</v>
      </c>
      <c r="O148" s="163" t="n">
        <v>-0.0004125455917874848</v>
      </c>
      <c r="P148" s="163" t="n">
        <v>0.005063636425023168</v>
      </c>
      <c r="Q148" s="163" t="n">
        <v>0.0002504929844638053</v>
      </c>
      <c r="R148" s="163" t="n">
        <v>-0.0002864106860259451</v>
      </c>
      <c r="S148" s="163" t="n">
        <v>-0.0003551874008582506</v>
      </c>
      <c r="T148" s="163" t="n">
        <v>0</v>
      </c>
      <c r="U148" s="163" t="n">
        <v>-0.001912955809793938</v>
      </c>
      <c r="V148" s="171">
        <f>C148-U148</f>
        <v/>
      </c>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64" t="inlineStr">
        <is>
          <t>2016-09</t>
        </is>
      </c>
      <c r="B149" s="163" t="n">
        <v>-0.009699339320595968</v>
      </c>
      <c r="C149" s="163" t="n">
        <v>0.008072420212786426</v>
      </c>
      <c r="D149" s="163" t="n">
        <v>-0.01777175953338239</v>
      </c>
      <c r="E149" s="170" t="n">
        <v>2924.265333333333</v>
      </c>
      <c r="F149" s="170" t="n">
        <v>2976.699214782844</v>
      </c>
      <c r="G149" s="163" t="n">
        <v>0.003180297575970861</v>
      </c>
      <c r="H149" s="163" t="n">
        <v>-0.0004697973431971522</v>
      </c>
      <c r="I149" s="163" t="n">
        <v>-0.000961666346277531</v>
      </c>
      <c r="J149" s="163" t="n">
        <v>-0.001191109573264744</v>
      </c>
      <c r="K149" s="163" t="n">
        <v>-0.000209291729941703</v>
      </c>
      <c r="L149" s="163" t="n">
        <v>0.001895935647749372</v>
      </c>
      <c r="M149" s="163" t="n">
        <v>0.001566658368820536</v>
      </c>
      <c r="N149" s="163" t="n">
        <v>-0.0004574854316786605</v>
      </c>
      <c r="O149" s="163" t="n">
        <v>0.0003410527582775047</v>
      </c>
      <c r="P149" s="163" t="n">
        <v>-0.008689444178487424</v>
      </c>
      <c r="Q149" s="163" t="n">
        <v>3.598731162776506e-05</v>
      </c>
      <c r="R149" s="163" t="n">
        <v>0.0008616350709885491</v>
      </c>
      <c r="S149" s="163" t="n">
        <v>0.01216964808219905</v>
      </c>
      <c r="T149" s="163" t="n">
        <v>0</v>
      </c>
      <c r="U149" s="163" t="n">
        <v>0.008072420212786428</v>
      </c>
      <c r="V149" s="171">
        <f>C149-U149</f>
        <v/>
      </c>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64" t="inlineStr">
        <is>
          <t>2016-10</t>
        </is>
      </c>
      <c r="B150" s="163" t="n">
        <v>0.001750488708317732</v>
      </c>
      <c r="C150" s="163" t="n">
        <v>0.001235825209019065</v>
      </c>
      <c r="D150" s="163" t="n">
        <v>0.0005146634992986678</v>
      </c>
      <c r="E150" s="170" t="n">
        <v>2929.388709677419</v>
      </c>
      <c r="F150" s="170" t="n">
        <v>2927.88144813281</v>
      </c>
      <c r="G150" s="163" t="n">
        <v>0.003180297575970861</v>
      </c>
      <c r="H150" s="163" t="n">
        <v>-0.003992023875708095</v>
      </c>
      <c r="I150" s="163" t="n">
        <v>-0.000763423006465765</v>
      </c>
      <c r="J150" s="163" t="n">
        <v>0</v>
      </c>
      <c r="K150" s="163" t="n">
        <v>-0.0001138988732468484</v>
      </c>
      <c r="L150" s="163" t="n">
        <v>0.002476273715035242</v>
      </c>
      <c r="M150" s="163" t="n">
        <v>0.0002904884553551175</v>
      </c>
      <c r="N150" s="163" t="n">
        <v>-0.0003870783046818943</v>
      </c>
      <c r="O150" s="163" t="n">
        <v>-0.0004337037482736896</v>
      </c>
      <c r="P150" s="163" t="n">
        <v>0.004002779021292519</v>
      </c>
      <c r="Q150" s="163" t="n">
        <v>-9.333965156350231e-05</v>
      </c>
      <c r="R150" s="163" t="n">
        <v>0.003143014723595391</v>
      </c>
      <c r="S150" s="163" t="n">
        <v>-0.006073560822290272</v>
      </c>
      <c r="T150" s="163" t="n">
        <v>0</v>
      </c>
      <c r="U150" s="163" t="n">
        <v>0.001235825209019065</v>
      </c>
      <c r="V150" s="171">
        <f>C150-U150</f>
        <v/>
      </c>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64" t="inlineStr">
        <is>
          <t>2016-11</t>
        </is>
      </c>
      <c r="B151" s="163" t="n">
        <v>0.05991212554114522</v>
      </c>
      <c r="C151" s="163" t="n">
        <v>0.03810872254087957</v>
      </c>
      <c r="D151" s="163" t="n">
        <v>0.02180340300026565</v>
      </c>
      <c r="E151" s="170" t="n">
        <v>3110.258666666669</v>
      </c>
      <c r="F151" s="170" t="n">
        <v>3043.178390085063</v>
      </c>
      <c r="G151" s="163" t="n">
        <v>0.003180297575970861</v>
      </c>
      <c r="H151" s="163" t="n">
        <v>0.002120664393668335</v>
      </c>
      <c r="I151" s="163" t="n">
        <v>0.0006680144296115077</v>
      </c>
      <c r="J151" s="163" t="n">
        <v>0</v>
      </c>
      <c r="K151" s="163" t="n">
        <v>-8.141560204789536e-05</v>
      </c>
      <c r="L151" s="163" t="n">
        <v>0.005538071465180007</v>
      </c>
      <c r="M151" s="163" t="n">
        <v>0.0004994795037126618</v>
      </c>
      <c r="N151" s="163" t="n">
        <v>0.003860791541822417</v>
      </c>
      <c r="O151" s="163" t="n">
        <v>0.0008719880213572557</v>
      </c>
      <c r="P151" s="163" t="n">
        <v>0.006478113401345038</v>
      </c>
      <c r="Q151" s="163" t="n">
        <v>-0.0002220622957992221</v>
      </c>
      <c r="R151" s="163" t="n">
        <v>-0.0003189288639565653</v>
      </c>
      <c r="S151" s="163" t="n">
        <v>0.01551370897001517</v>
      </c>
      <c r="T151" s="163" t="n">
        <v>0</v>
      </c>
      <c r="U151" s="163" t="n">
        <v>0.03810872254087957</v>
      </c>
      <c r="V151" s="171">
        <f>C151-U151</f>
        <v/>
      </c>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64" t="inlineStr">
        <is>
          <t>2016-12</t>
        </is>
      </c>
      <c r="B152" s="163" t="n">
        <v>-0.03281104314816297</v>
      </c>
      <c r="C152" s="163" t="n">
        <v>-0.0009919094319855439</v>
      </c>
      <c r="D152" s="163" t="n">
        <v>-0.03181913371617742</v>
      </c>
      <c r="E152" s="170" t="n">
        <v>3009.863870967741</v>
      </c>
      <c r="F152" s="170" t="n">
        <v>3107.175101320888</v>
      </c>
      <c r="G152" s="163" t="n">
        <v>0.003180297575970861</v>
      </c>
      <c r="H152" s="163" t="n">
        <v>-0.005246252710036678</v>
      </c>
      <c r="I152" s="163" t="n">
        <v>0.001555312152996895</v>
      </c>
      <c r="J152" s="163" t="n">
        <v>4.962956555269674e-05</v>
      </c>
      <c r="K152" s="163" t="n">
        <v>-0.0001809853906840841</v>
      </c>
      <c r="L152" s="163" t="n">
        <v>0.003708943414101727</v>
      </c>
      <c r="M152" s="163" t="n">
        <v>-0.00228964640953787</v>
      </c>
      <c r="N152" s="163" t="n">
        <v>-0.004126491563583036</v>
      </c>
      <c r="O152" s="163" t="n">
        <v>0.001404534418021719</v>
      </c>
      <c r="P152" s="163" t="n">
        <v>0.0002236577792019642</v>
      </c>
      <c r="Q152" s="163" t="n">
        <v>-8.347634095303894e-05</v>
      </c>
      <c r="R152" s="163" t="n">
        <v>-0.0008567906630690318</v>
      </c>
      <c r="S152" s="163" t="n">
        <v>0.00166935874003233</v>
      </c>
      <c r="T152" s="163" t="n">
        <v>0</v>
      </c>
      <c r="U152" s="163" t="n">
        <v>-0.0009919094319855435</v>
      </c>
      <c r="V152" s="171">
        <f>C152-U152</f>
        <v/>
      </c>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64" t="inlineStr">
        <is>
          <t>2017-01</t>
        </is>
      </c>
      <c r="B153" s="163" t="n">
        <v>-0.02300941300008041</v>
      </c>
      <c r="C153" s="163" t="n">
        <v>-0.01948484463062812</v>
      </c>
      <c r="D153" s="163" t="n">
        <v>-0.003524568369452297</v>
      </c>
      <c r="E153" s="170" t="n">
        <v>2941.399354838711</v>
      </c>
      <c r="F153" s="170" t="n">
        <v>2951.78480933774</v>
      </c>
      <c r="G153" s="163" t="n">
        <v>0.003180297575970861</v>
      </c>
      <c r="H153" s="163" t="n">
        <v>-0.004806780600432503</v>
      </c>
      <c r="I153" s="163" t="n">
        <v>-0.0005874540277658307</v>
      </c>
      <c r="J153" s="163" t="n">
        <v>0.001165494313624643</v>
      </c>
      <c r="K153" s="163" t="n">
        <v>0.0005382048334129018</v>
      </c>
      <c r="L153" s="163" t="n">
        <v>-0.0002439171682724183</v>
      </c>
      <c r="M153" s="163" t="n">
        <v>-0.0008210996025406027</v>
      </c>
      <c r="N153" s="163" t="n">
        <v>-0.002782079057933572</v>
      </c>
      <c r="O153" s="163" t="n">
        <v>0.0004253160856954325</v>
      </c>
      <c r="P153" s="163" t="n">
        <v>-0.01007266354790978</v>
      </c>
      <c r="Q153" s="163" t="n">
        <v>0.0003434646824212633</v>
      </c>
      <c r="R153" s="163" t="n">
        <v>0.001835190614397691</v>
      </c>
      <c r="S153" s="163" t="n">
        <v>-0.007658818731296198</v>
      </c>
      <c r="T153" s="163" t="n">
        <v>0</v>
      </c>
      <c r="U153" s="163" t="n">
        <v>-0.01948484463062811</v>
      </c>
      <c r="V153" s="171">
        <f>C153-U153</f>
        <v/>
      </c>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64" t="inlineStr">
        <is>
          <t>2017-02</t>
        </is>
      </c>
      <c r="B154" s="163" t="n">
        <v>-0.02124557793948068</v>
      </c>
      <c r="C154" s="163" t="n">
        <v>-0.024779244634653</v>
      </c>
      <c r="D154" s="163" t="n">
        <v>0.003533666695172327</v>
      </c>
      <c r="E154" s="170" t="n">
        <v>2879.566785714286</v>
      </c>
      <c r="F154" s="170" t="n">
        <v>2869.409313597072</v>
      </c>
      <c r="G154" s="163" t="n">
        <v>0.003180297575970861</v>
      </c>
      <c r="H154" s="163" t="n">
        <v>0.0008411359206172918</v>
      </c>
      <c r="I154" s="163" t="n">
        <v>0.0005313937518671911</v>
      </c>
      <c r="J154" s="163" t="n">
        <v>0.00126635439845755</v>
      </c>
      <c r="K154" s="163" t="n">
        <v>3.875695913005973e-05</v>
      </c>
      <c r="L154" s="163" t="n">
        <v>-0.003438254810195083</v>
      </c>
      <c r="M154" s="163" t="n">
        <v>-7.709612023613499e-05</v>
      </c>
      <c r="N154" s="163" t="n">
        <v>-0.002088113527560759</v>
      </c>
      <c r="O154" s="163" t="n">
        <v>-0.001924935336408305</v>
      </c>
      <c r="P154" s="163" t="n">
        <v>0.0005466736480712482</v>
      </c>
      <c r="Q154" s="163" t="n">
        <v>0.0002675316612190937</v>
      </c>
      <c r="R154" s="163" t="n">
        <v>0.0003629717426447682</v>
      </c>
      <c r="S154" s="163" t="n">
        <v>-0.02428596049823079</v>
      </c>
      <c r="T154" s="163" t="n">
        <v>0</v>
      </c>
      <c r="U154" s="163" t="n">
        <v>-0.024779244634653</v>
      </c>
      <c r="V154" s="171">
        <f>C154-U154</f>
        <v/>
      </c>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64" t="inlineStr">
        <is>
          <t>2017-03</t>
        </is>
      </c>
      <c r="B155" s="163" t="n">
        <v>0.02154701288283167</v>
      </c>
      <c r="C155" s="163" t="n">
        <v>0.007920119263456061</v>
      </c>
      <c r="D155" s="163" t="n">
        <v>0.01362689361937561</v>
      </c>
      <c r="E155" s="170" t="n">
        <v>2942.286129032259</v>
      </c>
      <c r="F155" s="170" t="n">
        <v>2902.46385214165</v>
      </c>
      <c r="G155" s="163" t="n">
        <v>0.003180297575970861</v>
      </c>
      <c r="H155" s="163" t="n">
        <v>0.002747542552225859</v>
      </c>
      <c r="I155" s="163" t="n">
        <v>-0.001146316330658429</v>
      </c>
      <c r="J155" s="163" t="n">
        <v>0.0001382537897539447</v>
      </c>
      <c r="K155" s="163" t="n">
        <v>-7.336105303435773e-05</v>
      </c>
      <c r="L155" s="163" t="n">
        <v>-0.0009678608196868792</v>
      </c>
      <c r="M155" s="163" t="n">
        <v>0.0003587091041820206</v>
      </c>
      <c r="N155" s="163" t="n">
        <v>-0.0006946412843339375</v>
      </c>
      <c r="O155" s="163" t="n">
        <v>-2.493826168096108e-05</v>
      </c>
      <c r="P155" s="163" t="n">
        <v>0.007280420270968259</v>
      </c>
      <c r="Q155" s="163" t="n">
        <v>-0.000299639542508864</v>
      </c>
      <c r="R155" s="163" t="n">
        <v>0.0003667936574967016</v>
      </c>
      <c r="S155" s="163" t="n">
        <v>-0.002945140395238159</v>
      </c>
      <c r="T155" s="163" t="n">
        <v>0</v>
      </c>
      <c r="U155" s="163" t="n">
        <v>0.007920119263456061</v>
      </c>
      <c r="V155" s="171">
        <f>C155-U155</f>
        <v/>
      </c>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64" t="inlineStr">
        <is>
          <t>2017-04</t>
        </is>
      </c>
      <c r="B156" s="163" t="n">
        <v>-0.02215323187100537</v>
      </c>
      <c r="C156" s="163" t="n">
        <v>-0.001911772760559433</v>
      </c>
      <c r="D156" s="163" t="n">
        <v>-0.02024145911044594</v>
      </c>
      <c r="E156" s="170" t="n">
        <v>2877.821666666668</v>
      </c>
      <c r="F156" s="170" t="n">
        <v>2936.666519976343</v>
      </c>
      <c r="G156" s="163" t="n">
        <v>0.003180297575970861</v>
      </c>
      <c r="H156" s="163" t="n">
        <v>-0.000382879022930036</v>
      </c>
      <c r="I156" s="163" t="n">
        <v>0.001255099299658899</v>
      </c>
      <c r="J156" s="163" t="n">
        <v>0.001997418482739564</v>
      </c>
      <c r="K156" s="163" t="n">
        <v>-8.185178271594112e-05</v>
      </c>
      <c r="L156" s="163" t="n">
        <v>-0.001856895774759772</v>
      </c>
      <c r="M156" s="163" t="n">
        <v>0.001132771414010289</v>
      </c>
      <c r="N156" s="163" t="n">
        <v>0.0002757751915333209</v>
      </c>
      <c r="O156" s="163" t="n">
        <v>0.0003370017844840891</v>
      </c>
      <c r="P156" s="163" t="n">
        <v>-0.002324578116447622</v>
      </c>
      <c r="Q156" s="163" t="n">
        <v>-5.133052871755511e-05</v>
      </c>
      <c r="R156" s="163" t="n">
        <v>0.002446190830235069</v>
      </c>
      <c r="S156" s="163" t="n">
        <v>-0.0078387921136206</v>
      </c>
      <c r="T156" s="163" t="n">
        <v>0</v>
      </c>
      <c r="U156" s="163" t="n">
        <v>-0.001911772760559433</v>
      </c>
      <c r="V156" s="171">
        <f>C156-U156</f>
        <v/>
      </c>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64" t="inlineStr">
        <is>
          <t>2017-05</t>
        </is>
      </c>
      <c r="B157" s="163" t="n">
        <v>0.01578650486781186</v>
      </c>
      <c r="C157" s="163" t="n">
        <v>0.01537894122817763</v>
      </c>
      <c r="D157" s="163" t="n">
        <v>0.0004075636396342255</v>
      </c>
      <c r="E157" s="170" t="n">
        <v>2923.612903225806</v>
      </c>
      <c r="F157" s="170" t="n">
        <v>2922.421587695022</v>
      </c>
      <c r="G157" s="163" t="n">
        <v>0.003180297575970861</v>
      </c>
      <c r="H157" s="163" t="n">
        <v>0.000945357810745589</v>
      </c>
      <c r="I157" s="163" t="n">
        <v>3.65589511643847e-05</v>
      </c>
      <c r="J157" s="163" t="n">
        <v>0.001586545143958826</v>
      </c>
      <c r="K157" s="163" t="n">
        <v>0.0001692483697860286</v>
      </c>
      <c r="L157" s="163" t="n">
        <v>-0.001076716847635879</v>
      </c>
      <c r="M157" s="163" t="n">
        <v>-0.002174431908987406</v>
      </c>
      <c r="N157" s="163" t="n">
        <v>-0.0003649747144012423</v>
      </c>
      <c r="O157" s="163" t="n">
        <v>-2.5527866871868e-05</v>
      </c>
      <c r="P157" s="163" t="n">
        <v>0.004771722358334477</v>
      </c>
      <c r="Q157" s="163" t="n">
        <v>-7.766496658648549e-05</v>
      </c>
      <c r="R157" s="163" t="n">
        <v>0.0006572817448681831</v>
      </c>
      <c r="S157" s="163" t="n">
        <v>0.007751245577832162</v>
      </c>
      <c r="T157" s="163" t="n">
        <v>0</v>
      </c>
      <c r="U157" s="163" t="n">
        <v>0.01537894122817763</v>
      </c>
      <c r="V157" s="171">
        <f>C157-U157</f>
        <v/>
      </c>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64" t="inlineStr">
        <is>
          <t>2017-06</t>
        </is>
      </c>
      <c r="B158" s="163" t="n">
        <v>0.01138834765591223</v>
      </c>
      <c r="C158" s="163" t="n">
        <v>-0.005893293086069348</v>
      </c>
      <c r="D158" s="163" t="n">
        <v>0.01728164074198158</v>
      </c>
      <c r="E158" s="170" t="n">
        <v>2957.098333333333</v>
      </c>
      <c r="F158" s="170" t="n">
        <v>2906.433865788421</v>
      </c>
      <c r="G158" s="163" t="n">
        <v>0.003180297575970861</v>
      </c>
      <c r="H158" s="163" t="n">
        <v>0.001075287742033699</v>
      </c>
      <c r="I158" s="163" t="n">
        <v>0.001266861330281421</v>
      </c>
      <c r="J158" s="163" t="n">
        <v>0.002531107843187587</v>
      </c>
      <c r="K158" s="163" t="n">
        <v>-2.848999302709893e-05</v>
      </c>
      <c r="L158" s="163" t="n">
        <v>-0.003188311288137161</v>
      </c>
      <c r="M158" s="163" t="n">
        <v>-0.0003731766889369609</v>
      </c>
      <c r="N158" s="163" t="n">
        <v>0.0003074680523098839</v>
      </c>
      <c r="O158" s="163" t="n">
        <v>-0.001353111881002125</v>
      </c>
      <c r="P158" s="163" t="n">
        <v>-0.002283337319135692</v>
      </c>
      <c r="Q158" s="163" t="n">
        <v>0.0001112480932320435</v>
      </c>
      <c r="R158" s="163" t="n">
        <v>-0.00149443952322463</v>
      </c>
      <c r="S158" s="163" t="n">
        <v>-0.005644697029621174</v>
      </c>
      <c r="T158" s="163" t="n">
        <v>0</v>
      </c>
      <c r="U158" s="163" t="n">
        <v>-0.005893293086069347</v>
      </c>
      <c r="V158" s="171">
        <f>C158-U158</f>
        <v/>
      </c>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64" t="inlineStr">
        <is>
          <t>2017-07</t>
        </is>
      </c>
      <c r="B159" s="163" t="n">
        <v>0.02652466216663196</v>
      </c>
      <c r="C159" s="163" t="n">
        <v>-0.004542375365044269</v>
      </c>
      <c r="D159" s="163" t="n">
        <v>0.03106703753167623</v>
      </c>
      <c r="E159" s="170" t="n">
        <v>3036.58387096774</v>
      </c>
      <c r="F159" s="170" t="n">
        <v>2943.696543734891</v>
      </c>
      <c r="G159" s="163" t="n">
        <v>0.003180297575970861</v>
      </c>
      <c r="H159" s="163" t="n">
        <v>-0.0005168129119195397</v>
      </c>
      <c r="I159" s="163" t="n">
        <v>0.001809363838024488</v>
      </c>
      <c r="J159" s="163" t="n">
        <v>0.001885923491002516</v>
      </c>
      <c r="K159" s="163" t="n">
        <v>-0.0001536118657014593</v>
      </c>
      <c r="L159" s="163" t="n">
        <v>-0.003667256063954964</v>
      </c>
      <c r="M159" s="163" t="n">
        <v>-0.0002743337546224974</v>
      </c>
      <c r="N159" s="163" t="n">
        <v>0.0006379760968179656</v>
      </c>
      <c r="O159" s="163" t="n">
        <v>-0.0005090544685713023</v>
      </c>
      <c r="P159" s="163" t="n">
        <v>0.003877196092032235</v>
      </c>
      <c r="Q159" s="163" t="n">
        <v>-0.0001050157220106448</v>
      </c>
      <c r="R159" s="163" t="n">
        <v>-0.0001675094511342961</v>
      </c>
      <c r="S159" s="163" t="n">
        <v>-0.01053953822097763</v>
      </c>
      <c r="T159" s="163" t="n">
        <v>0</v>
      </c>
      <c r="U159" s="163" t="n">
        <v>-0.004542375365044268</v>
      </c>
      <c r="V159" s="171">
        <f>C159-U159</f>
        <v/>
      </c>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64" t="inlineStr">
        <is>
          <t>2017-08</t>
        </is>
      </c>
      <c r="B160" s="163" t="n">
        <v>-0.02109271559920334</v>
      </c>
      <c r="C160" s="163" t="n">
        <v>-0.009191401326412961</v>
      </c>
      <c r="D160" s="163" t="n">
        <v>-0.01190131427279038</v>
      </c>
      <c r="E160" s="170" t="n">
        <v>2973.204838709677</v>
      </c>
      <c r="F160" s="170" t="n">
        <v>3008.801285986014</v>
      </c>
      <c r="G160" s="163" t="n">
        <v>0.003180297575970861</v>
      </c>
      <c r="H160" s="163" t="n">
        <v>-0.001143086223815368</v>
      </c>
      <c r="I160" s="163" t="n">
        <v>0.002051844553219888</v>
      </c>
      <c r="J160" s="163" t="n">
        <v>0.002947355812339242</v>
      </c>
      <c r="K160" s="163" t="n">
        <v>6.630637069324691e-06</v>
      </c>
      <c r="L160" s="163" t="n">
        <v>-0.002523487862128321</v>
      </c>
      <c r="M160" s="163" t="n">
        <v>0.00176375378247494</v>
      </c>
      <c r="N160" s="163" t="n">
        <v>0.0001026502445702232</v>
      </c>
      <c r="O160" s="163" t="n">
        <v>-0.001839064485080517</v>
      </c>
      <c r="P160" s="163" t="n">
        <v>-0.00643572060405067</v>
      </c>
      <c r="Q160" s="163" t="n">
        <v>0.0002694887949757587</v>
      </c>
      <c r="R160" s="163" t="n">
        <v>-0.0002729253251935891</v>
      </c>
      <c r="S160" s="163" t="n">
        <v>-0.007299138226764736</v>
      </c>
      <c r="T160" s="163" t="n">
        <v>0</v>
      </c>
      <c r="U160" s="163" t="n">
        <v>-0.009191401326412961</v>
      </c>
      <c r="V160" s="171">
        <f>C160-U160</f>
        <v/>
      </c>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64" t="inlineStr">
        <is>
          <t>2017-09</t>
        </is>
      </c>
      <c r="B161" s="163" t="n">
        <v>-0.01905561132143418</v>
      </c>
      <c r="C161" s="163" t="n">
        <v>-0.01145855766634309</v>
      </c>
      <c r="D161" s="163" t="n">
        <v>-0.007597053655091099</v>
      </c>
      <c r="E161" s="170" t="n">
        <v>2917.085</v>
      </c>
      <c r="F161" s="170" t="n">
        <v>2939.330644947995</v>
      </c>
      <c r="G161" s="163" t="n">
        <v>0.003180297575970861</v>
      </c>
      <c r="H161" s="163" t="n">
        <v>-0.003651655243290044</v>
      </c>
      <c r="I161" s="163" t="n">
        <v>0.0009290235453824457</v>
      </c>
      <c r="J161" s="163" t="n">
        <v>0.001370416390745467</v>
      </c>
      <c r="K161" s="163" t="n">
        <v>0.0004230271121963421</v>
      </c>
      <c r="L161" s="163" t="n">
        <v>-0.002321394396936402</v>
      </c>
      <c r="M161" s="163" t="n">
        <v>-0.001572012883946068</v>
      </c>
      <c r="N161" s="163" t="n">
        <v>-0.001966991065781895</v>
      </c>
      <c r="O161" s="163" t="n">
        <v>-0.0002317144589543588</v>
      </c>
      <c r="P161" s="163" t="n">
        <v>-0.00112584868467212</v>
      </c>
      <c r="Q161" s="163" t="n">
        <v>-0.0001387182456420266</v>
      </c>
      <c r="R161" s="163" t="n">
        <v>-0.0007804043224873368</v>
      </c>
      <c r="S161" s="163" t="n">
        <v>-0.005572582988927951</v>
      </c>
      <c r="T161" s="163" t="n">
        <v>0</v>
      </c>
      <c r="U161" s="163" t="n">
        <v>-0.01145855766634309</v>
      </c>
      <c r="V161" s="171">
        <f>C161-U161</f>
        <v/>
      </c>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64" t="inlineStr">
        <is>
          <t>2017-10</t>
        </is>
      </c>
      <c r="B162" s="163" t="n">
        <v>0.01249268531889758</v>
      </c>
      <c r="C162" s="163" t="n">
        <v>0.01723380422270092</v>
      </c>
      <c r="D162" s="163" t="n">
        <v>-0.00474111890380334</v>
      </c>
      <c r="E162" s="170" t="n">
        <v>2953.755806451612</v>
      </c>
      <c r="F162" s="170" t="n">
        <v>2967.793164038963</v>
      </c>
      <c r="G162" s="163" t="n">
        <v>0.003180297575970861</v>
      </c>
      <c r="H162" s="163" t="n">
        <v>-0.002717101853589312</v>
      </c>
      <c r="I162" s="163" t="n">
        <v>0.0008259723701729124</v>
      </c>
      <c r="J162" s="163" t="n">
        <v>0.001191109573264748</v>
      </c>
      <c r="K162" s="163" t="n">
        <v>0.0001711225728182846</v>
      </c>
      <c r="L162" s="163" t="n">
        <v>0.004472010780620378</v>
      </c>
      <c r="M162" s="163" t="n">
        <v>-0.0003477590669606582</v>
      </c>
      <c r="N162" s="163" t="n">
        <v>-0.0006542585494049686</v>
      </c>
      <c r="O162" s="163" t="n">
        <v>0.0003338577959643579</v>
      </c>
      <c r="P162" s="163" t="n">
        <v>0.0009225033812597659</v>
      </c>
      <c r="Q162" s="163" t="n">
        <v>-7.294361439082623e-05</v>
      </c>
      <c r="R162" s="163" t="n">
        <v>0.0001179832179169211</v>
      </c>
      <c r="S162" s="163" t="n">
        <v>0.009811010039058455</v>
      </c>
      <c r="T162" s="163" t="n">
        <v>0</v>
      </c>
      <c r="U162" s="163" t="n">
        <v>0.01723380422270092</v>
      </c>
      <c r="V162" s="171">
        <f>C162-U162</f>
        <v/>
      </c>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64" t="inlineStr">
        <is>
          <t>2017-11</t>
        </is>
      </c>
      <c r="B163" s="163" t="n">
        <v>0.02001361723783646</v>
      </c>
      <c r="C163" s="163" t="n">
        <v>0.01625923019411072</v>
      </c>
      <c r="D163" s="163" t="n">
        <v>0.00375438704372574</v>
      </c>
      <c r="E163" s="170" t="n">
        <v>3013.466666666667</v>
      </c>
      <c r="F163" s="170" t="n">
        <v>3002.174157945238</v>
      </c>
      <c r="G163" s="163" t="n">
        <v>0.003180297575970861</v>
      </c>
      <c r="H163" s="163" t="n">
        <v>0.000857425205420556</v>
      </c>
      <c r="I163" s="163" t="n">
        <v>0.00189224911746815</v>
      </c>
      <c r="J163" s="163" t="n">
        <v>8.004768637531676e-05</v>
      </c>
      <c r="K163" s="163" t="n">
        <v>0.0001509787120553316</v>
      </c>
      <c r="L163" s="163" t="n">
        <v>0.0005966282601809568</v>
      </c>
      <c r="M163" s="163" t="n">
        <v>0.0004595175226408747</v>
      </c>
      <c r="N163" s="163" t="n">
        <v>0.0001321098993990779</v>
      </c>
      <c r="O163" s="163" t="n">
        <v>0.0006603082424595932</v>
      </c>
      <c r="P163" s="163" t="n">
        <v>0.005718488020124346</v>
      </c>
      <c r="Q163" s="163" t="n">
        <v>-0.0001761203183148208</v>
      </c>
      <c r="R163" s="163" t="n">
        <v>0.0001886975818541427</v>
      </c>
      <c r="S163" s="163" t="n">
        <v>0.002518602688476331</v>
      </c>
      <c r="T163" s="163" t="n">
        <v>0</v>
      </c>
      <c r="U163" s="163" t="n">
        <v>0.01625923019411072</v>
      </c>
      <c r="V163" s="171">
        <f>C163-U163</f>
        <v/>
      </c>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64" t="inlineStr">
        <is>
          <t>2017-12</t>
        </is>
      </c>
      <c r="B164" s="163" t="n">
        <v>-0.007228642615496383</v>
      </c>
      <c r="C164" s="163" t="n">
        <v>-0.003567477752715089</v>
      </c>
      <c r="D164" s="163" t="n">
        <v>-0.003661164862781294</v>
      </c>
      <c r="E164" s="170" t="n">
        <v>2991.761935483872</v>
      </c>
      <c r="F164" s="170" t="n">
        <v>3002.735344632457</v>
      </c>
      <c r="G164" s="163" t="n">
        <v>0.003180297575970861</v>
      </c>
      <c r="H164" s="163" t="n">
        <v>-0.004659407307312151</v>
      </c>
      <c r="I164" s="163" t="n">
        <v>0.0008862497519415112</v>
      </c>
      <c r="J164" s="163" t="n">
        <v>0.001375752903170484</v>
      </c>
      <c r="K164" s="163" t="n">
        <v>-0.0001372869293842124</v>
      </c>
      <c r="L164" s="163" t="n">
        <v>-0.0006257335044592043</v>
      </c>
      <c r="M164" s="163" t="n">
        <v>-0.0003034993542090889</v>
      </c>
      <c r="N164" s="163" t="n">
        <v>-0.00219702093202336</v>
      </c>
      <c r="O164" s="163" t="n">
        <v>7.793410174700939e-05</v>
      </c>
      <c r="P164" s="163" t="n">
        <v>-0.004472822477964087</v>
      </c>
      <c r="Q164" s="163" t="n">
        <v>9.335299575036791e-05</v>
      </c>
      <c r="R164" s="163" t="n">
        <v>0.0005162573935512377</v>
      </c>
      <c r="S164" s="163" t="n">
        <v>0.002698448030505543</v>
      </c>
      <c r="T164" s="163" t="n">
        <v>0</v>
      </c>
      <c r="U164" s="163" t="n">
        <v>-0.003567477752715089</v>
      </c>
      <c r="V164" s="171">
        <f>C164-U164</f>
        <v/>
      </c>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64" t="inlineStr">
        <is>
          <t>2018-01</t>
        </is>
      </c>
      <c r="B165" s="163" t="n">
        <v>-0.04204805499509501</v>
      </c>
      <c r="C165" s="163" t="n">
        <v>-0.02318402396657626</v>
      </c>
      <c r="D165" s="163" t="n">
        <v>-0.01886403102851874</v>
      </c>
      <c r="E165" s="170" t="n">
        <v>2868.572258064516</v>
      </c>
      <c r="F165" s="170" t="n">
        <v>2923.198711807443</v>
      </c>
      <c r="G165" s="163" t="n">
        <v>0.003180297575970861</v>
      </c>
      <c r="H165" s="163" t="n">
        <v>-0.001220113390472571</v>
      </c>
      <c r="I165" s="163" t="n">
        <v>0.001403724017352428</v>
      </c>
      <c r="J165" s="163" t="n">
        <v>0.001770121171379554</v>
      </c>
      <c r="K165" s="163" t="n">
        <v>-0.0001920076269978894</v>
      </c>
      <c r="L165" s="163" t="n">
        <v>-0.00554887042219508</v>
      </c>
      <c r="M165" s="163" t="n">
        <v>0.0008563304776645318</v>
      </c>
      <c r="N165" s="163" t="n">
        <v>-0.002286268723031362</v>
      </c>
      <c r="O165" s="163" t="n">
        <v>-0.001444917266054397</v>
      </c>
      <c r="P165" s="163" t="n">
        <v>-0.002917249708174616</v>
      </c>
      <c r="Q165" s="163" t="n">
        <v>0.0002173780134999627</v>
      </c>
      <c r="R165" s="163" t="n">
        <v>-0.0004423504447244154</v>
      </c>
      <c r="S165" s="163" t="n">
        <v>-0.01656009764079327</v>
      </c>
      <c r="T165" s="163" t="n">
        <v>0</v>
      </c>
      <c r="U165" s="163" t="n">
        <v>-0.02318402396657626</v>
      </c>
      <c r="V165" s="171">
        <f>C165-U165</f>
        <v/>
      </c>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64" t="inlineStr">
        <is>
          <t>2018-02</t>
        </is>
      </c>
      <c r="B166" s="163" t="n">
        <v>-0.002904402421991747</v>
      </c>
      <c r="C166" s="163" t="n">
        <v>0.01344882905182509</v>
      </c>
      <c r="D166" s="163" t="n">
        <v>-0.01635323147381684</v>
      </c>
      <c r="E166" s="170" t="n">
        <v>2860.252857142857</v>
      </c>
      <c r="F166" s="170" t="n">
        <v>2907.411783645801</v>
      </c>
      <c r="G166" s="163" t="n">
        <v>0.003180297575970861</v>
      </c>
      <c r="H166" s="163" t="n">
        <v>0.003995471259084297</v>
      </c>
      <c r="I166" s="163" t="n">
        <v>0.001636364020241171</v>
      </c>
      <c r="J166" s="163" t="n">
        <v>0.0006259729074549985</v>
      </c>
      <c r="K166" s="163" t="n">
        <v>0.0006020049105906973</v>
      </c>
      <c r="L166" s="163" t="n">
        <v>-0.001579844190437305</v>
      </c>
      <c r="M166" s="163" t="n">
        <v>0.008103532240858946</v>
      </c>
      <c r="N166" s="163" t="n">
        <v>0.002220324790054007</v>
      </c>
      <c r="O166" s="163" t="n">
        <v>-0.0009534233322225401</v>
      </c>
      <c r="P166" s="163" t="n">
        <v>-0.004067961585880268</v>
      </c>
      <c r="Q166" s="163" t="n">
        <v>9.363088841365138e-05</v>
      </c>
      <c r="R166" s="163" t="n">
        <v>0.0009250851386069663</v>
      </c>
      <c r="S166" s="163" t="n">
        <v>-0.001332625570910397</v>
      </c>
      <c r="T166" s="163" t="n">
        <v>0</v>
      </c>
      <c r="U166" s="163" t="n">
        <v>0.01344882905182508</v>
      </c>
      <c r="V166" s="171">
        <f>C166-U166</f>
        <v/>
      </c>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64" t="inlineStr">
        <is>
          <t>2018-03</t>
        </is>
      </c>
      <c r="B167" s="163" t="n">
        <v>-0.004317391379220048</v>
      </c>
      <c r="C167" s="163" t="n">
        <v>0.01895485760462805</v>
      </c>
      <c r="D167" s="163" t="n">
        <v>-0.0232722489838481</v>
      </c>
      <c r="E167" s="170" t="n">
        <v>2847.930645161291</v>
      </c>
      <c r="F167" s="170" t="n">
        <v>2914.98563000152</v>
      </c>
      <c r="G167" s="163" t="n">
        <v>0.003180297575970861</v>
      </c>
      <c r="H167" s="163" t="n">
        <v>-0.0005564083478270847</v>
      </c>
      <c r="I167" s="163" t="n">
        <v>0.001363297425081623</v>
      </c>
      <c r="J167" s="163" t="n">
        <v>0.001210321017994821</v>
      </c>
      <c r="K167" s="163" t="n">
        <v>2.961604332492131e-05</v>
      </c>
      <c r="L167" s="163" t="n">
        <v>0.0006654070503555336</v>
      </c>
      <c r="M167" s="163" t="n">
        <v>-0.001901839803357349</v>
      </c>
      <c r="N167" s="163" t="n">
        <v>0.00102734874709167</v>
      </c>
      <c r="O167" s="163" t="n">
        <v>0.0009058296055991911</v>
      </c>
      <c r="P167" s="163" t="n">
        <v>0.01101451565068671</v>
      </c>
      <c r="Q167" s="163" t="n">
        <v>-0.0003620893473804135</v>
      </c>
      <c r="R167" s="163" t="n">
        <v>0.0001196776851054827</v>
      </c>
      <c r="S167" s="163" t="n">
        <v>0.002258884301982076</v>
      </c>
      <c r="T167" s="163" t="n">
        <v>0</v>
      </c>
      <c r="U167" s="163" t="n">
        <v>0.01895485760462805</v>
      </c>
      <c r="V167" s="171">
        <f>C167-U167</f>
        <v/>
      </c>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64" t="inlineStr">
        <is>
          <t>2018-04</t>
        </is>
      </c>
      <c r="B168" s="163" t="n">
        <v>-0.02908737632189062</v>
      </c>
      <c r="C168" s="163" t="n">
        <v>-0.004856565209382889</v>
      </c>
      <c r="D168" s="163" t="n">
        <v>-0.02423081111250773</v>
      </c>
      <c r="E168" s="170" t="n">
        <v>2766.285</v>
      </c>
      <c r="F168" s="170" t="n">
        <v>2834.133015933794</v>
      </c>
      <c r="G168" s="163" t="n">
        <v>0.003180297575970861</v>
      </c>
      <c r="H168" s="163" t="n">
        <v>-0.001102807064172351</v>
      </c>
      <c r="I168" s="163" t="n">
        <v>0.0003475671708240545</v>
      </c>
      <c r="J168" s="163" t="n">
        <v>0.0004466660899742795</v>
      </c>
      <c r="K168" s="163" t="n">
        <v>-2.12696822133377e-05</v>
      </c>
      <c r="L168" s="163" t="n">
        <v>-8.539700845996608e-06</v>
      </c>
      <c r="M168" s="163" t="n">
        <v>-0.000463991071775225</v>
      </c>
      <c r="N168" s="163" t="n">
        <v>-0.0009614048141143149</v>
      </c>
      <c r="O168" s="163" t="n">
        <v>0.0001754321587580842</v>
      </c>
      <c r="P168" s="163" t="n">
        <v>-0.005982905974702953</v>
      </c>
      <c r="Q168" s="163" t="n">
        <v>0.0002501020846941558</v>
      </c>
      <c r="R168" s="163" t="n">
        <v>0.001495025820602783</v>
      </c>
      <c r="S168" s="163" t="n">
        <v>-0.00221073780238293</v>
      </c>
      <c r="T168" s="163" t="n">
        <v>0</v>
      </c>
      <c r="U168" s="163" t="n">
        <v>-0.00485656520938289</v>
      </c>
      <c r="V168" s="171">
        <f>C168-U168</f>
        <v/>
      </c>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64" t="inlineStr">
        <is>
          <t>2018-05</t>
        </is>
      </c>
      <c r="B169" s="163" t="n">
        <v>0.03395455019829452</v>
      </c>
      <c r="C169" s="163" t="n">
        <v>0.04318978730003123</v>
      </c>
      <c r="D169" s="163" t="n">
        <v>-0.00923523710173671</v>
      </c>
      <c r="E169" s="170" t="n">
        <v>2861.825806451614</v>
      </c>
      <c r="F169" s="170" t="n">
        <v>2888.377864878005</v>
      </c>
      <c r="G169" s="163" t="n">
        <v>0.003180297575970861</v>
      </c>
      <c r="H169" s="163" t="n">
        <v>-0.002362317661653256</v>
      </c>
      <c r="I169" s="163" t="n">
        <v>0.002232813670337855</v>
      </c>
      <c r="J169" s="163" t="n">
        <v>0.000934690151242478</v>
      </c>
      <c r="K169" s="163" t="n">
        <v>-0.0002518852024710267</v>
      </c>
      <c r="L169" s="163" t="n">
        <v>0.006844442077112507</v>
      </c>
      <c r="M169" s="163" t="n">
        <v>-0.002942359923637543</v>
      </c>
      <c r="N169" s="163" t="n">
        <v>0.002842703841874111</v>
      </c>
      <c r="O169" s="163" t="n">
        <v>0.0006425627611608305</v>
      </c>
      <c r="P169" s="163" t="n">
        <v>0.004525457024632439</v>
      </c>
      <c r="Q169" s="163" t="n">
        <v>-0.0002013266738403985</v>
      </c>
      <c r="R169" s="163" t="n">
        <v>0.001610091181171177</v>
      </c>
      <c r="S169" s="163" t="n">
        <v>0.0261346184781312</v>
      </c>
      <c r="T169" s="163" t="n">
        <v>0</v>
      </c>
      <c r="U169" s="163" t="n">
        <v>0.04318978730003123</v>
      </c>
      <c r="V169" s="171">
        <f>C169-U169</f>
        <v/>
      </c>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64" t="inlineStr">
        <is>
          <t>2018-06</t>
        </is>
      </c>
      <c r="B170" s="163" t="n">
        <v>0.009689068867674955</v>
      </c>
      <c r="C170" s="163" t="n">
        <v>0.0193834412977069</v>
      </c>
      <c r="D170" s="163" t="n">
        <v>-0.009694372430031947</v>
      </c>
      <c r="E170" s="170" t="n">
        <v>2889.688999999999</v>
      </c>
      <c r="F170" s="170" t="n">
        <v>2917.838948954813</v>
      </c>
      <c r="G170" s="163" t="n">
        <v>0.003180297575970861</v>
      </c>
      <c r="H170" s="163" t="n">
        <v>-6.512220624622452e-05</v>
      </c>
      <c r="I170" s="163" t="n">
        <v>0.0008702698246264289</v>
      </c>
      <c r="J170" s="163" t="n">
        <v>0.001249010733076227</v>
      </c>
      <c r="K170" s="163" t="n">
        <v>-5.754875837047824e-05</v>
      </c>
      <c r="L170" s="163" t="n">
        <v>0.003876750368197566</v>
      </c>
      <c r="M170" s="163" t="n">
        <v>-0.0003674110617836331</v>
      </c>
      <c r="N170" s="163" t="n">
        <v>0.001675676751018808</v>
      </c>
      <c r="O170" s="163" t="n">
        <v>-0.0006098696152252754</v>
      </c>
      <c r="P170" s="163" t="n">
        <v>2.818540130511041e-05</v>
      </c>
      <c r="Q170" s="163" t="n">
        <v>4.549360486671033e-05</v>
      </c>
      <c r="R170" s="163" t="n">
        <v>-0.001243127432150828</v>
      </c>
      <c r="S170" s="163" t="n">
        <v>0.01080083611242163</v>
      </c>
      <c r="T170" s="163" t="n">
        <v>0</v>
      </c>
      <c r="U170" s="163" t="n">
        <v>0.0193834412977069</v>
      </c>
      <c r="V170" s="171">
        <f>C170-U170</f>
        <v/>
      </c>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64" t="inlineStr">
        <is>
          <t>2018-07</t>
        </is>
      </c>
      <c r="B171" s="163" t="n">
        <v>-0.001512400720045548</v>
      </c>
      <c r="C171" s="163" t="n">
        <v>-0.002643102757696286</v>
      </c>
      <c r="D171" s="163" t="n">
        <v>0.001130702037650737</v>
      </c>
      <c r="E171" s="170" t="n">
        <v>2885.32193548387</v>
      </c>
      <c r="F171" s="170" t="n">
        <v>2882.061339820606</v>
      </c>
      <c r="G171" s="163" t="n">
        <v>0.003180297575970861</v>
      </c>
      <c r="H171" s="163" t="n">
        <v>0.0005026359161027761</v>
      </c>
      <c r="I171" s="163" t="n">
        <v>0.0001927934928845417</v>
      </c>
      <c r="J171" s="163" t="n">
        <v>0.0005955547866323741</v>
      </c>
      <c r="K171" s="163" t="n">
        <v>2.512132263068692e-06</v>
      </c>
      <c r="L171" s="163" t="n">
        <v>0.0004598351171299218</v>
      </c>
      <c r="M171" s="163" t="n">
        <v>-0.000452479726645225</v>
      </c>
      <c r="N171" s="163" t="n">
        <v>-0.003238357786110231</v>
      </c>
      <c r="O171" s="163" t="n">
        <v>0.0006912937122856166</v>
      </c>
      <c r="P171" s="163" t="n">
        <v>0.001130899806326687</v>
      </c>
      <c r="Q171" s="163" t="n">
        <v>2.807934950765805e-06</v>
      </c>
      <c r="R171" s="163" t="n">
        <v>-0.0006399236931309858</v>
      </c>
      <c r="S171" s="163" t="n">
        <v>-0.005070972026356456</v>
      </c>
      <c r="T171" s="163" t="n">
        <v>0</v>
      </c>
      <c r="U171" s="163" t="n">
        <v>-0.002643102757696285</v>
      </c>
      <c r="V171" s="171">
        <f>C171-U171</f>
        <v/>
      </c>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64" t="inlineStr">
        <is>
          <t>2018-08</t>
        </is>
      </c>
      <c r="B172" s="163" t="n">
        <v>0.02510226958834494</v>
      </c>
      <c r="C172" s="163" t="n">
        <v>0.001959759140196178</v>
      </c>
      <c r="D172" s="163" t="n">
        <v>0.02314251044814876</v>
      </c>
      <c r="E172" s="170" t="n">
        <v>2958.666774193548</v>
      </c>
      <c r="F172" s="170" t="n">
        <v>2890.982015904979</v>
      </c>
      <c r="G172" s="163" t="n">
        <v>0.003180297575970861</v>
      </c>
      <c r="H172" s="163" t="n">
        <v>-0.0001112083785330485</v>
      </c>
      <c r="I172" s="163" t="n">
        <v>0.0007152140944125127</v>
      </c>
      <c r="J172" s="163" t="n">
        <v>0.0004466660899742795</v>
      </c>
      <c r="K172" s="163" t="n">
        <v>-0.000118076974415827</v>
      </c>
      <c r="L172" s="163" t="n">
        <v>0.001643283883174893</v>
      </c>
      <c r="M172" s="163" t="n">
        <v>-0.0005349289778092956</v>
      </c>
      <c r="N172" s="163" t="n">
        <v>0.0002767212470788902</v>
      </c>
      <c r="O172" s="163" t="n">
        <v>-0.0001674605665771317</v>
      </c>
      <c r="P172" s="163" t="n">
        <v>-0.00621607465558109</v>
      </c>
      <c r="Q172" s="163" t="n">
        <v>0.0001163608425886363</v>
      </c>
      <c r="R172" s="163" t="n">
        <v>-0.0003058522061520798</v>
      </c>
      <c r="S172" s="163" t="n">
        <v>0.003034817166064578</v>
      </c>
      <c r="T172" s="163" t="n">
        <v>0</v>
      </c>
      <c r="U172" s="163" t="n">
        <v>0.001959759140196179</v>
      </c>
      <c r="V172" s="171">
        <f>C172-U172</f>
        <v/>
      </c>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64" t="inlineStr">
        <is>
          <t>2018-09</t>
        </is>
      </c>
      <c r="B173" s="163" t="n">
        <v>0.02506665854674228</v>
      </c>
      <c r="C173" s="163" t="n">
        <v>0.01465355938373214</v>
      </c>
      <c r="D173" s="163" t="n">
        <v>0.01041309916301014</v>
      </c>
      <c r="E173" s="170" t="n">
        <v>3033.767999999999</v>
      </c>
      <c r="F173" s="170" t="n">
        <v>3002.340983274881</v>
      </c>
      <c r="G173" s="163" t="n">
        <v>0.003180297575970861</v>
      </c>
      <c r="H173" s="163" t="n">
        <v>-0.005383125477554073</v>
      </c>
      <c r="I173" s="163" t="n">
        <v>0.001653491869288402</v>
      </c>
      <c r="J173" s="163" t="n">
        <v>0</v>
      </c>
      <c r="K173" s="163" t="n">
        <v>-0.0003619747792755774</v>
      </c>
      <c r="L173" s="163" t="n">
        <v>0.0005234163629418046</v>
      </c>
      <c r="M173" s="163" t="n">
        <v>0.0003267606624819633</v>
      </c>
      <c r="N173" s="163" t="n">
        <v>-0.0009131801153603408</v>
      </c>
      <c r="O173" s="163" t="n">
        <v>-0.0001172088441972604</v>
      </c>
      <c r="P173" s="163" t="n">
        <v>0.002896589520278749</v>
      </c>
      <c r="Q173" s="163" t="n">
        <v>-0.0002040477249815377</v>
      </c>
      <c r="R173" s="163" t="n">
        <v>0.0002914884624636444</v>
      </c>
      <c r="S173" s="163" t="n">
        <v>0.0127610518716755</v>
      </c>
      <c r="T173" s="163" t="n">
        <v>0</v>
      </c>
      <c r="U173" s="163" t="n">
        <v>0.01465355938373214</v>
      </c>
      <c r="V173" s="171">
        <f>C173-U173</f>
        <v/>
      </c>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64" t="inlineStr">
        <is>
          <t>2018-10</t>
        </is>
      </c>
      <c r="B174" s="163" t="n">
        <v>0.01669145290845897</v>
      </c>
      <c r="C174" s="163" t="n">
        <v>-0.001456709064910519</v>
      </c>
      <c r="D174" s="163" t="n">
        <v>0.01814816197336949</v>
      </c>
      <c r="E174" s="170" t="n">
        <v>3084.830967741932</v>
      </c>
      <c r="F174" s="170" t="n">
        <v>3029.351899920985</v>
      </c>
      <c r="G174" s="163" t="n">
        <v>0.003180297575970861</v>
      </c>
      <c r="H174" s="163" t="n">
        <v>-8.627796984517917e-05</v>
      </c>
      <c r="I174" s="163" t="n">
        <v>0.00144590009091199</v>
      </c>
      <c r="J174" s="163" t="n">
        <v>0.0001985182622107914</v>
      </c>
      <c r="K174" s="163" t="n">
        <v>-6.754074239108245e-05</v>
      </c>
      <c r="L174" s="163" t="n">
        <v>0.001587652289950421</v>
      </c>
      <c r="M174" s="163" t="n">
        <v>0.004630175094278462</v>
      </c>
      <c r="N174" s="163" t="n">
        <v>0.0003482498038635035</v>
      </c>
      <c r="O174" s="163" t="n">
        <v>0.0001570717467515992</v>
      </c>
      <c r="P174" s="163" t="n">
        <v>-0.003598500796909056</v>
      </c>
      <c r="Q174" s="163" t="n">
        <v>0.0001301553224432936</v>
      </c>
      <c r="R174" s="163" t="n">
        <v>-0.001037700935520473</v>
      </c>
      <c r="S174" s="163" t="n">
        <v>-0.008344708806625653</v>
      </c>
      <c r="T174" s="163" t="n">
        <v>0</v>
      </c>
      <c r="U174" s="163" t="n">
        <v>-0.001456709064910518</v>
      </c>
      <c r="V174" s="171">
        <f>C174-U174</f>
        <v/>
      </c>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64" t="inlineStr">
        <is>
          <t>2018-11</t>
        </is>
      </c>
      <c r="B175" s="163" t="n">
        <v>0.03478793485623477</v>
      </c>
      <c r="C175" s="163" t="n">
        <v>0.03819791079843556</v>
      </c>
      <c r="D175" s="163" t="n">
        <v>-0.003409975942200792</v>
      </c>
      <c r="E175" s="170" t="n">
        <v>3194.034333333336</v>
      </c>
      <c r="F175" s="170" t="n">
        <v>3204.944504707628</v>
      </c>
      <c r="G175" s="163" t="n">
        <v>0.003180297575970861</v>
      </c>
      <c r="H175" s="163" t="n">
        <v>0.006640549928326455</v>
      </c>
      <c r="I175" s="163" t="n">
        <v>0.001391996059782596</v>
      </c>
      <c r="J175" s="163" t="n">
        <v>0.001191109573264746</v>
      </c>
      <c r="K175" s="163" t="n">
        <v>-3.441640587592151e-05</v>
      </c>
      <c r="L175" s="163" t="n">
        <v>0.002796633148404156</v>
      </c>
      <c r="M175" s="163" t="n">
        <v>2.177566939184262e-05</v>
      </c>
      <c r="N175" s="163" t="n">
        <v>0.003878489859851773</v>
      </c>
      <c r="O175" s="163" t="n">
        <v>9.649680572336275e-05</v>
      </c>
      <c r="P175" s="163" t="n">
        <v>0.008709562260989269</v>
      </c>
      <c r="Q175" s="163" t="n">
        <v>-0.0003481442978001015</v>
      </c>
      <c r="R175" s="163" t="n">
        <v>-0.0006270964136677582</v>
      </c>
      <c r="S175" s="163" t="n">
        <v>0.01130065703407428</v>
      </c>
      <c r="T175" s="163" t="n">
        <v>0</v>
      </c>
      <c r="U175" s="163" t="n">
        <v>0.03819791079843556</v>
      </c>
      <c r="V175" s="171">
        <f>C175-U175</f>
        <v/>
      </c>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64" t="inlineStr">
        <is>
          <t>2018-12</t>
        </is>
      </c>
      <c r="B176" s="163" t="n">
        <v>0.007646449196696992</v>
      </c>
      <c r="C176" s="163" t="n">
        <v>0.006441588230099732</v>
      </c>
      <c r="D176" s="163" t="n">
        <v>0.001204860966597259</v>
      </c>
      <c r="E176" s="170" t="n">
        <v>3218.550967741938</v>
      </c>
      <c r="F176" s="170" t="n">
        <v>3214.675396542977</v>
      </c>
      <c r="G176" s="163" t="n">
        <v>0.003180297575970861</v>
      </c>
      <c r="H176" s="163" t="n">
        <v>0.005829327373572895</v>
      </c>
      <c r="I176" s="163" t="n">
        <v>0.0009271462941036938</v>
      </c>
      <c r="J176" s="163" t="n">
        <v>4.962956555269895e-05</v>
      </c>
      <c r="K176" s="163" t="n">
        <v>0.0002142679421333015</v>
      </c>
      <c r="L176" s="163" t="n">
        <v>8.885801716470212e-05</v>
      </c>
      <c r="M176" s="163" t="n">
        <v>0.002886034004606716</v>
      </c>
      <c r="N176" s="163" t="n">
        <v>0.001715948469225591</v>
      </c>
      <c r="O176" s="163" t="n">
        <v>-0.001587080479822573</v>
      </c>
      <c r="P176" s="163" t="n">
        <v>-0.005541724158659491</v>
      </c>
      <c r="Q176" s="163" t="n">
        <v>0.000293367441370503</v>
      </c>
      <c r="R176" s="163" t="n">
        <v>-0.002661802972422614</v>
      </c>
      <c r="S176" s="163" t="n">
        <v>0.001047319157303448</v>
      </c>
      <c r="T176" s="163" t="n">
        <v>0</v>
      </c>
      <c r="U176" s="163" t="n">
        <v>0.006441588230099731</v>
      </c>
      <c r="V176" s="171">
        <f>C176-U176</f>
        <v/>
      </c>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64" t="inlineStr">
        <is>
          <t>2019-01</t>
        </is>
      </c>
      <c r="B177" s="163" t="n">
        <v>-0.01671877435426516</v>
      </c>
      <c r="C177" s="163" t="n">
        <v>-0.02558309317260078</v>
      </c>
      <c r="D177" s="163" t="n">
        <v>0.008864318818335614</v>
      </c>
      <c r="E177" s="170" t="n">
        <v>3165.18806451613</v>
      </c>
      <c r="F177" s="170" t="n">
        <v>3137.254815909922</v>
      </c>
      <c r="G177" s="163" t="n">
        <v>0.003180297575970861</v>
      </c>
      <c r="H177" s="163" t="n">
        <v>-0.001163794023283773</v>
      </c>
      <c r="I177" s="163" t="n">
        <v>0.001076260236211414</v>
      </c>
      <c r="J177" s="163" t="n">
        <v>0.0003474069588688838</v>
      </c>
      <c r="K177" s="163" t="n">
        <v>0.0005051536088975663</v>
      </c>
      <c r="L177" s="163" t="n">
        <v>-0.003704322385316496</v>
      </c>
      <c r="M177" s="163" t="n">
        <v>-0.002778378145201098</v>
      </c>
      <c r="N177" s="163" t="n">
        <v>-0.001773725432901401</v>
      </c>
      <c r="O177" s="163" t="n">
        <v>-0.003905970242786055</v>
      </c>
      <c r="P177" s="163" t="n">
        <v>-0.0009548440694266198</v>
      </c>
      <c r="Q177" s="163" t="n">
        <v>0.0002189794582375044</v>
      </c>
      <c r="R177" s="163" t="n">
        <v>-0.0005656319473942699</v>
      </c>
      <c r="S177" s="163" t="n">
        <v>-0.0160645247644773</v>
      </c>
      <c r="T177" s="163" t="n">
        <v>0</v>
      </c>
      <c r="U177" s="163" t="n">
        <v>-0.02558309317260078</v>
      </c>
      <c r="V177" s="171">
        <f>C177-U177</f>
        <v/>
      </c>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64" t="inlineStr">
        <is>
          <t>2019-02</t>
        </is>
      </c>
      <c r="B178" s="163" t="n">
        <v>-0.01571415357774875</v>
      </c>
      <c r="C178" s="163" t="n">
        <v>-0.02411424680578852</v>
      </c>
      <c r="D178" s="163" t="n">
        <v>0.008400093228039775</v>
      </c>
      <c r="E178" s="170" t="n">
        <v>3115.838571428572</v>
      </c>
      <c r="F178" s="170" t="n">
        <v>3089.774859009991</v>
      </c>
      <c r="G178" s="163" t="n">
        <v>0.003180297575970861</v>
      </c>
      <c r="H178" s="163" t="n">
        <v>-0.006338709277740007</v>
      </c>
      <c r="I178" s="163" t="n">
        <v>0.0006246498312133681</v>
      </c>
      <c r="J178" s="163" t="n">
        <v>0.0006451843521850709</v>
      </c>
      <c r="K178" s="163" t="n">
        <v>7.70344942788164e-05</v>
      </c>
      <c r="L178" s="163" t="n">
        <v>-6.221400874084119e-05</v>
      </c>
      <c r="M178" s="163" t="n">
        <v>-0.002866006906034071</v>
      </c>
      <c r="N178" s="163" t="n">
        <v>-0.001783990457358426</v>
      </c>
      <c r="O178" s="163" t="n">
        <v>-0.004908610962195428</v>
      </c>
      <c r="P178" s="163" t="n">
        <v>-0.005077305548437552</v>
      </c>
      <c r="Q178" s="163" t="n">
        <v>0.000297170145471252</v>
      </c>
      <c r="R178" s="163" t="n">
        <v>0.0006722387740252737</v>
      </c>
      <c r="S178" s="163" t="n">
        <v>-0.00857398481842684</v>
      </c>
      <c r="T178" s="163" t="n">
        <v>0</v>
      </c>
      <c r="U178" s="163" t="n">
        <v>-0.02411424680578853</v>
      </c>
      <c r="V178" s="171">
        <f>C178-U178</f>
        <v/>
      </c>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64" t="inlineStr">
        <is>
          <t>2019-03</t>
        </is>
      </c>
      <c r="B179" s="163" t="n">
        <v>0.004114210396151563</v>
      </c>
      <c r="C179" s="163" t="n">
        <v>0.0108212250079692</v>
      </c>
      <c r="D179" s="163" t="n">
        <v>-0.006707014611817639</v>
      </c>
      <c r="E179" s="170" t="n">
        <v>3128.684193548385</v>
      </c>
      <c r="F179" s="170" t="n">
        <v>3149.738852174889</v>
      </c>
      <c r="G179" s="163" t="n">
        <v>0.003180297575970861</v>
      </c>
      <c r="H179" s="163" t="n">
        <v>0.0002995836397230613</v>
      </c>
      <c r="I179" s="163" t="n">
        <v>0.0005911042385269711</v>
      </c>
      <c r="J179" s="163" t="n">
        <v>0</v>
      </c>
      <c r="K179" s="163" t="n">
        <v>-0.0001089630490044489</v>
      </c>
      <c r="L179" s="163" t="n">
        <v>0.0007806438770124266</v>
      </c>
      <c r="M179" s="163" t="n">
        <v>-0.0005770885664969932</v>
      </c>
      <c r="N179" s="163" t="n">
        <v>-0.0004884735776100431</v>
      </c>
      <c r="O179" s="163" t="n">
        <v>-0.007596909115056627</v>
      </c>
      <c r="P179" s="163" t="n">
        <v>0.008583283573284471</v>
      </c>
      <c r="Q179" s="163" t="n">
        <v>0.0001334709294142026</v>
      </c>
      <c r="R179" s="163" t="n">
        <v>0.002019197574953532</v>
      </c>
      <c r="S179" s="163" t="n">
        <v>0.004005077907251789</v>
      </c>
      <c r="T179" s="163" t="n">
        <v>0</v>
      </c>
      <c r="U179" s="163" t="n">
        <v>0.0108212250079692</v>
      </c>
      <c r="V179" s="171">
        <f>C179-U179</f>
        <v/>
      </c>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64" t="inlineStr">
        <is>
          <t>2019-04</t>
        </is>
      </c>
      <c r="B180" s="163" t="n">
        <v>0.008618408150244505</v>
      </c>
      <c r="C180" s="163" t="n">
        <v>-0.004032479426705697</v>
      </c>
      <c r="D180" s="163" t="n">
        <v>0.0126508875769502</v>
      </c>
      <c r="E180" s="170" t="n">
        <v>3155.765000000001</v>
      </c>
      <c r="F180" s="170" t="n">
        <v>3116.093242342763</v>
      </c>
      <c r="G180" s="163" t="n">
        <v>0.003180297575970861</v>
      </c>
      <c r="H180" s="163" t="n">
        <v>-0.001795814430687899</v>
      </c>
      <c r="I180" s="163" t="n">
        <v>0.0009015409420869053</v>
      </c>
      <c r="J180" s="163" t="n">
        <v>4.962956555269895e-05</v>
      </c>
      <c r="K180" s="163" t="n">
        <v>0.0001108533404108516</v>
      </c>
      <c r="L180" s="163" t="n">
        <v>0.0002527856363219297</v>
      </c>
      <c r="M180" s="163" t="n">
        <v>-0.001282430503428534</v>
      </c>
      <c r="N180" s="163" t="n">
        <v>-0.001912818123232059</v>
      </c>
      <c r="O180" s="163" t="n">
        <v>-0.004402189735489919</v>
      </c>
      <c r="P180" s="163" t="n">
        <v>0.001682026855050711</v>
      </c>
      <c r="Q180" s="163" t="n">
        <v>-0.0003165616476344617</v>
      </c>
      <c r="R180" s="163" t="n">
        <v>0.001677157432016971</v>
      </c>
      <c r="S180" s="163" t="n">
        <v>-0.002176956333643754</v>
      </c>
      <c r="T180" s="163" t="n">
        <v>0</v>
      </c>
      <c r="U180" s="163" t="n">
        <v>-0.004032479426705698</v>
      </c>
      <c r="V180" s="171">
        <f>C180-U180</f>
        <v/>
      </c>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64" t="inlineStr">
        <is>
          <t>2019-05</t>
        </is>
      </c>
      <c r="B181" s="163" t="n">
        <v>0.04605257754311687</v>
      </c>
      <c r="C181" s="163" t="n">
        <v>0.02398213636883564</v>
      </c>
      <c r="D181" s="163" t="n">
        <v>0.02207044117428123</v>
      </c>
      <c r="E181" s="170" t="n">
        <v>3304.494516129032</v>
      </c>
      <c r="F181" s="170" t="n">
        <v>3232.361792803503</v>
      </c>
      <c r="G181" s="163" t="n">
        <v>0.003180297575970861</v>
      </c>
      <c r="H181" s="163" t="n">
        <v>0.001756682851700558</v>
      </c>
      <c r="I181" s="163" t="n">
        <v>0.0009015025700702985</v>
      </c>
      <c r="J181" s="163" t="n">
        <v>4.962956555269674e-05</v>
      </c>
      <c r="K181" s="163" t="n">
        <v>0.0001955452543708446</v>
      </c>
      <c r="L181" s="163" t="n">
        <v>0.002203919715932961</v>
      </c>
      <c r="M181" s="163" t="n">
        <v>0.002924928287121603</v>
      </c>
      <c r="N181" s="163" t="n">
        <v>0.002334392058691162</v>
      </c>
      <c r="O181" s="163" t="n">
        <v>-0.001489560748896752</v>
      </c>
      <c r="P181" s="163" t="n">
        <v>0.0007469320069555152</v>
      </c>
      <c r="Q181" s="163" t="n">
        <v>-0.0003998797222505377</v>
      </c>
      <c r="R181" s="163" t="n">
        <v>-0.0001031082104245538</v>
      </c>
      <c r="S181" s="163" t="n">
        <v>0.01168085516404098</v>
      </c>
      <c r="T181" s="163" t="n">
        <v>0</v>
      </c>
      <c r="U181" s="163" t="n">
        <v>0.02398213636883564</v>
      </c>
      <c r="V181" s="171">
        <f>C181-U181</f>
        <v/>
      </c>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64" t="inlineStr">
        <is>
          <t>2019-06</t>
        </is>
      </c>
      <c r="B182" s="163" t="n">
        <v>-0.01339774464911692</v>
      </c>
      <c r="C182" s="163" t="n">
        <v>-0.007746347558929319</v>
      </c>
      <c r="D182" s="163" t="n">
        <v>-0.005651397090187597</v>
      </c>
      <c r="E182" s="170" t="n">
        <v>3260.516999999999</v>
      </c>
      <c r="F182" s="170" t="n">
        <v>3278.995642177294</v>
      </c>
      <c r="G182" s="163" t="n">
        <v>0.003180297575970861</v>
      </c>
      <c r="H182" s="163" t="n">
        <v>0.00282061423503892</v>
      </c>
      <c r="I182" s="163" t="n">
        <v>0.001464527669958448</v>
      </c>
      <c r="J182" s="163" t="n">
        <v>-0.0001488886966580924</v>
      </c>
      <c r="K182" s="163" t="n">
        <v>5.117075014901937e-05</v>
      </c>
      <c r="L182" s="163" t="n">
        <v>-0.001106762596476686</v>
      </c>
      <c r="M182" s="163" t="n">
        <v>-0.0006226219076206375</v>
      </c>
      <c r="N182" s="163" t="n">
        <v>-0.0001724524108779821</v>
      </c>
      <c r="O182" s="163" t="n">
        <v>-0.002573828552399828</v>
      </c>
      <c r="P182" s="163" t="n">
        <v>-0.003522598540524001</v>
      </c>
      <c r="Q182" s="163" t="n">
        <v>2.266381880131933e-05</v>
      </c>
      <c r="R182" s="163" t="n">
        <v>-0.001614860809785656</v>
      </c>
      <c r="S182" s="163" t="n">
        <v>-0.005523608094505003</v>
      </c>
      <c r="T182" s="163" t="n">
        <v>0</v>
      </c>
      <c r="U182" s="163" t="n">
        <v>-0.007746347558929319</v>
      </c>
      <c r="V182" s="171">
        <f>C182-U182</f>
        <v/>
      </c>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64" t="inlineStr">
        <is>
          <t>2019-07</t>
        </is>
      </c>
      <c r="B183" s="163" t="n">
        <v>-0.01667448539020988</v>
      </c>
      <c r="C183" s="163" t="n">
        <v>-0.01887612780981723</v>
      </c>
      <c r="D183" s="163" t="n">
        <v>0.002201642419607349</v>
      </c>
      <c r="E183" s="170" t="n">
        <v>3206.600322580648</v>
      </c>
      <c r="F183" s="170" t="n">
        <v>3199.548301151055</v>
      </c>
      <c r="G183" s="163" t="n">
        <v>0.003180297575970861</v>
      </c>
      <c r="H183" s="163" t="n">
        <v>-0.0006966333188663092</v>
      </c>
      <c r="I183" s="163" t="n">
        <v>0.0002110727814895241</v>
      </c>
      <c r="J183" s="163" t="n">
        <v>-4.962956555269895e-05</v>
      </c>
      <c r="K183" s="163" t="n">
        <v>0.0002657365960748934</v>
      </c>
      <c r="L183" s="163" t="n">
        <v>-0.0007321471880837845</v>
      </c>
      <c r="M183" s="163" t="n">
        <v>-0.001991318826343895</v>
      </c>
      <c r="N183" s="163" t="n">
        <v>-0.002927231008782281</v>
      </c>
      <c r="O183" s="163" t="n">
        <v>-0.002639388771961623</v>
      </c>
      <c r="P183" s="163" t="n">
        <v>-0.004358328871013723</v>
      </c>
      <c r="Q183" s="163" t="n">
        <v>0.0002182911177241635</v>
      </c>
      <c r="R183" s="163" t="n">
        <v>0.0002184204211931034</v>
      </c>
      <c r="S183" s="163" t="n">
        <v>-0.00957526875166546</v>
      </c>
      <c r="T183" s="163" t="n">
        <v>0</v>
      </c>
      <c r="U183" s="163" t="n">
        <v>-0.01887612780981723</v>
      </c>
      <c r="V183" s="171">
        <f>C183-U183</f>
        <v/>
      </c>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64" t="inlineStr">
        <is>
          <t>2019-08</t>
        </is>
      </c>
      <c r="B184" s="163" t="n">
        <v>0.06171477452456031</v>
      </c>
      <c r="C184" s="163" t="n">
        <v>0.04341881811881231</v>
      </c>
      <c r="D184" s="163" t="n">
        <v>0.018295956405748</v>
      </c>
      <c r="E184" s="170" t="n">
        <v>3410.729032258067</v>
      </c>
      <c r="F184" s="170" t="n">
        <v>3348.893874143188</v>
      </c>
      <c r="G184" s="163" t="n">
        <v>0.003180297575970861</v>
      </c>
      <c r="H184" s="163" t="n">
        <v>0.002413718457810572</v>
      </c>
      <c r="I184" s="163" t="n">
        <v>0.0007698847065011411</v>
      </c>
      <c r="J184" s="163" t="n">
        <v>9.925913110539568e-05</v>
      </c>
      <c r="K184" s="163" t="n">
        <v>0.0001870527062642619</v>
      </c>
      <c r="L184" s="163" t="n">
        <v>0.004207251891544507</v>
      </c>
      <c r="M184" s="163" t="n">
        <v>0.004062420371078499</v>
      </c>
      <c r="N184" s="163" t="n">
        <v>0.002544889417580241</v>
      </c>
      <c r="O184" s="163" t="n">
        <v>0.0004412261116260396</v>
      </c>
      <c r="P184" s="163" t="n">
        <v>0.0008362863559299162</v>
      </c>
      <c r="Q184" s="163" t="n">
        <v>-0.0003857279177937928</v>
      </c>
      <c r="R184" s="163" t="n">
        <v>-0.0004521961092530356</v>
      </c>
      <c r="S184" s="163" t="n">
        <v>0.0255144554204477</v>
      </c>
      <c r="T184" s="163" t="n">
        <v>0</v>
      </c>
      <c r="U184" s="163" t="n">
        <v>0.04341881811881231</v>
      </c>
      <c r="V184" s="171">
        <f>C184-U184</f>
        <v/>
      </c>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64" t="inlineStr">
        <is>
          <t>2019-09</t>
        </is>
      </c>
      <c r="B185" s="163" t="n">
        <v>-0.00331034791070195</v>
      </c>
      <c r="C185" s="163" t="n">
        <v>-0.003547215424952755</v>
      </c>
      <c r="D185" s="163" t="n">
        <v>0.0002368675142508055</v>
      </c>
      <c r="E185" s="170" t="n">
        <v>3399.457</v>
      </c>
      <c r="F185" s="170" t="n">
        <v>3398.651874428415</v>
      </c>
      <c r="G185" s="163" t="n">
        <v>0.003180297575970861</v>
      </c>
      <c r="H185" s="163" t="n">
        <v>-0.001723808753240724</v>
      </c>
      <c r="I185" s="163" t="n">
        <v>0.001053364147979825</v>
      </c>
      <c r="J185" s="163" t="n">
        <v>-0.001339998269922841</v>
      </c>
      <c r="K185" s="163" t="n">
        <v>2.00530602020193e-05</v>
      </c>
      <c r="L185" s="163" t="n">
        <v>0.0004604653500768566</v>
      </c>
      <c r="M185" s="163" t="n">
        <v>-0.002272965350130325</v>
      </c>
      <c r="N185" s="163" t="n">
        <v>-0.001959075090808774</v>
      </c>
      <c r="O185" s="163" t="n">
        <v>-0.003500135759363946</v>
      </c>
      <c r="P185" s="163" t="n">
        <v>0.004937950078796851</v>
      </c>
      <c r="Q185" s="163" t="n">
        <v>7.031296167201534e-05</v>
      </c>
      <c r="R185" s="163" t="n">
        <v>-0.002015409611415137</v>
      </c>
      <c r="S185" s="163" t="n">
        <v>-0.0004582657647694354</v>
      </c>
      <c r="T185" s="163" t="n">
        <v>0</v>
      </c>
      <c r="U185" s="163" t="n">
        <v>-0.003547215424952755</v>
      </c>
      <c r="V185" s="171">
        <f>C185-U185</f>
        <v/>
      </c>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64" t="inlineStr">
        <is>
          <t>2019-10</t>
        </is>
      </c>
      <c r="B186" s="163" t="n">
        <v>0.009909567223182592</v>
      </c>
      <c r="C186" s="163" t="n">
        <v>-0.00355893635610267</v>
      </c>
      <c r="D186" s="163" t="n">
        <v>0.01346850357928526</v>
      </c>
      <c r="E186" s="170" t="n">
        <v>3433.311612903226</v>
      </c>
      <c r="F186" s="170" t="n">
        <v>3387.380052183266</v>
      </c>
      <c r="G186" s="163" t="n">
        <v>0.003180297575970861</v>
      </c>
      <c r="H186" s="163" t="n">
        <v>0.0004786037610482766</v>
      </c>
      <c r="I186" s="163" t="n">
        <v>0.0004566537167271942</v>
      </c>
      <c r="J186" s="163" t="n">
        <v>-0.0004466660899742795</v>
      </c>
      <c r="K186" s="163" t="n">
        <v>0.0001856809403687907</v>
      </c>
      <c r="L186" s="163" t="n">
        <v>-0.001191747785927567</v>
      </c>
      <c r="M186" s="163" t="n">
        <v>-6.819456306034518e-05</v>
      </c>
      <c r="N186" s="163" t="n">
        <v>0.0004622800669266066</v>
      </c>
      <c r="O186" s="163" t="n">
        <v>0.0006928761329300519</v>
      </c>
      <c r="P186" s="163" t="n">
        <v>-0.004445570147113738</v>
      </c>
      <c r="Q186" s="163" t="n">
        <v>-0.0002693182682902954</v>
      </c>
      <c r="R186" s="163" t="n">
        <v>0.0003860870044152142</v>
      </c>
      <c r="S186" s="163" t="n">
        <v>-0.002979918700123441</v>
      </c>
      <c r="T186" s="163" t="n">
        <v>0</v>
      </c>
      <c r="U186" s="163" t="n">
        <v>-0.003558936356102671</v>
      </c>
      <c r="V186" s="171">
        <f>C186-U186</f>
        <v/>
      </c>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64" t="inlineStr">
        <is>
          <t>2019-11</t>
        </is>
      </c>
      <c r="B187" s="163" t="n">
        <v>-0.009316707111683087</v>
      </c>
      <c r="C187" s="163" t="n">
        <v>0.006762947381629146</v>
      </c>
      <c r="D187" s="163" t="n">
        <v>-0.01607965449331223</v>
      </c>
      <c r="E187" s="170" t="n">
        <v>3401.473000000001</v>
      </c>
      <c r="F187" s="170" t="n">
        <v>3456.609611455982</v>
      </c>
      <c r="G187" s="163" t="n">
        <v>0.003180297575970861</v>
      </c>
      <c r="H187" s="163" t="n">
        <v>-0.0008610385738042143</v>
      </c>
      <c r="I187" s="163" t="n">
        <v>-0.0002772100779048575</v>
      </c>
      <c r="J187" s="163" t="n">
        <v>-0.001042220876606654</v>
      </c>
      <c r="K187" s="163" t="n">
        <v>-0.0002122470980187172</v>
      </c>
      <c r="L187" s="163" t="n">
        <v>-0.0003866219009532237</v>
      </c>
      <c r="M187" s="163" t="n">
        <v>-0.002414495019037146</v>
      </c>
      <c r="N187" s="163" t="n">
        <v>0.0005553732197609871</v>
      </c>
      <c r="O187" s="163" t="n">
        <v>-0.001191506650955398</v>
      </c>
      <c r="P187" s="163" t="n">
        <v>-0.002847622689164105</v>
      </c>
      <c r="Q187" s="163" t="n">
        <v>0.0002975514133976791</v>
      </c>
      <c r="R187" s="163" t="n">
        <v>-0.00163463148412099</v>
      </c>
      <c r="S187" s="163" t="n">
        <v>0.01359731954306492</v>
      </c>
      <c r="T187" s="163" t="n">
        <v>0</v>
      </c>
      <c r="U187" s="163" t="n">
        <v>0.006762947381629146</v>
      </c>
      <c r="V187" s="171">
        <f>C187-U187</f>
        <v/>
      </c>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64" t="inlineStr">
        <is>
          <t>2019-12</t>
        </is>
      </c>
      <c r="B188" s="163" t="n">
        <v>-0.006909762176782408</v>
      </c>
      <c r="C188" s="163" t="n">
        <v>-0.005284467268034491</v>
      </c>
      <c r="D188" s="163" t="n">
        <v>-0.001625294908747917</v>
      </c>
      <c r="E188" s="170" t="n">
        <v>3378.050645161288</v>
      </c>
      <c r="F188" s="170" t="n">
        <v>3383.545437796032</v>
      </c>
      <c r="G188" s="163" t="n">
        <v>0.003180297575970861</v>
      </c>
      <c r="H188" s="163" t="n">
        <v>-0.00128321461237449</v>
      </c>
      <c r="I188" s="163" t="n">
        <v>-0.0006478986343748749</v>
      </c>
      <c r="J188" s="163" t="n">
        <v>-0.00138962783547554</v>
      </c>
      <c r="K188" s="163" t="n">
        <v>-5.611481237362501e-05</v>
      </c>
      <c r="L188" s="163" t="n">
        <v>-0.001349930060697554</v>
      </c>
      <c r="M188" s="163" t="n">
        <v>0.00107433721762993</v>
      </c>
      <c r="N188" s="163" t="n">
        <v>-0.001848428424365286</v>
      </c>
      <c r="O188" s="163" t="n">
        <v>0.0007305722301686591</v>
      </c>
      <c r="P188" s="163" t="n">
        <v>0.005378485066328233</v>
      </c>
      <c r="Q188" s="163" t="n">
        <v>-0.0002369039961764297</v>
      </c>
      <c r="R188" s="163" t="n">
        <v>-4.412018381677729e-05</v>
      </c>
      <c r="S188" s="163" t="n">
        <v>-0.008791920798477598</v>
      </c>
      <c r="T188" s="163" t="n">
        <v>0</v>
      </c>
      <c r="U188" s="163" t="n">
        <v>-0.005284467268034491</v>
      </c>
      <c r="V188" s="171">
        <f>C188-U188</f>
        <v/>
      </c>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64" t="inlineStr">
        <is>
          <t>2020-01</t>
        </is>
      </c>
      <c r="B189" s="163" t="n">
        <v>-0.01999136436821125</v>
      </c>
      <c r="C189" s="163" t="n">
        <v>-0.009953371264831642</v>
      </c>
      <c r="D189" s="163" t="n">
        <v>-0.01003799310337961</v>
      </c>
      <c r="E189" s="170" t="n">
        <v>3311.189354838711</v>
      </c>
      <c r="F189" s="170" t="n">
        <v>3344.594430210218</v>
      </c>
      <c r="G189" s="163" t="n">
        <v>0.003180297575970861</v>
      </c>
      <c r="H189" s="163" t="n">
        <v>0.004388223323274336</v>
      </c>
      <c r="I189" s="163" t="n">
        <v>0.0005661790802588788</v>
      </c>
      <c r="J189" s="163" t="n">
        <v>0</v>
      </c>
      <c r="K189" s="163" t="n">
        <v>-0.0002548717737532469</v>
      </c>
      <c r="L189" s="163" t="n">
        <v>-0.001316393205920232</v>
      </c>
      <c r="M189" s="163" t="n">
        <v>0.000152224145842538</v>
      </c>
      <c r="N189" s="163" t="n">
        <v>-0.0001638703355717455</v>
      </c>
      <c r="O189" s="163" t="n">
        <v>-0.001192071908989641</v>
      </c>
      <c r="P189" s="163" t="n">
        <v>-0.01178211322030396</v>
      </c>
      <c r="Q189" s="163" t="n">
        <v>0.0001255946202513792</v>
      </c>
      <c r="R189" s="163" t="n">
        <v>-0.0001319187532413099</v>
      </c>
      <c r="S189" s="163" t="n">
        <v>-0.003524650812649505</v>
      </c>
      <c r="T189" s="163" t="n">
        <v>0</v>
      </c>
      <c r="U189" s="163" t="n">
        <v>-0.009953371264831642</v>
      </c>
      <c r="V189" s="171">
        <f>C189-U189</f>
        <v/>
      </c>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64" t="inlineStr">
        <is>
          <t>2020-02</t>
        </is>
      </c>
      <c r="B190" s="163" t="n">
        <v>0.02971352396540361</v>
      </c>
      <c r="C190" s="163" t="n">
        <v>0.04069746572921654</v>
      </c>
      <c r="D190" s="163" t="n">
        <v>-0.01098394176381293</v>
      </c>
      <c r="E190" s="170" t="n">
        <v>3411.052758620691</v>
      </c>
      <c r="F190" s="170" t="n">
        <v>3448.726085525405</v>
      </c>
      <c r="G190" s="163" t="n">
        <v>0.003180297575970861</v>
      </c>
      <c r="H190" s="163" t="n">
        <v>0.005178164115823028</v>
      </c>
      <c r="I190" s="163" t="n">
        <v>-0.0004927142453156564</v>
      </c>
      <c r="J190" s="163" t="n">
        <v>0</v>
      </c>
      <c r="K190" s="163" t="n">
        <v>-0.0002054590909020954</v>
      </c>
      <c r="L190" s="163" t="n">
        <v>0.002979065513685984</v>
      </c>
      <c r="M190" s="163" t="n">
        <v>0.003914224703663242</v>
      </c>
      <c r="N190" s="163" t="n">
        <v>0.0004467409436968367</v>
      </c>
      <c r="O190" s="163" t="n">
        <v>-0.00162117876900549</v>
      </c>
      <c r="P190" s="163" t="n">
        <v>0.01078828557431542</v>
      </c>
      <c r="Q190" s="163" t="n">
        <v>0.0001933863470337822</v>
      </c>
      <c r="R190" s="163" t="n">
        <v>0.001073875798868625</v>
      </c>
      <c r="S190" s="163" t="n">
        <v>0.01526277726138201</v>
      </c>
      <c r="T190" s="163" t="n">
        <v>0</v>
      </c>
      <c r="U190" s="163" t="n">
        <v>0.04069746572921655</v>
      </c>
      <c r="V190" s="171">
        <f>C190-U190</f>
        <v/>
      </c>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64" t="inlineStr">
        <is>
          <t>2020-03</t>
        </is>
      </c>
      <c r="B191" s="163" t="n">
        <v>0.1280531686447226</v>
      </c>
      <c r="C191" s="163" t="n">
        <v>0.132154797437619</v>
      </c>
      <c r="D191" s="163" t="n">
        <v>-0.004101628792896439</v>
      </c>
      <c r="E191" s="170" t="n">
        <v>3877.048387096777</v>
      </c>
      <c r="F191" s="170" t="n">
        <v>3892.983257514577</v>
      </c>
      <c r="G191" s="163" t="n">
        <v>0.003180297575970861</v>
      </c>
      <c r="H191" s="163" t="n">
        <v>0.02061375091978037</v>
      </c>
      <c r="I191" s="163" t="n">
        <v>0.0003441703263960473</v>
      </c>
      <c r="J191" s="163" t="n">
        <v>0.0001488886966580946</v>
      </c>
      <c r="K191" s="163" t="n">
        <v>0.0002664416965673281</v>
      </c>
      <c r="L191" s="163" t="n">
        <v>0.008760179472920814</v>
      </c>
      <c r="M191" s="163" t="n">
        <v>0.01234169897030358</v>
      </c>
      <c r="N191" s="163" t="n">
        <v>0.0294884837799853</v>
      </c>
      <c r="O191" s="163" t="n">
        <v>-0.001175969469086384</v>
      </c>
      <c r="P191" s="163" t="n">
        <v>0.006931298552547471</v>
      </c>
      <c r="Q191" s="163" t="n">
        <v>-0.0003509867926143662</v>
      </c>
      <c r="R191" s="163" t="n">
        <v>0.0003169913399982645</v>
      </c>
      <c r="S191" s="163" t="n">
        <v>0.05401070538887247</v>
      </c>
      <c r="T191" s="163" t="n">
        <v>-0.002721153020680826</v>
      </c>
      <c r="U191" s="163" t="n">
        <v>0.132154797437619</v>
      </c>
      <c r="V191" s="171">
        <f>C191-U191</f>
        <v/>
      </c>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64" t="inlineStr">
        <is>
          <t>2020-04</t>
        </is>
      </c>
      <c r="B192" s="163" t="n">
        <v>0.0255525241929675</v>
      </c>
      <c r="C192" s="163" t="n">
        <v>0.02439573401521839</v>
      </c>
      <c r="D192" s="163" t="n">
        <v>0.001156790177749105</v>
      </c>
      <c r="E192" s="170" t="n">
        <v>3977.393333333336</v>
      </c>
      <c r="F192" s="170" t="n">
        <v>3972.79498396776</v>
      </c>
      <c r="G192" s="163" t="n">
        <v>0.003180297575970861</v>
      </c>
      <c r="H192" s="163" t="n">
        <v>0.003200613564058007</v>
      </c>
      <c r="I192" s="163" t="n">
        <v>0.002234318552811855</v>
      </c>
      <c r="J192" s="163" t="n">
        <v>-0.004455454223650258</v>
      </c>
      <c r="K192" s="163" t="n">
        <v>0.0001133331451744627</v>
      </c>
      <c r="L192" s="163" t="n">
        <v>0.004462598962394513</v>
      </c>
      <c r="M192" s="163" t="n">
        <v>-0.003790001469491799</v>
      </c>
      <c r="N192" s="163" t="n">
        <v>0.007468094901324484</v>
      </c>
      <c r="O192" s="163" t="n">
        <v>0.001863545452102625</v>
      </c>
      <c r="P192" s="163" t="n">
        <v>0.007664098540255735</v>
      </c>
      <c r="Q192" s="163" t="n">
        <v>-0.0004424867408449451</v>
      </c>
      <c r="R192" s="163" t="n">
        <v>-0.008276170123283248</v>
      </c>
      <c r="S192" s="163" t="n">
        <v>0.01389409889907692</v>
      </c>
      <c r="T192" s="163" t="n">
        <v>-0.002721153020680826</v>
      </c>
      <c r="U192" s="163" t="n">
        <v>0.02439573401521839</v>
      </c>
      <c r="V192" s="171">
        <f>C192-U192</f>
        <v/>
      </c>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64" t="inlineStr">
        <is>
          <t>2020-05</t>
        </is>
      </c>
      <c r="B193" s="163" t="n">
        <v>-0.03042808372243577</v>
      </c>
      <c r="C193" s="163" t="n">
        <v>-0.03337292233758245</v>
      </c>
      <c r="D193" s="163" t="n">
        <v>0.002944838615146675</v>
      </c>
      <c r="E193" s="170" t="n">
        <v>3858.191612903225</v>
      </c>
      <c r="F193" s="170" t="n">
        <v>3846.846574109828</v>
      </c>
      <c r="G193" s="163" t="n">
        <v>0.003180297575970861</v>
      </c>
      <c r="H193" s="163" t="n">
        <v>-0.003200613564058007</v>
      </c>
      <c r="I193" s="163" t="n">
        <v>-0.003500095239756003</v>
      </c>
      <c r="J193" s="163" t="n">
        <v>-0.0006563910282776163</v>
      </c>
      <c r="K193" s="163" t="n">
        <v>-0.0007180695621527533</v>
      </c>
      <c r="L193" s="163" t="n">
        <v>-0.001306616027313732</v>
      </c>
      <c r="M193" s="163" t="n">
        <v>-0.003362235043678308</v>
      </c>
      <c r="N193" s="163" t="n">
        <v>-0.009151848521116687</v>
      </c>
      <c r="O193" s="163" t="n">
        <v>-0.002882863533674561</v>
      </c>
      <c r="P193" s="163" t="n">
        <v>-0.01039006111259061</v>
      </c>
      <c r="Q193" s="163" t="n">
        <v>0.001019131254416198</v>
      </c>
      <c r="R193" s="163" t="n">
        <v>0.003396701831772009</v>
      </c>
      <c r="S193" s="163" t="n">
        <v>-0.003079106346442418</v>
      </c>
      <c r="T193" s="163" t="n">
        <v>-0.002721153020680826</v>
      </c>
      <c r="U193" s="163" t="n">
        <v>-0.03337292233758245</v>
      </c>
      <c r="V193" s="171">
        <f>C193-U193</f>
        <v/>
      </c>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64" t="inlineStr">
        <is>
          <t>2020-06</t>
        </is>
      </c>
      <c r="B194" s="163" t="n">
        <v>-0.04143225035767806</v>
      </c>
      <c r="C194" s="163" t="n">
        <v>-0.04726211560275701</v>
      </c>
      <c r="D194" s="163" t="n">
        <v>0.005829865245078954</v>
      </c>
      <c r="E194" s="170" t="n">
        <v>3701.604333333336</v>
      </c>
      <c r="F194" s="170" t="n">
        <v>3680.087260638824</v>
      </c>
      <c r="G194" s="163" t="n">
        <v>0.003180297575970861</v>
      </c>
      <c r="H194" s="163" t="n">
        <v>-0.006939229216506931</v>
      </c>
      <c r="I194" s="163" t="n">
        <v>-0.002980185759873586</v>
      </c>
      <c r="J194" s="163" t="n">
        <v>0.002241335218508933</v>
      </c>
      <c r="K194" s="163" t="n">
        <v>-0.0005506020357768087</v>
      </c>
      <c r="L194" s="163" t="n">
        <v>-0.005856676159601503</v>
      </c>
      <c r="M194" s="163" t="n">
        <v>8.209957826873798e-05</v>
      </c>
      <c r="N194" s="163" t="n">
        <v>-0.008208946494033047</v>
      </c>
      <c r="O194" s="163" t="n">
        <v>-0.0133178011980523</v>
      </c>
      <c r="P194" s="163" t="n">
        <v>-0.004977253305582163</v>
      </c>
      <c r="Q194" s="163" t="n">
        <v>0.0009025198001522601</v>
      </c>
      <c r="R194" s="163" t="n">
        <v>0.007226749895411811</v>
      </c>
      <c r="S194" s="163" t="n">
        <v>-0.01806442350164327</v>
      </c>
      <c r="T194" s="163" t="n">
        <v>0</v>
      </c>
      <c r="U194" s="163" t="n">
        <v>-0.04726211560275701</v>
      </c>
      <c r="V194" s="171">
        <f>C194-U194</f>
        <v/>
      </c>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64" t="inlineStr">
        <is>
          <t>2020-07</t>
        </is>
      </c>
      <c r="B195" s="163" t="n">
        <v>-0.01188620036489318</v>
      </c>
      <c r="C195" s="163" t="n">
        <v>-0.003709674875864005</v>
      </c>
      <c r="D195" s="163" t="n">
        <v>-0.008176525489029179</v>
      </c>
      <c r="E195" s="170" t="n">
        <v>3657.866774193545</v>
      </c>
      <c r="F195" s="170" t="n">
        <v>3687.898023432811</v>
      </c>
      <c r="G195" s="163" t="n">
        <v>0.003180297575970861</v>
      </c>
      <c r="H195" s="163" t="n">
        <v>-0.008085766244388056</v>
      </c>
      <c r="I195" s="163" t="n">
        <v>9.950150834947357e-06</v>
      </c>
      <c r="J195" s="163" t="n">
        <v>0.002870510033418941</v>
      </c>
      <c r="K195" s="163" t="n">
        <v>-0.0009540158809848619</v>
      </c>
      <c r="L195" s="163" t="n">
        <v>-0.001998640393901761</v>
      </c>
      <c r="M195" s="163" t="n">
        <v>-0.00169216212264824</v>
      </c>
      <c r="N195" s="163" t="n">
        <v>-0.002589151302033639</v>
      </c>
      <c r="O195" s="163" t="n">
        <v>-0.001360927512435229</v>
      </c>
      <c r="P195" s="163" t="n">
        <v>0.00175636292982272</v>
      </c>
      <c r="Q195" s="163" t="n">
        <v>-0.001324420875086497</v>
      </c>
      <c r="R195" s="163" t="n">
        <v>0.003063923984888231</v>
      </c>
      <c r="S195" s="163" t="n">
        <v>0.003414364780678576</v>
      </c>
      <c r="T195" s="163" t="n">
        <v>0</v>
      </c>
      <c r="U195" s="163" t="n">
        <v>-0.003709674875864006</v>
      </c>
      <c r="V195" s="171">
        <f>C195-U195</f>
        <v/>
      </c>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64" t="inlineStr">
        <is>
          <t>2020-08</t>
        </is>
      </c>
      <c r="B196" s="163" t="n">
        <v>0.03364403840717323</v>
      </c>
      <c r="C196" s="163" t="n">
        <v>-0.002313751420013168</v>
      </c>
      <c r="D196" s="163" t="n">
        <v>0.03595778982718639</v>
      </c>
      <c r="E196" s="170" t="n">
        <v>3783.025806451612</v>
      </c>
      <c r="F196" s="170" t="n">
        <v>3649.413163298969</v>
      </c>
      <c r="G196" s="163" t="n">
        <v>0.003180297575970861</v>
      </c>
      <c r="H196" s="163" t="n">
        <v>-0.003588791552209517</v>
      </c>
      <c r="I196" s="163" t="n">
        <v>-0.0003308117819971292</v>
      </c>
      <c r="J196" s="163" t="n">
        <v>0.001290368704370142</v>
      </c>
      <c r="K196" s="163" t="n">
        <v>-0.0004633158408054252</v>
      </c>
      <c r="L196" s="163" t="n">
        <v>-0.003575570445210829</v>
      </c>
      <c r="M196" s="163" t="n">
        <v>-0.001821483766673577</v>
      </c>
      <c r="N196" s="163" t="n">
        <v>-0.005321530265064791</v>
      </c>
      <c r="O196" s="163" t="n">
        <v>-0.001801515382503769</v>
      </c>
      <c r="P196" s="163" t="n">
        <v>0.00129792228083446</v>
      </c>
      <c r="Q196" s="163" t="n">
        <v>-5.222750957691705e-05</v>
      </c>
      <c r="R196" s="163" t="n">
        <v>0.00230489166761382</v>
      </c>
      <c r="S196" s="163" t="n">
        <v>0.006568014895239505</v>
      </c>
      <c r="T196" s="163" t="n">
        <v>0</v>
      </c>
      <c r="U196" s="163" t="n">
        <v>-0.002313751420013168</v>
      </c>
      <c r="V196" s="171">
        <f>C196-U196</f>
        <v/>
      </c>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64" t="inlineStr">
        <is>
          <t>2020-09</t>
        </is>
      </c>
      <c r="B197" s="163" t="n">
        <v>-0.008710906761237425</v>
      </c>
      <c r="C197" s="163" t="n">
        <v>-0.0004661238186474152</v>
      </c>
      <c r="D197" s="163" t="n">
        <v>-0.008244782942590009</v>
      </c>
      <c r="E197" s="170" t="n">
        <v>3750.215333333332</v>
      </c>
      <c r="F197" s="170" t="n">
        <v>3781.262858924504</v>
      </c>
      <c r="G197" s="163" t="n">
        <v>0.003180297575970861</v>
      </c>
      <c r="H197" s="163" t="n">
        <v>0.0006085796440352479</v>
      </c>
      <c r="I197" s="163" t="n">
        <v>-0.0006640001264096436</v>
      </c>
      <c r="J197" s="163" t="n">
        <v>0.001210321017994825</v>
      </c>
      <c r="K197" s="163" t="n">
        <v>-0.0004019672827123233</v>
      </c>
      <c r="L197" s="163" t="n">
        <v>-0.001246566074032533</v>
      </c>
      <c r="M197" s="163" t="n">
        <v>0.002160421776749414</v>
      </c>
      <c r="N197" s="163" t="n">
        <v>0.00219887121072643</v>
      </c>
      <c r="O197" s="163" t="n">
        <v>-0.001095840941776768</v>
      </c>
      <c r="P197" s="163" t="n">
        <v>0.004411703050636452</v>
      </c>
      <c r="Q197" s="163" t="n">
        <v>-1.26552806523055e-05</v>
      </c>
      <c r="R197" s="163" t="n">
        <v>-0.0009396252255899319</v>
      </c>
      <c r="S197" s="163" t="n">
        <v>-0.009875663163587138</v>
      </c>
      <c r="T197" s="163" t="n">
        <v>0</v>
      </c>
      <c r="U197" s="163" t="n">
        <v>-0.0004661238186474161</v>
      </c>
      <c r="V197" s="171">
        <f>C197-U197</f>
        <v/>
      </c>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64" t="inlineStr">
        <is>
          <t>2020-10</t>
        </is>
      </c>
      <c r="B198" s="163" t="n">
        <v>0.02204018877712954</v>
      </c>
      <c r="C198" s="163" t="n">
        <v>0.01188981301985707</v>
      </c>
      <c r="D198" s="163" t="n">
        <v>0.01015037575727248</v>
      </c>
      <c r="E198" s="170" t="n">
        <v>3833.788387096776</v>
      </c>
      <c r="F198" s="170" t="n">
        <v>3795.070825714467</v>
      </c>
      <c r="G198" s="163" t="n">
        <v>0.003180297575970861</v>
      </c>
      <c r="H198" s="163" t="n">
        <v>0.0005140380315338048</v>
      </c>
      <c r="I198" s="163" t="n">
        <v>0.0010543437723926</v>
      </c>
      <c r="J198" s="163" t="n">
        <v>0.00139523117352181</v>
      </c>
      <c r="K198" s="163" t="n">
        <v>-0.0007830093621881297</v>
      </c>
      <c r="L198" s="163" t="n">
        <v>-0.001171908737357415</v>
      </c>
      <c r="M198" s="163" t="n">
        <v>0.0007180235502638345</v>
      </c>
      <c r="N198" s="163" t="n">
        <v>-0.002308037654207458</v>
      </c>
      <c r="O198" s="163" t="n">
        <v>0.00106208153258894</v>
      </c>
      <c r="P198" s="163" t="n">
        <v>0.00213671211920869</v>
      </c>
      <c r="Q198" s="163" t="n">
        <v>-0.0002266979566777972</v>
      </c>
      <c r="R198" s="163" t="n">
        <v>-0.001387302326726914</v>
      </c>
      <c r="S198" s="163" t="n">
        <v>0.00770604130153424</v>
      </c>
      <c r="T198" s="163" t="n">
        <v>0</v>
      </c>
      <c r="U198" s="163" t="n">
        <v>0.01188981301985707</v>
      </c>
      <c r="V198" s="171">
        <f>C198-U198</f>
        <v/>
      </c>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64" t="inlineStr">
        <is>
          <t>2020-11</t>
        </is>
      </c>
      <c r="B199" s="163" t="n">
        <v>-0.03941287935321114</v>
      </c>
      <c r="C199" s="163" t="n">
        <v>-0.02331732514507611</v>
      </c>
      <c r="D199" s="163" t="n">
        <v>-0.01609555420813503</v>
      </c>
      <c r="E199" s="170" t="n">
        <v>3685.626666666669</v>
      </c>
      <c r="F199" s="170" t="n">
        <v>3745.428854087455</v>
      </c>
      <c r="G199" s="163" t="n">
        <v>0.003180297575970861</v>
      </c>
      <c r="H199" s="163" t="n">
        <v>-0.001697429699577157</v>
      </c>
      <c r="I199" s="163" t="n">
        <v>0.0007284509602812885</v>
      </c>
      <c r="J199" s="163" t="n">
        <v>0.001116665224935701</v>
      </c>
      <c r="K199" s="163" t="n">
        <v>0.0006656368263137148</v>
      </c>
      <c r="L199" s="163" t="n">
        <v>-0.003532167118755638</v>
      </c>
      <c r="M199" s="163" t="n">
        <v>-0.001871601998384068</v>
      </c>
      <c r="N199" s="163" t="n">
        <v>-0.003880034440334339</v>
      </c>
      <c r="O199" s="163" t="n">
        <v>0.0003067604459417289</v>
      </c>
      <c r="P199" s="163" t="n">
        <v>-0.0007736500822743638</v>
      </c>
      <c r="Q199" s="163" t="n">
        <v>5.800784675425701e-05</v>
      </c>
      <c r="R199" s="163" t="n">
        <v>-0.002554009214206518</v>
      </c>
      <c r="S199" s="163" t="n">
        <v>-0.01506425147174157</v>
      </c>
      <c r="T199" s="163" t="n">
        <v>0</v>
      </c>
      <c r="U199" s="163" t="n">
        <v>-0.02331732514507611</v>
      </c>
      <c r="V199" s="171">
        <f>C199-U199</f>
        <v/>
      </c>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64" t="inlineStr">
        <is>
          <t>2020-12</t>
        </is>
      </c>
      <c r="B200" s="163" t="n">
        <v>-0.0614027097759049</v>
      </c>
      <c r="C200" s="163" t="n">
        <v>-0.03375590472463834</v>
      </c>
      <c r="D200" s="163" t="n">
        <v>-0.02764680505126656</v>
      </c>
      <c r="E200" s="170" t="n">
        <v>3466.127096774195</v>
      </c>
      <c r="F200" s="170" t="n">
        <v>3563.291389178685</v>
      </c>
      <c r="G200" s="163" t="n">
        <v>0.003180297575970861</v>
      </c>
      <c r="H200" s="163" t="n">
        <v>-0.004288951622935766</v>
      </c>
      <c r="I200" s="163" t="n">
        <v>0.0008751046022078539</v>
      </c>
      <c r="J200" s="163" t="n">
        <v>0</v>
      </c>
      <c r="K200" s="163" t="n">
        <v>-0.0003124705290235102</v>
      </c>
      <c r="L200" s="163" t="n">
        <v>-0.004699247725903293</v>
      </c>
      <c r="M200" s="163" t="n">
        <v>-0.001267380432065185</v>
      </c>
      <c r="N200" s="163" t="n">
        <v>-0.001326311953119449</v>
      </c>
      <c r="O200" s="163" t="n">
        <v>-0.001674843450682696</v>
      </c>
      <c r="P200" s="163" t="n">
        <v>-0.007336277469899464</v>
      </c>
      <c r="Q200" s="163" t="n">
        <v>0.0004285874159340825</v>
      </c>
      <c r="R200" s="163" t="n">
        <v>0.0006188560069327381</v>
      </c>
      <c r="S200" s="163" t="n">
        <v>-0.01795326714205451</v>
      </c>
      <c r="T200" s="163" t="n">
        <v>0</v>
      </c>
      <c r="U200" s="163" t="n">
        <v>-0.03375590472463834</v>
      </c>
      <c r="V200" s="171">
        <f>C200-U200</f>
        <v/>
      </c>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64" t="inlineStr">
        <is>
          <t>2021-01</t>
        </is>
      </c>
      <c r="B201" s="163" t="n">
        <v>0.007242489972684396</v>
      </c>
      <c r="C201" s="163" t="n">
        <v>-0.003507800851322509</v>
      </c>
      <c r="D201" s="163" t="n">
        <v>0.01075029082400691</v>
      </c>
      <c r="E201" s="170" t="n">
        <v>3491.321612903226</v>
      </c>
      <c r="F201" s="170" t="n">
        <v>3453.98991305037</v>
      </c>
      <c r="G201" s="163" t="n">
        <v>0.003180297575970861</v>
      </c>
      <c r="H201" s="163" t="n">
        <v>-0.003244596705966607</v>
      </c>
      <c r="I201" s="163" t="n">
        <v>0.0001628838273433623</v>
      </c>
      <c r="J201" s="163" t="n">
        <v>0</v>
      </c>
      <c r="K201" s="163" t="n">
        <v>-0.0006728637700597366</v>
      </c>
      <c r="L201" s="163" t="n">
        <v>-0.0008905049031599028</v>
      </c>
      <c r="M201" s="163" t="n">
        <v>0.001228184045416943</v>
      </c>
      <c r="N201" s="163" t="n">
        <v>0.001106498843194928</v>
      </c>
      <c r="O201" s="163" t="n">
        <v>-0.009023100383700198</v>
      </c>
      <c r="P201" s="163" t="n">
        <v>-0.0002784975457037549</v>
      </c>
      <c r="Q201" s="163" t="n">
        <v>0.0007555062914164441</v>
      </c>
      <c r="R201" s="163" t="n">
        <v>0.0008465147266189069</v>
      </c>
      <c r="S201" s="163" t="n">
        <v>0.003321877147306244</v>
      </c>
      <c r="T201" s="163" t="n">
        <v>0</v>
      </c>
      <c r="U201" s="163" t="n">
        <v>-0.003507800851322509</v>
      </c>
      <c r="V201" s="171">
        <f>C201-U201</f>
        <v/>
      </c>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64" t="inlineStr">
        <is>
          <t>2021-02</t>
        </is>
      </c>
      <c r="B202" s="163" t="n">
        <v>0.01793526192511763</v>
      </c>
      <c r="C202" s="163" t="n">
        <v>0.0127819717473508</v>
      </c>
      <c r="D202" s="163" t="n">
        <v>0.005153290177766825</v>
      </c>
      <c r="E202" s="170" t="n">
        <v>3554.504285714289</v>
      </c>
      <c r="F202" s="170" t="n">
        <v>3536.23401014043</v>
      </c>
      <c r="G202" s="163" t="n">
        <v>0.003180297575970861</v>
      </c>
      <c r="H202" s="163" t="n">
        <v>0.000529422241712942</v>
      </c>
      <c r="I202" s="163" t="n">
        <v>0.0001415066962969849</v>
      </c>
      <c r="J202" s="163" t="n">
        <v>0</v>
      </c>
      <c r="K202" s="163" t="n">
        <v>0.0005252085395647373</v>
      </c>
      <c r="L202" s="163" t="n">
        <v>0.00114463588401021</v>
      </c>
      <c r="M202" s="163" t="n">
        <v>-0.0008428888226522722</v>
      </c>
      <c r="N202" s="163" t="n">
        <v>-0.0004493956914012406</v>
      </c>
      <c r="O202" s="163" t="n">
        <v>0.0001488786810544904</v>
      </c>
      <c r="P202" s="163" t="n">
        <v>0.00460010978341696</v>
      </c>
      <c r="Q202" s="163" t="n">
        <v>-0.001038736350966778</v>
      </c>
      <c r="R202" s="163" t="n">
        <v>0.0002155967520235975</v>
      </c>
      <c r="S202" s="163" t="n">
        <v>0.004627336458320312</v>
      </c>
      <c r="T202" s="163" t="n">
        <v>0</v>
      </c>
      <c r="U202" s="163" t="n">
        <v>0.0127819717473508</v>
      </c>
      <c r="V202" s="171">
        <f>C202-U202</f>
        <v/>
      </c>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64" t="inlineStr">
        <is>
          <t>2021-03</t>
        </is>
      </c>
      <c r="B203" s="163" t="n">
        <v>0.01625873258315025</v>
      </c>
      <c r="C203" s="163" t="n">
        <v>0.0158941182836364</v>
      </c>
      <c r="D203" s="163" t="n">
        <v>0.000364614299513847</v>
      </c>
      <c r="E203" s="170" t="n">
        <v>3612.768387096772</v>
      </c>
      <c r="F203" s="170" t="n">
        <v>3611.451360200016</v>
      </c>
      <c r="G203" s="163" t="n">
        <v>0.003180297575970861</v>
      </c>
      <c r="H203" s="163" t="n">
        <v>-0.002911523000460479</v>
      </c>
      <c r="I203" s="163" t="n">
        <v>0.001009101752084412</v>
      </c>
      <c r="J203" s="163" t="n">
        <v>-4.962956555269784e-05</v>
      </c>
      <c r="K203" s="163" t="n">
        <v>-0.0004497049225614515</v>
      </c>
      <c r="L203" s="163" t="n">
        <v>0.002827718367826918</v>
      </c>
      <c r="M203" s="163" t="n">
        <v>-0.0006600792633064236</v>
      </c>
      <c r="N203" s="163" t="n">
        <v>0.001624917974910632</v>
      </c>
      <c r="O203" s="163" t="n">
        <v>0.0001279407066034717</v>
      </c>
      <c r="P203" s="163" t="n">
        <v>-0.002751645882980351</v>
      </c>
      <c r="Q203" s="163" t="n">
        <v>-0.0001232744938896449</v>
      </c>
      <c r="R203" s="163" t="n">
        <v>0.0007752095011922441</v>
      </c>
      <c r="S203" s="163" t="n">
        <v>0.01329478953379891</v>
      </c>
      <c r="T203" s="163" t="n">
        <v>0</v>
      </c>
      <c r="U203" s="163" t="n">
        <v>0.0158941182836364</v>
      </c>
      <c r="V203" s="171">
        <f>C203-U203</f>
        <v/>
      </c>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64" t="inlineStr">
        <is>
          <t>2021-04</t>
        </is>
      </c>
      <c r="B204" s="163" t="n">
        <v>0.0104654030524518</v>
      </c>
      <c r="C204" s="163" t="n">
        <v>-0.002346275203280181</v>
      </c>
      <c r="D204" s="163" t="n">
        <v>0.01281167825573199</v>
      </c>
      <c r="E204" s="170" t="n">
        <v>3650.776</v>
      </c>
      <c r="F204" s="170" t="n">
        <v>3604.301774600475</v>
      </c>
      <c r="G204" s="163" t="n">
        <v>0.003180297575970861</v>
      </c>
      <c r="H204" s="163" t="n">
        <v>0.005251043752292702</v>
      </c>
      <c r="I204" s="163" t="n">
        <v>0.001100259104457868</v>
      </c>
      <c r="J204" s="163" t="n">
        <v>-4.962956555269784e-05</v>
      </c>
      <c r="K204" s="163" t="n">
        <v>9.645890997384128e-05</v>
      </c>
      <c r="L204" s="163" t="n">
        <v>-0.00150522756712131</v>
      </c>
      <c r="M204" s="163" t="n">
        <v>-0.002590789025914395</v>
      </c>
      <c r="N204" s="163" t="n">
        <v>-0.0005416167998381745</v>
      </c>
      <c r="O204" s="163" t="n">
        <v>0.0003719917102173405</v>
      </c>
      <c r="P204" s="163" t="n">
        <v>0.005212565158438827</v>
      </c>
      <c r="Q204" s="163" t="n">
        <v>-0.0001568792033081341</v>
      </c>
      <c r="R204" s="163" t="n">
        <v>-0.0002621322453337674</v>
      </c>
      <c r="S204" s="163" t="n">
        <v>-0.01245261700756314</v>
      </c>
      <c r="T204" s="163" t="n">
        <v>0</v>
      </c>
      <c r="U204" s="163" t="n">
        <v>-0.002346275203280181</v>
      </c>
      <c r="V204" s="171">
        <f>C204-U204</f>
        <v/>
      </c>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64" t="inlineStr">
        <is>
          <t>2021-05</t>
        </is>
      </c>
      <c r="B205" s="163" t="n">
        <v>0.02298640274513808</v>
      </c>
      <c r="C205" s="163" t="n">
        <v>0.00722887755403295</v>
      </c>
      <c r="D205" s="163" t="n">
        <v>0.01575752519110513</v>
      </c>
      <c r="E205" s="170" t="n">
        <v>3735.66612903226</v>
      </c>
      <c r="F205" s="170" t="n">
        <v>3677.262631647869</v>
      </c>
      <c r="G205" s="163" t="n">
        <v>0.003180297575970861</v>
      </c>
      <c r="H205" s="163" t="n">
        <v>-0.001452633739450712</v>
      </c>
      <c r="I205" s="163" t="n">
        <v>0.005002675130986316</v>
      </c>
      <c r="J205" s="163" t="n">
        <v>0</v>
      </c>
      <c r="K205" s="163" t="n">
        <v>0.0001769251462323582</v>
      </c>
      <c r="L205" s="163" t="n">
        <v>-0.003063438864261946</v>
      </c>
      <c r="M205" s="163" t="n">
        <v>0.00144460384294731</v>
      </c>
      <c r="N205" s="163" t="n">
        <v>0.00285868059624061</v>
      </c>
      <c r="O205" s="163" t="n">
        <v>-0.0009194554860333031</v>
      </c>
      <c r="P205" s="163" t="n">
        <v>-0.001608730734167487</v>
      </c>
      <c r="Q205" s="163" t="n">
        <v>0.0002613743260387437</v>
      </c>
      <c r="R205" s="163" t="n">
        <v>0.001180055631019445</v>
      </c>
      <c r="S205" s="163" t="n">
        <v>0.0001685241285107553</v>
      </c>
      <c r="T205" s="163" t="n">
        <v>0</v>
      </c>
      <c r="U205" s="163" t="n">
        <v>0.007228877554032951</v>
      </c>
      <c r="V205" s="171">
        <f>C205-U205</f>
        <v/>
      </c>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64" t="inlineStr">
        <is>
          <t>2021-06</t>
        </is>
      </c>
      <c r="B206" s="163" t="n">
        <v>-0.01364404643695494</v>
      </c>
      <c r="C206" s="163" t="n">
        <v>0.007202171598485267</v>
      </c>
      <c r="D206" s="163" t="n">
        <v>-0.02084621803544021</v>
      </c>
      <c r="E206" s="170" t="n">
        <v>3685.042666666665</v>
      </c>
      <c r="F206" s="170" t="n">
        <v>3762.668157430179</v>
      </c>
      <c r="G206" s="163" t="n">
        <v>0.003180297575970861</v>
      </c>
      <c r="H206" s="163" t="n">
        <v>-0.004244906047955918</v>
      </c>
      <c r="I206" s="163" t="n">
        <v>0.004129228863652102</v>
      </c>
      <c r="J206" s="163" t="n">
        <v>-4.962956555269784e-05</v>
      </c>
      <c r="K206" s="163" t="n">
        <v>0.0002046671557616164</v>
      </c>
      <c r="L206" s="163" t="n">
        <v>0.0007920637530249101</v>
      </c>
      <c r="M206" s="163" t="n">
        <v>-0.001750378166004284</v>
      </c>
      <c r="N206" s="163" t="n">
        <v>0.001143472238496239</v>
      </c>
      <c r="O206" s="163" t="n">
        <v>-0.0002917955938413096</v>
      </c>
      <c r="P206" s="163" t="n">
        <v>-0.002988469907094433</v>
      </c>
      <c r="Q206" s="163" t="n">
        <v>-3.283385532399363e-05</v>
      </c>
      <c r="R206" s="163" t="n">
        <v>-0.001417290474497966</v>
      </c>
      <c r="S206" s="163" t="n">
        <v>0.008527745621850139</v>
      </c>
      <c r="T206" s="163" t="n">
        <v>0</v>
      </c>
      <c r="U206" s="163" t="n">
        <v>0.007202171598485267</v>
      </c>
      <c r="V206" s="171">
        <f>C206-U206</f>
        <v/>
      </c>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64" t="inlineStr">
        <is>
          <t>2021-07</t>
        </is>
      </c>
      <c r="B207" s="163" t="n">
        <v>0.03843074622314369</v>
      </c>
      <c r="C207" s="163" t="n">
        <v>0.02652751023611673</v>
      </c>
      <c r="D207" s="163" t="n">
        <v>0.01190323598702695</v>
      </c>
      <c r="E207" s="170" t="n">
        <v>3829.418064516129</v>
      </c>
      <c r="F207" s="170" t="n">
        <v>3784.10581381969</v>
      </c>
      <c r="G207" s="163" t="n">
        <v>0.003180297575970861</v>
      </c>
      <c r="H207" s="163" t="n">
        <v>0.0009824840207985791</v>
      </c>
      <c r="I207" s="163" t="n">
        <v>0.002223379555608794</v>
      </c>
      <c r="J207" s="163" t="n">
        <v>9.925913110539568e-05</v>
      </c>
      <c r="K207" s="163" t="n">
        <v>0.0001141400904773912</v>
      </c>
      <c r="L207" s="163" t="n">
        <v>0.003193615648812826</v>
      </c>
      <c r="M207" s="163" t="n">
        <v>0.0004280373259035805</v>
      </c>
      <c r="N207" s="163" t="n">
        <v>0.004064322199159942</v>
      </c>
      <c r="O207" s="163" t="n">
        <v>0.00112750437440289</v>
      </c>
      <c r="P207" s="163" t="n">
        <v>0.003651420101792132</v>
      </c>
      <c r="Q207" s="163" t="n">
        <v>-4.858851773287171e-05</v>
      </c>
      <c r="R207" s="163" t="n">
        <v>-0.001256256883211107</v>
      </c>
      <c r="S207" s="163" t="n">
        <v>0.008767895613028317</v>
      </c>
      <c r="T207" s="163" t="n">
        <v>0</v>
      </c>
      <c r="U207" s="163" t="n">
        <v>0.02652751023611673</v>
      </c>
      <c r="V207" s="171">
        <f>C207-U207</f>
        <v/>
      </c>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64" t="inlineStr">
        <is>
          <t>2021-08</t>
        </is>
      </c>
      <c r="B208" s="163" t="n">
        <v>0.01342729509588025</v>
      </c>
      <c r="C208" s="163" t="n">
        <v>0.03359955526820326</v>
      </c>
      <c r="D208" s="163" t="n">
        <v>-0.02017226017232301</v>
      </c>
      <c r="E208" s="170" t="n">
        <v>3881.183548387099</v>
      </c>
      <c r="F208" s="170" t="n">
        <v>3960.270795129627</v>
      </c>
      <c r="G208" s="163" t="n">
        <v>0.003180297575970861</v>
      </c>
      <c r="H208" s="163" t="n">
        <v>-2.015609010477462e-05</v>
      </c>
      <c r="I208" s="163" t="n">
        <v>0.001980291228601925</v>
      </c>
      <c r="J208" s="163" t="n">
        <v>9.925913110539568e-05</v>
      </c>
      <c r="K208" s="163" t="n">
        <v>0.000206959127820793</v>
      </c>
      <c r="L208" s="163" t="n">
        <v>0.0007233228526327821</v>
      </c>
      <c r="M208" s="163" t="n">
        <v>-8.518878616534571e-05</v>
      </c>
      <c r="N208" s="163" t="n">
        <v>0.001725199862740934</v>
      </c>
      <c r="O208" s="163" t="n">
        <v>0.000194049639086761</v>
      </c>
      <c r="P208" s="163" t="n">
        <v>0.003825415462306587</v>
      </c>
      <c r="Q208" s="163" t="n">
        <v>-7.471051936561527e-05</v>
      </c>
      <c r="R208" s="163" t="n">
        <v>0.002495588799998852</v>
      </c>
      <c r="S208" s="163" t="n">
        <v>0.0193492269835741</v>
      </c>
      <c r="T208" s="163" t="n">
        <v>0</v>
      </c>
      <c r="U208" s="163" t="n">
        <v>0.03359955526820325</v>
      </c>
      <c r="V208" s="171">
        <f>C208-U208</f>
        <v/>
      </c>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64" t="inlineStr">
        <is>
          <t>2021-09</t>
        </is>
      </c>
      <c r="B209" s="163" t="n">
        <v>-0.01548727319876164</v>
      </c>
      <c r="C209" s="163" t="n">
        <v>-0.01301620388401831</v>
      </c>
      <c r="D209" s="163" t="n">
        <v>-0.002471069314743335</v>
      </c>
      <c r="E209" s="170" t="n">
        <v>3821.537666666666</v>
      </c>
      <c r="F209" s="170" t="n">
        <v>3830.992628251483</v>
      </c>
      <c r="G209" s="163" t="n">
        <v>0.003180297575970861</v>
      </c>
      <c r="H209" s="163" t="n">
        <v>-0.00656501402376311</v>
      </c>
      <c r="I209" s="163" t="n">
        <v>0.001347108155098398</v>
      </c>
      <c r="J209" s="163" t="n">
        <v>-4.962956555269784e-05</v>
      </c>
      <c r="K209" s="163" t="n">
        <v>0.001014930794725221</v>
      </c>
      <c r="L209" s="163" t="n">
        <v>8.772851136941515e-05</v>
      </c>
      <c r="M209" s="163" t="n">
        <v>0.001444670178556562</v>
      </c>
      <c r="N209" s="163" t="n">
        <v>0.0007460323730771491</v>
      </c>
      <c r="O209" s="163" t="n">
        <v>0.0001590447809701994</v>
      </c>
      <c r="P209" s="163" t="n">
        <v>-0.01540360024965403</v>
      </c>
      <c r="Q209" s="163" t="n">
        <v>0.0001344252114087389</v>
      </c>
      <c r="R209" s="163" t="n">
        <v>-0.0008131229108693053</v>
      </c>
      <c r="S209" s="163" t="n">
        <v>0.001700925284644295</v>
      </c>
      <c r="T209" s="163" t="n">
        <v>0</v>
      </c>
      <c r="U209" s="163" t="n">
        <v>-0.01301620388401831</v>
      </c>
      <c r="V209" s="171">
        <f>C209-U209</f>
        <v/>
      </c>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64" t="inlineStr">
        <is>
          <t>2021-10</t>
        </is>
      </c>
      <c r="B210" s="163" t="n">
        <v>-0.01268060929414361</v>
      </c>
      <c r="C210" s="163" t="n">
        <v>0.01554429969098764</v>
      </c>
      <c r="D210" s="163" t="n">
        <v>-0.02822490898513125</v>
      </c>
      <c r="E210" s="170" t="n">
        <v>3773.384193548388</v>
      </c>
      <c r="F210" s="170" t="n">
        <v>3881.40488498151</v>
      </c>
      <c r="G210" s="163" t="n">
        <v>0.003180297575970861</v>
      </c>
      <c r="H210" s="163" t="n">
        <v>-0.001857474762503287</v>
      </c>
      <c r="I210" s="163" t="n">
        <v>0.000367180683013612</v>
      </c>
      <c r="J210" s="163" t="n">
        <v>-4.962956555269784e-05</v>
      </c>
      <c r="K210" s="163" t="n">
        <v>0.0003309081486587214</v>
      </c>
      <c r="L210" s="163" t="n">
        <v>0.001315437259545849</v>
      </c>
      <c r="M210" s="163" t="n">
        <v>-0.001186577096525146</v>
      </c>
      <c r="N210" s="163" t="n">
        <v>0.001512417811888073</v>
      </c>
      <c r="O210" s="163" t="n">
        <v>0.0006266399235745366</v>
      </c>
      <c r="P210" s="163" t="n">
        <v>0.008100598555186444</v>
      </c>
      <c r="Q210" s="163" t="n">
        <v>-8.370171615954535e-05</v>
      </c>
      <c r="R210" s="163" t="n">
        <v>-0.002149407546518043</v>
      </c>
      <c r="S210" s="163" t="n">
        <v>0.005437610420408269</v>
      </c>
      <c r="T210" s="163" t="n">
        <v>0</v>
      </c>
      <c r="U210" s="163" t="n">
        <v>0.01554429969098765</v>
      </c>
      <c r="V210" s="171">
        <f>C210-U210</f>
        <v/>
      </c>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64" t="inlineStr">
        <is>
          <t>2021-11</t>
        </is>
      </c>
      <c r="B211" s="163" t="n">
        <v>0.03374785990134299</v>
      </c>
      <c r="C211" s="163" t="n">
        <v>0.006060014264921085</v>
      </c>
      <c r="D211" s="163" t="n">
        <v>0.02768784563642191</v>
      </c>
      <c r="E211" s="170" t="n">
        <v>3902.900999999997</v>
      </c>
      <c r="F211" s="170" t="n">
        <v>3796.320382211656</v>
      </c>
      <c r="G211" s="163" t="n">
        <v>0.003180297575970861</v>
      </c>
      <c r="H211" s="163" t="n">
        <v>-0.0008237649502150022</v>
      </c>
      <c r="I211" s="163" t="n">
        <v>0.0002138583936641449</v>
      </c>
      <c r="J211" s="163" t="n">
        <v>-0.001240739138817445</v>
      </c>
      <c r="K211" s="163" t="n">
        <v>-0.001063222810640372</v>
      </c>
      <c r="L211" s="163" t="n">
        <v>0.001952894512240024</v>
      </c>
      <c r="M211" s="163" t="n">
        <v>0.000395720627255567</v>
      </c>
      <c r="N211" s="163" t="n">
        <v>0.004712289800974479</v>
      </c>
      <c r="O211" s="163" t="n">
        <v>-0.0003544975757442284</v>
      </c>
      <c r="P211" s="163" t="n">
        <v>-0.002356351088822156</v>
      </c>
      <c r="Q211" s="163" t="n">
        <v>0.000219349316193677</v>
      </c>
      <c r="R211" s="163" t="n">
        <v>-0.000769748136771543</v>
      </c>
      <c r="S211" s="163" t="n">
        <v>0.001993927739633078</v>
      </c>
      <c r="T211" s="163" t="n">
        <v>0</v>
      </c>
      <c r="U211" s="163" t="n">
        <v>0.006060014264921084</v>
      </c>
      <c r="V211" s="171">
        <f>C211-U211</f>
        <v/>
      </c>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64" t="inlineStr">
        <is>
          <t>2021-12</t>
        </is>
      </c>
      <c r="B212" s="163" t="n">
        <v>0.01531488967826888</v>
      </c>
      <c r="C212" s="163" t="n">
        <v>0.03139152198893443</v>
      </c>
      <c r="D212" s="163" t="n">
        <v>-0.01607663231066554</v>
      </c>
      <c r="E212" s="170" t="n">
        <v>3963.133548387098</v>
      </c>
      <c r="F212" s="170" t="n">
        <v>4027.362296865009</v>
      </c>
      <c r="G212" s="163" t="n">
        <v>0.003180297575970861</v>
      </c>
      <c r="H212" s="163" t="n">
        <v>0.0007257467958974659</v>
      </c>
      <c r="I212" s="163" t="n">
        <v>0.002596508853512857</v>
      </c>
      <c r="J212" s="163" t="n">
        <v>-0.00239876233504706</v>
      </c>
      <c r="K212" s="163" t="n">
        <v>-0.0002954164761727374</v>
      </c>
      <c r="L212" s="163" t="n">
        <v>0.001704723436252236</v>
      </c>
      <c r="M212" s="163" t="n">
        <v>0.001641169352371607</v>
      </c>
      <c r="N212" s="163" t="n">
        <v>0.004845155901234819</v>
      </c>
      <c r="O212" s="163" t="n">
        <v>0.001301085792598781</v>
      </c>
      <c r="P212" s="163" t="n">
        <v>0.009501170619667593</v>
      </c>
      <c r="Q212" s="163" t="n">
        <v>-0.0004427742051846736</v>
      </c>
      <c r="R212" s="163" t="n">
        <v>-2.914425402230224e-05</v>
      </c>
      <c r="S212" s="163" t="n">
        <v>0.009061760931854982</v>
      </c>
      <c r="T212" s="163" t="n">
        <v>0</v>
      </c>
      <c r="U212" s="163" t="n">
        <v>0.03139152198893443</v>
      </c>
      <c r="V212" s="171">
        <f>C212-U212</f>
        <v/>
      </c>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64" t="inlineStr">
        <is>
          <t>2022-01</t>
        </is>
      </c>
      <c r="B213" s="163" t="n">
        <v>0.009163376321476235</v>
      </c>
      <c r="C213" s="163" t="n">
        <v>-0.04087955307524235</v>
      </c>
      <c r="D213" s="163" t="n">
        <v>0.05004292939671858</v>
      </c>
      <c r="E213" s="170" t="n">
        <v>3999.616129032256</v>
      </c>
      <c r="F213" s="170" t="n">
        <v>3804.389225003145</v>
      </c>
      <c r="G213" s="163" t="n">
        <v>0.003180297575970861</v>
      </c>
      <c r="H213" s="163" t="n">
        <v>-0.006625105356666307</v>
      </c>
      <c r="I213" s="163" t="n">
        <v>0.001917987357108004</v>
      </c>
      <c r="J213" s="163" t="n">
        <v>-0.001043288179091657</v>
      </c>
      <c r="K213" s="163" t="n">
        <v>-0.0002467986688904423</v>
      </c>
      <c r="L213" s="163" t="n">
        <v>-0.001605037458807565</v>
      </c>
      <c r="M213" s="163" t="n">
        <v>0.0009388012455655633</v>
      </c>
      <c r="N213" s="163" t="n">
        <v>0.001465774699190717</v>
      </c>
      <c r="O213" s="163" t="n">
        <v>-0.0002362565142610547</v>
      </c>
      <c r="P213" s="163" t="n">
        <v>-0.01183938770829954</v>
      </c>
      <c r="Q213" s="163" t="n">
        <v>0.0002440965462917511</v>
      </c>
      <c r="R213" s="163" t="n">
        <v>-0.002671430238188059</v>
      </c>
      <c r="S213" s="163" t="n">
        <v>-0.02435920637516462</v>
      </c>
      <c r="T213" s="163" t="n">
        <v>0</v>
      </c>
      <c r="U213" s="163" t="n">
        <v>-0.04087955307524235</v>
      </c>
      <c r="V213" s="171">
        <f>C213-U213</f>
        <v/>
      </c>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64" t="inlineStr">
        <is>
          <t>2022-02</t>
        </is>
      </c>
      <c r="B214" s="163" t="n">
        <v>-0.01607514971053448</v>
      </c>
      <c r="C214" s="163" t="n">
        <v>-0.009057402929239813</v>
      </c>
      <c r="D214" s="163" t="n">
        <v>-0.007017746781294663</v>
      </c>
      <c r="E214" s="170" t="n">
        <v>3935.835714285714</v>
      </c>
      <c r="F214" s="170" t="n">
        <v>3963.553557347598</v>
      </c>
      <c r="G214" s="163" t="n">
        <v>0.003180297575970861</v>
      </c>
      <c r="H214" s="163" t="n">
        <v>0.0008757764051267081</v>
      </c>
      <c r="I214" s="163" t="n">
        <v>0.001359968782591165</v>
      </c>
      <c r="J214" s="163" t="n">
        <v>-0.0016810014138817</v>
      </c>
      <c r="K214" s="163" t="n">
        <v>0.001323225083439411</v>
      </c>
      <c r="L214" s="163" t="n">
        <v>-8.299963149777877e-05</v>
      </c>
      <c r="M214" s="163" t="n">
        <v>0.001201583575541101</v>
      </c>
      <c r="N214" s="163" t="n">
        <v>0.002796104170502828</v>
      </c>
      <c r="O214" s="163" t="n">
        <v>0.001583652123840358</v>
      </c>
      <c r="P214" s="163" t="n">
        <v>0.003777156198659207</v>
      </c>
      <c r="Q214" s="163" t="n">
        <v>-2.122503666377396e-05</v>
      </c>
      <c r="R214" s="163" t="n">
        <v>-0.003790184510293909</v>
      </c>
      <c r="S214" s="163" t="n">
        <v>-0.01957975625257429</v>
      </c>
      <c r="T214" s="163" t="n">
        <v>0</v>
      </c>
      <c r="U214" s="163" t="n">
        <v>-0.009057402929239813</v>
      </c>
      <c r="V214" s="171">
        <f>C214-U214</f>
        <v/>
      </c>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64" t="inlineStr">
        <is>
          <t>2022-03</t>
        </is>
      </c>
      <c r="B215" s="163" t="n">
        <v>-0.03323685388590292</v>
      </c>
      <c r="C215" s="163" t="n">
        <v>-0.01675865687098538</v>
      </c>
      <c r="D215" s="163" t="n">
        <v>-0.01647819701491754</v>
      </c>
      <c r="E215" s="170" t="n">
        <v>3807.170967741936</v>
      </c>
      <c r="F215" s="170" t="n">
        <v>3870.426014275105</v>
      </c>
      <c r="G215" s="163" t="n">
        <v>0.003180297575970861</v>
      </c>
      <c r="H215" s="163" t="n">
        <v>-0.005144508091364961</v>
      </c>
      <c r="I215" s="163" t="n">
        <v>0.000475707363835131</v>
      </c>
      <c r="J215" s="163" t="n">
        <v>-0.004802861182519142</v>
      </c>
      <c r="K215" s="163" t="n">
        <v>7.178840222544923e-05</v>
      </c>
      <c r="L215" s="163" t="n">
        <v>0.002699839988914616</v>
      </c>
      <c r="M215" s="163" t="n">
        <v>0.000529677361478594</v>
      </c>
      <c r="N215" s="163" t="n">
        <v>-0.001191928624322598</v>
      </c>
      <c r="O215" s="163" t="n">
        <v>-0.0001022959606229465</v>
      </c>
      <c r="P215" s="163" t="n">
        <v>0.001609516757486643</v>
      </c>
      <c r="Q215" s="163" t="n">
        <v>0.0001475572712924393</v>
      </c>
      <c r="R215" s="163" t="n">
        <v>-0.002496068805095309</v>
      </c>
      <c r="S215" s="163" t="n">
        <v>-0.01173537892826416</v>
      </c>
      <c r="T215" s="163" t="n">
        <v>0</v>
      </c>
      <c r="U215" s="163" t="n">
        <v>-0.01675865687098538</v>
      </c>
      <c r="V215" s="171">
        <f>C215-U215</f>
        <v/>
      </c>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64" t="inlineStr">
        <is>
          <t>2022-04</t>
        </is>
      </c>
      <c r="B216" s="163" t="n">
        <v>-0.003733868064788481</v>
      </c>
      <c r="C216" s="163" t="n">
        <v>-0.005511907934499545</v>
      </c>
      <c r="D216" s="163" t="n">
        <v>0.001778039869711064</v>
      </c>
      <c r="E216" s="170" t="n">
        <v>3792.981999999997</v>
      </c>
      <c r="F216" s="170" t="n">
        <v>3786.243918842535</v>
      </c>
      <c r="G216" s="163" t="n">
        <v>0.003180297575970861</v>
      </c>
      <c r="H216" s="163" t="n">
        <v>-0.002980185578663217</v>
      </c>
      <c r="I216" s="163" t="n">
        <v>-0.0007093065788638275</v>
      </c>
      <c r="J216" s="163" t="n">
        <v>0.0005955547866323741</v>
      </c>
      <c r="K216" s="163" t="n">
        <v>-0.00050175519177118</v>
      </c>
      <c r="L216" s="163" t="n">
        <v>0.001816015833926532</v>
      </c>
      <c r="M216" s="163" t="n">
        <v>-0.001157427659816838</v>
      </c>
      <c r="N216" s="163" t="n">
        <v>-0.003419669009630897</v>
      </c>
      <c r="O216" s="163" t="n">
        <v>0.00141676511964119</v>
      </c>
      <c r="P216" s="163" t="n">
        <v>0.001368971289082538</v>
      </c>
      <c r="Q216" s="163" t="n">
        <v>-0.0001870133412786129</v>
      </c>
      <c r="R216" s="163" t="n">
        <v>0.0009113249833867864</v>
      </c>
      <c r="S216" s="163" t="n">
        <v>-0.005845480163115257</v>
      </c>
      <c r="T216" s="163" t="n">
        <v>0</v>
      </c>
      <c r="U216" s="163" t="n">
        <v>-0.005511907934499545</v>
      </c>
      <c r="V216" s="171">
        <f>C216-U216</f>
        <v/>
      </c>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64" t="inlineStr">
        <is>
          <t>2022-05</t>
        </is>
      </c>
      <c r="B217" s="163" t="n">
        <v>0.05790034308190606</v>
      </c>
      <c r="C217" s="163" t="n">
        <v>0.04607777471569741</v>
      </c>
      <c r="D217" s="163" t="n">
        <v>0.01182256836620865</v>
      </c>
      <c r="E217" s="170" t="n">
        <v>4019.079354838708</v>
      </c>
      <c r="F217" s="170" t="n">
        <v>3971.843290390628</v>
      </c>
      <c r="G217" s="163" t="n">
        <v>0.003180297575970861</v>
      </c>
      <c r="H217" s="163" t="n">
        <v>0.005549979376170994</v>
      </c>
      <c r="I217" s="163" t="n">
        <v>0.0005280090936620953</v>
      </c>
      <c r="J217" s="163" t="n">
        <v>-0.004317772203084709</v>
      </c>
      <c r="K217" s="163" t="n">
        <v>0.0003002584524765324</v>
      </c>
      <c r="L217" s="163" t="n">
        <v>0.005152824597733264</v>
      </c>
      <c r="M217" s="163" t="n">
        <v>0.002111187805722525</v>
      </c>
      <c r="N217" s="163" t="n">
        <v>0.006594023241994995</v>
      </c>
      <c r="O217" s="163" t="n">
        <v>0.002696535087727934</v>
      </c>
      <c r="P217" s="163" t="n">
        <v>0.01349935531623337</v>
      </c>
      <c r="Q217" s="163" t="n">
        <v>-0.0002311228854474893</v>
      </c>
      <c r="R217" s="163" t="n">
        <v>0.0008819632850941207</v>
      </c>
      <c r="S217" s="163" t="n">
        <v>0.01013223597144291</v>
      </c>
      <c r="T217" s="163" t="n">
        <v>0</v>
      </c>
      <c r="U217" s="163" t="n">
        <v>0.04607777471569741</v>
      </c>
      <c r="V217" s="171">
        <f>C217-U217</f>
        <v/>
      </c>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64" t="inlineStr">
        <is>
          <t>2022-06</t>
        </is>
      </c>
      <c r="B218" s="163" t="n">
        <v>-0.02221837276124816</v>
      </c>
      <c r="C218" s="163" t="n">
        <v>-0.02712640250361681</v>
      </c>
      <c r="D218" s="163" t="n">
        <v>0.004908029742368644</v>
      </c>
      <c r="E218" s="170" t="n">
        <v>3930.766666666666</v>
      </c>
      <c r="F218" s="170" t="n">
        <v>3911.521613236103</v>
      </c>
      <c r="G218" s="163" t="n">
        <v>0.003180297575970861</v>
      </c>
      <c r="H218" s="163" t="n">
        <v>-0.01535270154149231</v>
      </c>
      <c r="I218" s="163" t="n">
        <v>0.0009400268745485635</v>
      </c>
      <c r="J218" s="163" t="n">
        <v>-0.002619160298200437</v>
      </c>
      <c r="K218" s="163" t="n">
        <v>6.756444410300172e-05</v>
      </c>
      <c r="L218" s="163" t="n">
        <v>0.0006637884115190182</v>
      </c>
      <c r="M218" s="163" t="n">
        <v>-0.0004295998569616083</v>
      </c>
      <c r="N218" s="163" t="n">
        <v>0.0009713963191108895</v>
      </c>
      <c r="O218" s="163" t="n">
        <v>-0.0007901778815541147</v>
      </c>
      <c r="P218" s="163" t="n">
        <v>-0.01118483531112492</v>
      </c>
      <c r="Q218" s="163" t="n">
        <v>0.0002640786800757331</v>
      </c>
      <c r="R218" s="163" t="n">
        <v>-0.006280654988017909</v>
      </c>
      <c r="S218" s="163" t="n">
        <v>0.003443575068406425</v>
      </c>
      <c r="T218" s="163" t="n">
        <v>0</v>
      </c>
      <c r="U218" s="163" t="n">
        <v>-0.0271264025036168</v>
      </c>
      <c r="V218" s="171">
        <f>C218-U218</f>
        <v/>
      </c>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64" t="inlineStr">
        <is>
          <t>2022-07</t>
        </is>
      </c>
      <c r="B219" s="163" t="n">
        <v>0.1054262917921776</v>
      </c>
      <c r="C219" s="163" t="n">
        <v>0.06488033523168986</v>
      </c>
      <c r="D219" s="163" t="n">
        <v>0.04054595656048769</v>
      </c>
      <c r="E219" s="170" t="n">
        <v>4367.805806451614</v>
      </c>
      <c r="F219" s="170" t="n">
        <v>4194.251186954067</v>
      </c>
      <c r="G219" s="163" t="n">
        <v>0.003180297575970861</v>
      </c>
      <c r="H219" s="163" t="n">
        <v>0.002222174902528043</v>
      </c>
      <c r="I219" s="163" t="n">
        <v>0.00139041841216011</v>
      </c>
      <c r="J219" s="163" t="n">
        <v>0.002023605511568063</v>
      </c>
      <c r="K219" s="163" t="n">
        <v>-0.0001650299048143492</v>
      </c>
      <c r="L219" s="163" t="n">
        <v>0.005421408295125352</v>
      </c>
      <c r="M219" s="163" t="n">
        <v>-0.001393446113411421</v>
      </c>
      <c r="N219" s="163" t="n">
        <v>0.008399525200449075</v>
      </c>
      <c r="O219" s="163" t="n">
        <v>0.00237462940618855</v>
      </c>
      <c r="P219" s="163" t="n">
        <v>0.002782253033238658</v>
      </c>
      <c r="Q219" s="163" t="n">
        <v>-0.0001229369991715299</v>
      </c>
      <c r="R219" s="163" t="n">
        <v>0.001580323426102568</v>
      </c>
      <c r="S219" s="163" t="n">
        <v>0.03718711248575588</v>
      </c>
      <c r="T219" s="163" t="n">
        <v>0</v>
      </c>
      <c r="U219" s="163" t="n">
        <v>0.06488033523168986</v>
      </c>
      <c r="V219" s="171">
        <f>C219-U219</f>
        <v/>
      </c>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64" t="inlineStr">
        <is>
          <t>2022-08</t>
        </is>
      </c>
      <c r="B220" s="163" t="n">
        <v>-0.01043393035869755</v>
      </c>
      <c r="C220" s="163" t="n">
        <v>-0.01874929161173828</v>
      </c>
      <c r="D220" s="163" t="n">
        <v>0.008315361253040731</v>
      </c>
      <c r="E220" s="170" t="n">
        <v>4322.469354838713</v>
      </c>
      <c r="F220" s="170" t="n">
        <v>4286.675486369222</v>
      </c>
      <c r="G220" s="163" t="n">
        <v>0.003180297575970861</v>
      </c>
      <c r="H220" s="163" t="n">
        <v>0.01460755641203541</v>
      </c>
      <c r="I220" s="163" t="n">
        <v>0.001651919858549382</v>
      </c>
      <c r="J220" s="163" t="n">
        <v>-0.005111845251927875</v>
      </c>
      <c r="K220" s="163" t="n">
        <v>7.582586496660396e-05</v>
      </c>
      <c r="L220" s="163" t="n">
        <v>-0.0008540937978832347</v>
      </c>
      <c r="M220" s="163" t="n">
        <v>-0.00137230982234779</v>
      </c>
      <c r="N220" s="163" t="n">
        <v>-0.006427675141899132</v>
      </c>
      <c r="O220" s="163" t="n">
        <v>-0.0009485627165064818</v>
      </c>
      <c r="P220" s="163" t="n">
        <v>5.6300606710987e-05</v>
      </c>
      <c r="Q220" s="163" t="n">
        <v>6.022096277210798e-05</v>
      </c>
      <c r="R220" s="163" t="n">
        <v>-0.003955004118923294</v>
      </c>
      <c r="S220" s="163" t="n">
        <v>-0.01971192204325583</v>
      </c>
      <c r="T220" s="163" t="n">
        <v>0</v>
      </c>
      <c r="U220" s="163" t="n">
        <v>-0.01874929161173828</v>
      </c>
      <c r="V220" s="171">
        <f>C220-U220</f>
        <v/>
      </c>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64" t="inlineStr">
        <is>
          <t>2022-09</t>
        </is>
      </c>
      <c r="B221" s="163" t="n">
        <v>0.02539654926223278</v>
      </c>
      <c r="C221" s="163" t="n">
        <v>0.01316715814321585</v>
      </c>
      <c r="D221" s="163" t="n">
        <v>0.01222939111901693</v>
      </c>
      <c r="E221" s="170" t="n">
        <v>4433.650999999996</v>
      </c>
      <c r="F221" s="170" t="n">
        <v>4379.760344434638</v>
      </c>
      <c r="G221" s="163" t="n">
        <v>0.003180297575970861</v>
      </c>
      <c r="H221" s="163" t="n">
        <v>-0.005631888180046813</v>
      </c>
      <c r="I221" s="163" t="n">
        <v>0.0002767765867518104</v>
      </c>
      <c r="J221" s="163" t="n">
        <v>-0.004218513071979312</v>
      </c>
      <c r="K221" s="163" t="n">
        <v>-0.0007434923755386478</v>
      </c>
      <c r="L221" s="163" t="n">
        <v>0.006383222478853444</v>
      </c>
      <c r="M221" s="163" t="n">
        <v>0.002398777461662743</v>
      </c>
      <c r="N221" s="163" t="n">
        <v>0.004027493608278875</v>
      </c>
      <c r="O221" s="163" t="n">
        <v>0.001884171764451564</v>
      </c>
      <c r="P221" s="163" t="n">
        <v>-0.003365215156437421</v>
      </c>
      <c r="Q221" s="163" t="n">
        <v>-0.000146501343913399</v>
      </c>
      <c r="R221" s="163" t="n">
        <v>0.002809648814305954</v>
      </c>
      <c r="S221" s="163" t="n">
        <v>0.006312379980856195</v>
      </c>
      <c r="T221" s="163" t="n">
        <v>0</v>
      </c>
      <c r="U221" s="163" t="n">
        <v>0.01316715814321585</v>
      </c>
      <c r="V221" s="171">
        <f>C221-U221</f>
        <v/>
      </c>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64" t="inlineStr">
        <is>
          <t>2022-10</t>
        </is>
      </c>
      <c r="B222" s="163" t="n">
        <v>0.06085303793394026</v>
      </c>
      <c r="C222" s="163" t="n">
        <v>0.02270065630506394</v>
      </c>
      <c r="D222" s="163" t="n">
        <v>0.03815238162887633</v>
      </c>
      <c r="E222" s="170" t="n">
        <v>4711.830322580648</v>
      </c>
      <c r="F222" s="170" t="n">
        <v>4535.448855088121</v>
      </c>
      <c r="G222" s="163" t="n">
        <v>0.003180297575970861</v>
      </c>
      <c r="H222" s="163" t="n">
        <v>0.001460072029676742</v>
      </c>
      <c r="I222" s="163" t="n">
        <v>0.0007499165682434221</v>
      </c>
      <c r="J222" s="163" t="n">
        <v>0.0009760481225363928</v>
      </c>
      <c r="K222" s="163" t="n">
        <v>0.0001013741022165025</v>
      </c>
      <c r="L222" s="163" t="n">
        <v>0.003598801249713348</v>
      </c>
      <c r="M222" s="163" t="n">
        <v>0.001063513759018874</v>
      </c>
      <c r="N222" s="163" t="n">
        <v>0.008042051355016277</v>
      </c>
      <c r="O222" s="163" t="n">
        <v>0.003401724999596133</v>
      </c>
      <c r="P222" s="163" t="n">
        <v>-0.001689236349935003</v>
      </c>
      <c r="Q222" s="163" t="n">
        <v>-4.595463759915542e-05</v>
      </c>
      <c r="R222" s="163" t="n">
        <v>-0.008218411094981223</v>
      </c>
      <c r="S222" s="163" t="n">
        <v>0.01008045862559077</v>
      </c>
      <c r="T222" s="163" t="n">
        <v>0</v>
      </c>
      <c r="U222" s="163" t="n">
        <v>0.02270065630506394</v>
      </c>
      <c r="V222" s="171">
        <f>C222-U222</f>
        <v/>
      </c>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64" t="inlineStr">
        <is>
          <t>2022-11</t>
        </is>
      </c>
      <c r="B223" s="163" t="n">
        <v>0.04458497292738706</v>
      </c>
      <c r="C223" s="163" t="n">
        <v>-0.02989380881160041</v>
      </c>
      <c r="D223" s="163" t="n">
        <v>0.07447878173898748</v>
      </c>
      <c r="E223" s="170" t="n">
        <v>4926.660666666665</v>
      </c>
      <c r="F223" s="170" t="n">
        <v>4573.060284309729</v>
      </c>
      <c r="G223" s="163" t="n">
        <v>0.003180297575970861</v>
      </c>
      <c r="H223" s="163" t="n">
        <v>0.0005665429538937684</v>
      </c>
      <c r="I223" s="163" t="n">
        <v>0.002495338507867128</v>
      </c>
      <c r="J223" s="163" t="n">
        <v>-0.00237688263410448</v>
      </c>
      <c r="K223" s="163" t="n">
        <v>0.0003499809343249129</v>
      </c>
      <c r="L223" s="163" t="n">
        <v>-0.005029259295932478</v>
      </c>
      <c r="M223" s="163" t="n">
        <v>-0.00289382945373473</v>
      </c>
      <c r="N223" s="163" t="n">
        <v>-0.009254353961266651</v>
      </c>
      <c r="O223" s="163" t="n">
        <v>-0.0002800389684067941</v>
      </c>
      <c r="P223" s="163" t="n">
        <v>0.006351242754253711</v>
      </c>
      <c r="Q223" s="163" t="n">
        <v>0.0001836701082568351</v>
      </c>
      <c r="R223" s="163" t="n">
        <v>-0.003469795489176235</v>
      </c>
      <c r="S223" s="163" t="n">
        <v>-0.01971672184354626</v>
      </c>
      <c r="T223" s="163" t="n">
        <v>0</v>
      </c>
      <c r="U223" s="163" t="n">
        <v>-0.02989380881160041</v>
      </c>
      <c r="V223" s="171">
        <f>C223-U223</f>
        <v/>
      </c>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64" t="inlineStr">
        <is>
          <t>2022-12</t>
        </is>
      </c>
      <c r="B224" s="163" t="n">
        <v>-0.02844615261684424</v>
      </c>
      <c r="C224" s="163" t="n">
        <v>-0.02460374634340497</v>
      </c>
      <c r="D224" s="163" t="n">
        <v>-0.003842406273439271</v>
      </c>
      <c r="E224" s="170" t="n">
        <v>4788.490645161287</v>
      </c>
      <c r="F224" s="170" t="n">
        <v>4806.92536581873</v>
      </c>
      <c r="G224" s="163" t="n">
        <v>0.003180297575970861</v>
      </c>
      <c r="H224" s="163" t="n">
        <v>0.003514388815791679</v>
      </c>
      <c r="I224" s="163" t="n">
        <v>-4.92373783079234e-05</v>
      </c>
      <c r="J224" s="163" t="n">
        <v>-0.001328791593830295</v>
      </c>
      <c r="K224" s="163" t="n">
        <v>0.0004022654171913057</v>
      </c>
      <c r="L224" s="163" t="n">
        <v>-0.005117494992588753</v>
      </c>
      <c r="M224" s="163" t="n">
        <v>-0.000769009613086543</v>
      </c>
      <c r="N224" s="163" t="n">
        <v>-0.005976030155170179</v>
      </c>
      <c r="O224" s="163" t="n">
        <v>-0.003116377942511724</v>
      </c>
      <c r="P224" s="163" t="n">
        <v>-0.004840623591451721</v>
      </c>
      <c r="Q224" s="163" t="n">
        <v>0.0002361054072154659</v>
      </c>
      <c r="R224" s="163" t="n">
        <v>0.001766944276658468</v>
      </c>
      <c r="S224" s="163" t="n">
        <v>-0.01250618256928562</v>
      </c>
      <c r="T224" s="163" t="n">
        <v>0</v>
      </c>
      <c r="U224" s="163" t="n">
        <v>-0.02460374634340497</v>
      </c>
      <c r="V224" s="171">
        <f>C224-U224</f>
        <v/>
      </c>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64" t="inlineStr">
        <is>
          <t>2023-01</t>
        </is>
      </c>
      <c r="B225" s="163" t="n">
        <v>-0.01542310241627476</v>
      </c>
      <c r="C225" s="163" t="n">
        <v>-0.02542623138709362</v>
      </c>
      <c r="D225" s="163" t="n">
        <v>0.01000312897081886</v>
      </c>
      <c r="E225" s="170" t="n">
        <v>4715.203870967738</v>
      </c>
      <c r="F225" s="170" t="n">
        <v>4668.272201634696</v>
      </c>
      <c r="G225" s="163" t="n">
        <v>0.003180297575970861</v>
      </c>
      <c r="H225" s="163" t="n">
        <v>0.000935855178722187</v>
      </c>
      <c r="I225" s="163" t="n">
        <v>0.0001932790317550499</v>
      </c>
      <c r="J225" s="163" t="n">
        <v>-0.0004930937480719664</v>
      </c>
      <c r="K225" s="163" t="n">
        <v>-2.561717197792955e-06</v>
      </c>
      <c r="L225" s="163" t="n">
        <v>-0.004836775287106981</v>
      </c>
      <c r="M225" s="163" t="n">
        <v>-0.0008812775473259922</v>
      </c>
      <c r="N225" s="163" t="n">
        <v>-0.001981648490986202</v>
      </c>
      <c r="O225" s="163" t="n">
        <v>-0.001478273746579894</v>
      </c>
      <c r="P225" s="163" t="n">
        <v>-0.006086221831652173</v>
      </c>
      <c r="Q225" s="163" t="n">
        <v>1.328838349941834e-05</v>
      </c>
      <c r="R225" s="163" t="n">
        <v>0.001004241673314264</v>
      </c>
      <c r="S225" s="163" t="n">
        <v>-0.0149933408614344</v>
      </c>
      <c r="T225" s="163" t="n">
        <v>0</v>
      </c>
      <c r="U225" s="163" t="n">
        <v>-0.02542623138709362</v>
      </c>
      <c r="V225" s="171">
        <f>C225-U225</f>
        <v/>
      </c>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64" t="inlineStr">
        <is>
          <t>2023-02</t>
        </is>
      </c>
      <c r="B226" s="163" t="n">
        <v>0.01847199131297828</v>
      </c>
      <c r="C226" s="163" t="n">
        <v>-0.004323892694548729</v>
      </c>
      <c r="D226" s="163" t="n">
        <v>0.02279588400752701</v>
      </c>
      <c r="E226" s="170" t="n">
        <v>4803.112499999996</v>
      </c>
      <c r="F226" s="170" t="n">
        <v>4694.859849775115</v>
      </c>
      <c r="G226" s="163" t="n">
        <v>0.003180297575970861</v>
      </c>
      <c r="H226" s="163" t="n">
        <v>-0.001241927809340669</v>
      </c>
      <c r="I226" s="163" t="n">
        <v>0.001280227939826551</v>
      </c>
      <c r="J226" s="163" t="n">
        <v>-0.00198037976092539</v>
      </c>
      <c r="K226" s="163" t="n">
        <v>0.0003280612445133551</v>
      </c>
      <c r="L226" s="163" t="n">
        <v>0.001002144041514437</v>
      </c>
      <c r="M226" s="163" t="n">
        <v>-2.756789836968194e-05</v>
      </c>
      <c r="N226" s="163" t="n">
        <v>0.002422273861334907</v>
      </c>
      <c r="O226" s="163" t="n">
        <v>-0.002568406064274379</v>
      </c>
      <c r="P226" s="163" t="n">
        <v>0.004146317099765137</v>
      </c>
      <c r="Q226" s="163" t="n">
        <v>-5.758642662511189e-05</v>
      </c>
      <c r="R226" s="163" t="n">
        <v>-0.002083027109647279</v>
      </c>
      <c r="S226" s="163" t="n">
        <v>-0.008724319388291466</v>
      </c>
      <c r="T226" s="163" t="n">
        <v>0</v>
      </c>
      <c r="U226" s="163" t="n">
        <v>-0.004323892694548729</v>
      </c>
      <c r="V226" s="171">
        <f>C226-U226</f>
        <v/>
      </c>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64" t="inlineStr">
        <is>
          <t>2023-03</t>
        </is>
      </c>
      <c r="B227" s="163" t="n">
        <v>-0.007692604477320231</v>
      </c>
      <c r="C227" s="163" t="n">
        <v>0.02069980858923278</v>
      </c>
      <c r="D227" s="163" t="n">
        <v>-0.02839241306655301</v>
      </c>
      <c r="E227" s="170" t="n">
        <v>4766.305806451614</v>
      </c>
      <c r="F227" s="170" t="n">
        <v>4903.572170283735</v>
      </c>
      <c r="G227" s="163" t="n">
        <v>0.003180297575970861</v>
      </c>
      <c r="H227" s="163" t="n">
        <v>0.004874626621573007</v>
      </c>
      <c r="I227" s="163" t="n">
        <v>0.001937814407381907</v>
      </c>
      <c r="J227" s="163" t="n">
        <v>-0.002290964784061628</v>
      </c>
      <c r="K227" s="163" t="n">
        <v>-2.167696712788151e-05</v>
      </c>
      <c r="L227" s="163" t="n">
        <v>0.0008747152507333841</v>
      </c>
      <c r="M227" s="163" t="n">
        <v>0.0008351248970652267</v>
      </c>
      <c r="N227" s="163" t="n">
        <v>0.004660303405170269</v>
      </c>
      <c r="O227" s="163" t="n">
        <v>0.002029011179040298</v>
      </c>
      <c r="P227" s="163" t="n">
        <v>0.009764376882169827</v>
      </c>
      <c r="Q227" s="163" t="n">
        <v>-0.0005017461213737734</v>
      </c>
      <c r="R227" s="163" t="n">
        <v>0.001867973451868037</v>
      </c>
      <c r="S227" s="163" t="n">
        <v>-0.006510047209176759</v>
      </c>
      <c r="T227" s="163" t="n">
        <v>0</v>
      </c>
      <c r="U227" s="163" t="n">
        <v>0.02069980858923277</v>
      </c>
      <c r="V227" s="171">
        <f>C227-U227</f>
        <v/>
      </c>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64" t="inlineStr">
        <is>
          <t>2023-04</t>
        </is>
      </c>
      <c r="B228" s="163" t="n">
        <v>-0.04805564196079004</v>
      </c>
      <c r="C228" s="163" t="n">
        <v>-0.01570379601346005</v>
      </c>
      <c r="D228" s="163" t="n">
        <v>-0.03235184594732999</v>
      </c>
      <c r="E228" s="170" t="n">
        <v>4542.674333333336</v>
      </c>
      <c r="F228" s="170" t="n">
        <v>4692.041355409625</v>
      </c>
      <c r="G228" s="163" t="n">
        <v>0.003180297575970861</v>
      </c>
      <c r="H228" s="163" t="n">
        <v>-0.001061924517182509</v>
      </c>
      <c r="I228" s="163" t="n">
        <v>0.001278459321407315</v>
      </c>
      <c r="J228" s="163" t="n">
        <v>0.0003570126812339244</v>
      </c>
      <c r="K228" s="163" t="n">
        <v>0.0001283891742220027</v>
      </c>
      <c r="L228" s="163" t="n">
        <v>-0.003018018202900746</v>
      </c>
      <c r="M228" s="163" t="n">
        <v>-0.002225405828213313</v>
      </c>
      <c r="N228" s="163" t="n">
        <v>-0.001617113016659698</v>
      </c>
      <c r="O228" s="163" t="n">
        <v>-0.003010573671559402</v>
      </c>
      <c r="P228" s="163" t="n">
        <v>-0.001994217651877895</v>
      </c>
      <c r="Q228" s="163" t="n">
        <v>0.0003526145885192544</v>
      </c>
      <c r="R228" s="163" t="n">
        <v>0.001191849988321885</v>
      </c>
      <c r="S228" s="163" t="n">
        <v>-0.00926516645474173</v>
      </c>
      <c r="T228" s="163" t="n">
        <v>0</v>
      </c>
      <c r="U228" s="163" t="n">
        <v>-0.01570379601346005</v>
      </c>
      <c r="V228" s="171">
        <f>C228-U228</f>
        <v/>
      </c>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64" t="inlineStr">
        <is>
          <t>2023-05</t>
        </is>
      </c>
      <c r="B229" s="163" t="n">
        <v>-0.0005692763404763213</v>
      </c>
      <c r="C229" s="163" t="n">
        <v>-0.004282564354880641</v>
      </c>
      <c r="D229" s="163" t="n">
        <v>0.00371328801440432</v>
      </c>
      <c r="E229" s="170" t="n">
        <v>4540.089032258067</v>
      </c>
      <c r="F229" s="170" t="n">
        <v>4523.261635890263</v>
      </c>
      <c r="G229" s="163" t="n">
        <v>0.003180297575970861</v>
      </c>
      <c r="H229" s="163" t="n">
        <v>0.001780765200929868</v>
      </c>
      <c r="I229" s="163" t="n">
        <v>-0.0001851424321386667</v>
      </c>
      <c r="J229" s="163" t="n">
        <v>-0.0003073831156812276</v>
      </c>
      <c r="K229" s="163" t="n">
        <v>0.0002862821328625307</v>
      </c>
      <c r="L229" s="163" t="n">
        <v>0.0007765017626649421</v>
      </c>
      <c r="M229" s="163" t="n">
        <v>-0.0001173219194939248</v>
      </c>
      <c r="N229" s="163" t="n">
        <v>0.001810378649540195</v>
      </c>
      <c r="O229" s="163" t="n">
        <v>-0.000288369265952586</v>
      </c>
      <c r="P229" s="163" t="n">
        <v>-0.0005452288851391039</v>
      </c>
      <c r="Q229" s="163" t="n">
        <v>-2.446183838560737e-05</v>
      </c>
      <c r="R229" s="163" t="n">
        <v>0.002373243250499402</v>
      </c>
      <c r="S229" s="163" t="n">
        <v>-0.01302212547055732</v>
      </c>
      <c r="T229" s="163" t="n">
        <v>0</v>
      </c>
      <c r="U229" s="163" t="n">
        <v>-0.00428256435488064</v>
      </c>
      <c r="V229" s="171">
        <f>C229-U229</f>
        <v/>
      </c>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64" t="inlineStr">
        <is>
          <t>2023-06</t>
        </is>
      </c>
      <c r="B230" s="163" t="n">
        <v>-0.07565786164762045</v>
      </c>
      <c r="C230" s="163" t="n">
        <v>-0.01591828470723876</v>
      </c>
      <c r="D230" s="163" t="n">
        <v>-0.05973957694038169</v>
      </c>
      <c r="E230" s="170" t="n">
        <v>4209.267999999998</v>
      </c>
      <c r="F230" s="170" t="n">
        <v>4468.390773070534</v>
      </c>
      <c r="G230" s="163" t="n">
        <v>0.003180297575970861</v>
      </c>
      <c r="H230" s="163" t="n">
        <v>0.002283333301616495</v>
      </c>
      <c r="I230" s="163" t="n">
        <v>0.0003688231924539593</v>
      </c>
      <c r="J230" s="163" t="n">
        <v>-5.923528791774392e-05</v>
      </c>
      <c r="K230" s="163" t="n">
        <v>0.0001511364659034263</v>
      </c>
      <c r="L230" s="163" t="n">
        <v>-0.0006716240538284574</v>
      </c>
      <c r="M230" s="163" t="n">
        <v>-0.002638609565780901</v>
      </c>
      <c r="N230" s="163" t="n">
        <v>-0.007889765373063755</v>
      </c>
      <c r="O230" s="163" t="n">
        <v>0.001608145982895866</v>
      </c>
      <c r="P230" s="163" t="n">
        <v>-0.0009187397503524684</v>
      </c>
      <c r="Q230" s="163" t="n">
        <v>-0.0002559632481556733</v>
      </c>
      <c r="R230" s="163" t="n">
        <v>0.0008226005165391017</v>
      </c>
      <c r="S230" s="163" t="n">
        <v>-0.01189868446351947</v>
      </c>
      <c r="T230" s="163" t="n">
        <v>0</v>
      </c>
      <c r="U230" s="163" t="n">
        <v>-0.01591828470723876</v>
      </c>
      <c r="V230" s="171">
        <f>C230-U230</f>
        <v/>
      </c>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64" t="inlineStr">
        <is>
          <t>2023-07</t>
        </is>
      </c>
      <c r="B231" s="163" t="n">
        <v>-0.03383409647192259</v>
      </c>
      <c r="C231" s="163" t="n">
        <v>-0.008727939219918771</v>
      </c>
      <c r="D231" s="163" t="n">
        <v>-0.02510615725200382</v>
      </c>
      <c r="E231" s="170" t="n">
        <v>4069.233548387099</v>
      </c>
      <c r="F231" s="170" t="n">
        <v>4172.689623859561</v>
      </c>
      <c r="G231" s="163" t="n">
        <v>0.003180297575970861</v>
      </c>
      <c r="H231" s="163" t="n">
        <v>4.316649372801262e-05</v>
      </c>
      <c r="I231" s="163" t="n">
        <v>-0.0003895066154686855</v>
      </c>
      <c r="J231" s="163" t="n">
        <v>5.923528791774392e-05</v>
      </c>
      <c r="K231" s="163" t="n">
        <v>0.0003549289847559599</v>
      </c>
      <c r="L231" s="163" t="n">
        <v>-0.002538744752647228</v>
      </c>
      <c r="M231" s="163" t="n">
        <v>-5.798424119801536e-05</v>
      </c>
      <c r="N231" s="163" t="n">
        <v>-0.004546134773438936</v>
      </c>
      <c r="O231" s="163" t="n">
        <v>-0.0006761409069927934</v>
      </c>
      <c r="P231" s="163" t="n">
        <v>-0.0004899631790644515</v>
      </c>
      <c r="Q231" s="163" t="n">
        <v>0.0001626404200913781</v>
      </c>
      <c r="R231" s="163" t="n">
        <v>0.003150185760376677</v>
      </c>
      <c r="S231" s="163" t="n">
        <v>-0.006979919273949294</v>
      </c>
      <c r="T231" s="163" t="n">
        <v>0</v>
      </c>
      <c r="U231" s="163" t="n">
        <v>-0.008727939219918771</v>
      </c>
      <c r="V231" s="171">
        <f>C231-U231</f>
        <v/>
      </c>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64" t="inlineStr">
        <is>
          <t>2023-08</t>
        </is>
      </c>
      <c r="B232" s="163" t="n">
        <v>0.0003664915199497187</v>
      </c>
      <c r="C232" s="163" t="n">
        <v>0.01508792602688217</v>
      </c>
      <c r="D232" s="163" t="n">
        <v>-0.01472143450693245</v>
      </c>
      <c r="E232" s="170" t="n">
        <v>4070.725161290322</v>
      </c>
      <c r="F232" s="170" t="n">
        <v>4131.095352773116</v>
      </c>
      <c r="G232" s="163" t="n">
        <v>0.003180297575970861</v>
      </c>
      <c r="H232" s="163" t="n">
        <v>-0.00554692621049473</v>
      </c>
      <c r="I232" s="163" t="n">
        <v>-0.001317708070786125</v>
      </c>
      <c r="J232" s="163" t="n">
        <v>0.0001985182622107958</v>
      </c>
      <c r="K232" s="163" t="n">
        <v>0.0002751645574677116</v>
      </c>
      <c r="L232" s="163" t="n">
        <v>0.003668280343144582</v>
      </c>
      <c r="M232" s="163" t="n">
        <v>0.001477959794779956</v>
      </c>
      <c r="N232" s="163" t="n">
        <v>-0.002772618502477878</v>
      </c>
      <c r="O232" s="163" t="n">
        <v>-0.001383610859166217</v>
      </c>
      <c r="P232" s="163" t="n">
        <v>-0.003017910748884974</v>
      </c>
      <c r="Q232" s="163" t="n">
        <v>3.046583163242098e-05</v>
      </c>
      <c r="R232" s="163" t="n">
        <v>0.001992186096300112</v>
      </c>
      <c r="S232" s="163" t="n">
        <v>0.01830382795718565</v>
      </c>
      <c r="T232" s="163" t="n">
        <v>0</v>
      </c>
      <c r="U232" s="163" t="n">
        <v>0.01508792602688217</v>
      </c>
      <c r="V232" s="171">
        <f>C232-U232</f>
        <v/>
      </c>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64" t="inlineStr">
        <is>
          <t>2023-09</t>
        </is>
      </c>
      <c r="B233" s="163" t="n">
        <v>-0.01639726626192584</v>
      </c>
      <c r="C233" s="163" t="n">
        <v>0.02090240749198681</v>
      </c>
      <c r="D233" s="163" t="n">
        <v>-0.03729967375391265</v>
      </c>
      <c r="E233" s="170" t="n">
        <v>4004.52066666667</v>
      </c>
      <c r="F233" s="170" t="n">
        <v>4156.708617450845</v>
      </c>
      <c r="G233" s="163" t="n">
        <v>0.003180297575970861</v>
      </c>
      <c r="H233" s="163" t="n">
        <v>-0.0003940067765667692</v>
      </c>
      <c r="I233" s="163" t="n">
        <v>0.001220172560224054</v>
      </c>
      <c r="J233" s="163" t="n">
        <v>0.001042220876606649</v>
      </c>
      <c r="K233" s="163" t="n">
        <v>0.0002220964239278153</v>
      </c>
      <c r="L233" s="163" t="n">
        <v>0.0035776559726974</v>
      </c>
      <c r="M233" s="163" t="n">
        <v>-0.0005019186513830097</v>
      </c>
      <c r="N233" s="163" t="n">
        <v>0.001038537301962219</v>
      </c>
      <c r="O233" s="163" t="n">
        <v>0.0008468879244598468</v>
      </c>
      <c r="P233" s="163" t="n">
        <v>0.0001151738039007027</v>
      </c>
      <c r="Q233" s="163" t="n">
        <v>-0.0002268056840623144</v>
      </c>
      <c r="R233" s="163" t="n">
        <v>0.0001012408001636991</v>
      </c>
      <c r="S233" s="163" t="n">
        <v>0.01068085536408566</v>
      </c>
      <c r="T233" s="163" t="n">
        <v>0</v>
      </c>
      <c r="U233" s="163" t="n">
        <v>0.02090240749198681</v>
      </c>
      <c r="V233" s="171">
        <f>C233-U233</f>
        <v/>
      </c>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64" t="inlineStr">
        <is>
          <t>2023-10</t>
        </is>
      </c>
      <c r="B234" s="163" t="n">
        <v>0.05298766604560612</v>
      </c>
      <c r="C234" s="163" t="n">
        <v>0.03656016712155064</v>
      </c>
      <c r="D234" s="163" t="n">
        <v>0.01642749892405548</v>
      </c>
      <c r="E234" s="170" t="n">
        <v>4222.433225806451</v>
      </c>
      <c r="F234" s="170" t="n">
        <v>4153.635840169067</v>
      </c>
      <c r="G234" s="163" t="n">
        <v>0.003180297575970861</v>
      </c>
      <c r="H234" s="163" t="n">
        <v>0.0009414609896919371</v>
      </c>
      <c r="I234" s="163" t="n">
        <v>0.001329062993988958</v>
      </c>
      <c r="J234" s="163" t="n">
        <v>0</v>
      </c>
      <c r="K234" s="163" t="n">
        <v>-0.0002473450395162972</v>
      </c>
      <c r="L234" s="163" t="n">
        <v>0.003647516108227152</v>
      </c>
      <c r="M234" s="163" t="n">
        <v>0.002504887342982202</v>
      </c>
      <c r="N234" s="163" t="n">
        <v>0.002775418054602522</v>
      </c>
      <c r="O234" s="163" t="n">
        <v>0.001923925071962988</v>
      </c>
      <c r="P234" s="163" t="n">
        <v>-0.001692226296243541</v>
      </c>
      <c r="Q234" s="163" t="n">
        <v>2.558053827399696e-05</v>
      </c>
      <c r="R234" s="163" t="n">
        <v>-0.002282248314299476</v>
      </c>
      <c r="S234" s="163" t="n">
        <v>0.02445383809590933</v>
      </c>
      <c r="T234" s="163" t="n">
        <v>0</v>
      </c>
      <c r="U234" s="163" t="n">
        <v>0.03656016712155064</v>
      </c>
      <c r="V234" s="171">
        <f>C234-U234</f>
        <v/>
      </c>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64" t="inlineStr">
        <is>
          <t>2023-11</t>
        </is>
      </c>
      <c r="B235" s="163" t="n">
        <v>-0.04446278206850884</v>
      </c>
      <c r="C235" s="163" t="n">
        <v>-0.02043508133153855</v>
      </c>
      <c r="D235" s="163" t="n">
        <v>-0.02402770073697029</v>
      </c>
      <c r="E235" s="170" t="n">
        <v>4038.804666666669</v>
      </c>
      <c r="F235" s="170" t="n">
        <v>4137.023112920004</v>
      </c>
      <c r="G235" s="163" t="n">
        <v>0.003180297575970861</v>
      </c>
      <c r="H235" s="163" t="n">
        <v>0.008719115316958284</v>
      </c>
      <c r="I235" s="163" t="n">
        <v>-8.693362105589397e-05</v>
      </c>
      <c r="J235" s="163" t="n">
        <v>0</v>
      </c>
      <c r="K235" s="163" t="n">
        <v>-0.0002715625842528541</v>
      </c>
      <c r="L235" s="163" t="n">
        <v>-0.004489392750740296</v>
      </c>
      <c r="M235" s="163" t="n">
        <v>-0.003409955417380134</v>
      </c>
      <c r="N235" s="163" t="n">
        <v>-0.005750666209136431</v>
      </c>
      <c r="O235" s="163" t="n">
        <v>0.0006078238884382522</v>
      </c>
      <c r="P235" s="163" t="n">
        <v>0.008896468936444793</v>
      </c>
      <c r="Q235" s="163" t="n">
        <v>-0.0001006659439567399</v>
      </c>
      <c r="R235" s="163" t="n">
        <v>-0.003066418665333211</v>
      </c>
      <c r="S235" s="163" t="n">
        <v>-0.02466319185749519</v>
      </c>
      <c r="T235" s="163" t="n">
        <v>0</v>
      </c>
      <c r="U235" s="163" t="n">
        <v>-0.02043508133153855</v>
      </c>
      <c r="V235" s="171">
        <f>C235-U235</f>
        <v/>
      </c>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64" t="inlineStr">
        <is>
          <t>2023-12</t>
        </is>
      </c>
      <c r="B236" s="163" t="n">
        <v>-0.0226872789905439</v>
      </c>
      <c r="C236" s="163" t="n">
        <v>-0.02000102421352652</v>
      </c>
      <c r="D236" s="163" t="n">
        <v>-0.002686254777017383</v>
      </c>
      <c r="E236" s="170" t="n">
        <v>3948.206774193547</v>
      </c>
      <c r="F236" s="170" t="n">
        <v>3958.826921325645</v>
      </c>
      <c r="G236" s="163" t="n">
        <v>0.003180297575970861</v>
      </c>
      <c r="H236" s="163" t="n">
        <v>-0.00360237476968977</v>
      </c>
      <c r="I236" s="163" t="n">
        <v>0.0007495709845772825</v>
      </c>
      <c r="J236" s="163" t="n">
        <v>0</v>
      </c>
      <c r="K236" s="163" t="n">
        <v>-0.0003585806833912788</v>
      </c>
      <c r="L236" s="163" t="n">
        <v>-0.002782535836771207</v>
      </c>
      <c r="M236" s="163" t="n">
        <v>-0.00111375387262491</v>
      </c>
      <c r="N236" s="163" t="n">
        <v>-0.003969217873822226</v>
      </c>
      <c r="O236" s="163" t="n">
        <v>-0.00579595690835327</v>
      </c>
      <c r="P236" s="163" t="n">
        <v>-0.003842171278447004</v>
      </c>
      <c r="Q236" s="163" t="n">
        <v>0.0007903181507148772</v>
      </c>
      <c r="R236" s="163" t="n">
        <v>0.00394843345877935</v>
      </c>
      <c r="S236" s="163" t="n">
        <v>-0.007205053160469228</v>
      </c>
      <c r="T236" s="163" t="n">
        <v>0</v>
      </c>
      <c r="U236" s="163" t="n">
        <v>-0.02000102421352652</v>
      </c>
      <c r="V236" s="171">
        <f>C236-U236</f>
        <v/>
      </c>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64" t="inlineStr">
        <is>
          <t>2024-01</t>
        </is>
      </c>
      <c r="B237" s="163" t="n">
        <v>-0.008395410476795817</v>
      </c>
      <c r="C237" s="163" t="n">
        <v>0.002476457575221706</v>
      </c>
      <c r="D237" s="163" t="n">
        <v>-0.01087186805201752</v>
      </c>
      <c r="E237" s="170" t="n">
        <v>3915.198709677416</v>
      </c>
      <c r="F237" s="170" t="n">
        <v>3957.996457632682</v>
      </c>
      <c r="G237" s="163" t="n">
        <v>0.003180297575970861</v>
      </c>
      <c r="H237" s="163" t="n">
        <v>-0.001906971384548854</v>
      </c>
      <c r="I237" s="163" t="n">
        <v>0.000654413939881226</v>
      </c>
      <c r="J237" s="163" t="n">
        <v>0.0004802861182519181</v>
      </c>
      <c r="K237" s="163" t="n">
        <v>-5.008155311505665e-05</v>
      </c>
      <c r="L237" s="163" t="n">
        <v>0.0007929974218092729</v>
      </c>
      <c r="M237" s="163" t="n">
        <v>0.0005873909647198173</v>
      </c>
      <c r="N237" s="163" t="n">
        <v>0.002300781343815433</v>
      </c>
      <c r="O237" s="163" t="n">
        <v>-0.005048653466027733</v>
      </c>
      <c r="P237" s="163" t="n">
        <v>-0.003591974192721634</v>
      </c>
      <c r="Q237" s="163" t="n">
        <v>-0.0001843429565630089</v>
      </c>
      <c r="R237" s="163" t="n">
        <v>0.0004039302274310374</v>
      </c>
      <c r="S237" s="163" t="n">
        <v>0.004858383536318428</v>
      </c>
      <c r="T237" s="163" t="n">
        <v>0</v>
      </c>
      <c r="U237" s="163" t="n">
        <v>0.002476457575221706</v>
      </c>
      <c r="V237" s="171">
        <f>C237-U237</f>
        <v/>
      </c>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64" t="inlineStr">
        <is>
          <t>2024-02</t>
        </is>
      </c>
      <c r="B238" s="163" t="n">
        <v>0.004139336002547012</v>
      </c>
      <c r="C238" s="163" t="n">
        <v>0.03438704965979224</v>
      </c>
      <c r="D238" s="163" t="n">
        <v>-0.03024771365724523</v>
      </c>
      <c r="E238" s="170" t="n">
        <v>3931.438620689657</v>
      </c>
      <c r="F238" s="170" t="n">
        <v>4052.172405781489</v>
      </c>
      <c r="G238" s="163" t="n">
        <v>0.003180297575970861</v>
      </c>
      <c r="H238" s="163" t="n">
        <v>0.0004791249129565307</v>
      </c>
      <c r="I238" s="163" t="n">
        <v>0.001267722213825744</v>
      </c>
      <c r="J238" s="163" t="n">
        <v>0.0007604530205655268</v>
      </c>
      <c r="K238" s="163" t="n">
        <v>3.053093397472186e-05</v>
      </c>
      <c r="L238" s="163" t="n">
        <v>0.00167825925470826</v>
      </c>
      <c r="M238" s="163" t="n">
        <v>0.000494810701261263</v>
      </c>
      <c r="N238" s="163" t="n">
        <v>0.001094110020574377</v>
      </c>
      <c r="O238" s="163" t="n">
        <v>-0.00022362413925538</v>
      </c>
      <c r="P238" s="163" t="n">
        <v>0.006087944924702655</v>
      </c>
      <c r="Q238" s="163" t="n">
        <v>-0.0005436858400705002</v>
      </c>
      <c r="R238" s="163" t="n">
        <v>0.002974585450037144</v>
      </c>
      <c r="S238" s="163" t="n">
        <v>0.01710652063054103</v>
      </c>
      <c r="T238" s="163" t="n">
        <v>0</v>
      </c>
      <c r="U238" s="163" t="n">
        <v>0.03438704965979224</v>
      </c>
      <c r="V238" s="171">
        <f>C238-U238</f>
        <v/>
      </c>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64" t="inlineStr">
        <is>
          <t>2024-03</t>
        </is>
      </c>
      <c r="B239" s="163" t="n">
        <v>-0.008197781188169273</v>
      </c>
      <c r="C239" s="163" t="n">
        <v>-0.008926767143596609</v>
      </c>
      <c r="D239" s="163" t="n">
        <v>0.0007289859554273359</v>
      </c>
      <c r="E239" s="170" t="n">
        <v>3899.341290322584</v>
      </c>
      <c r="F239" s="170" t="n">
        <v>3896.499761129792</v>
      </c>
      <c r="G239" s="163" t="n">
        <v>0.003180297575970861</v>
      </c>
      <c r="H239" s="163" t="n">
        <v>-0.0008473798797132633</v>
      </c>
      <c r="I239" s="163" t="n">
        <v>0.0007977410029195965</v>
      </c>
      <c r="J239" s="163" t="n">
        <v>0.001240739138817445</v>
      </c>
      <c r="K239" s="163" t="n">
        <v>-0.0001164512817301051</v>
      </c>
      <c r="L239" s="163" t="n">
        <v>-0.0008132873988919688</v>
      </c>
      <c r="M239" s="163" t="n">
        <v>-0.0001589990014574839</v>
      </c>
      <c r="N239" s="163" t="n">
        <v>-0.002312108267354215</v>
      </c>
      <c r="O239" s="163" t="n">
        <v>0.0009376418872823435</v>
      </c>
      <c r="P239" s="163" t="n">
        <v>0.001207765551361326</v>
      </c>
      <c r="Q239" s="163" t="n">
        <v>-0.0001297375818774329</v>
      </c>
      <c r="R239" s="163" t="n">
        <v>0.001766060043028335</v>
      </c>
      <c r="S239" s="163" t="n">
        <v>-0.01367904893195205</v>
      </c>
      <c r="T239" s="163" t="n">
        <v>0</v>
      </c>
      <c r="U239" s="163" t="n">
        <v>-0.008926767143596609</v>
      </c>
      <c r="V239" s="171">
        <f>C239-U239</f>
        <v/>
      </c>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64" t="inlineStr">
        <is>
          <t>2024-04</t>
        </is>
      </c>
      <c r="B240" s="163" t="n">
        <v>-0.00807643849374351</v>
      </c>
      <c r="C240" s="163" t="n">
        <v>0.0001602257734974519</v>
      </c>
      <c r="D240" s="163" t="n">
        <v>-0.008236664267240961</v>
      </c>
      <c r="E240" s="170" t="n">
        <v>3867.975333333336</v>
      </c>
      <c r="F240" s="170" t="n">
        <v>3899.966115352154</v>
      </c>
      <c r="G240" s="163" t="n">
        <v>0.003180297575970861</v>
      </c>
      <c r="H240" s="163" t="n">
        <v>-0.002220232793125747</v>
      </c>
      <c r="I240" s="163" t="n">
        <v>0.0003494906565801982</v>
      </c>
      <c r="J240" s="163" t="n">
        <v>0.0004802861182519181</v>
      </c>
      <c r="K240" s="163" t="n">
        <v>0.0002079992450015945</v>
      </c>
      <c r="L240" s="163" t="n">
        <v>0.002951470835566922</v>
      </c>
      <c r="M240" s="163" t="n">
        <v>0.001800510319161105</v>
      </c>
      <c r="N240" s="163" t="n">
        <v>-0.0007116171892000776</v>
      </c>
      <c r="O240" s="163" t="n">
        <v>-0.002611007559232158</v>
      </c>
      <c r="P240" s="163" t="n">
        <v>-0.006091614177102084</v>
      </c>
      <c r="Q240" s="163" t="n">
        <v>0.0003899530989430954</v>
      </c>
      <c r="R240" s="163" t="n">
        <v>0.001349229471475238</v>
      </c>
      <c r="S240" s="163" t="n">
        <v>0.001085460171206585</v>
      </c>
      <c r="T240" s="163" t="n">
        <v>0</v>
      </c>
      <c r="U240" s="163" t="n">
        <v>0.000160225773497452</v>
      </c>
      <c r="V240" s="171">
        <f>C240-U240</f>
        <v/>
      </c>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64" t="inlineStr">
        <is>
          <t>2024-05</t>
        </is>
      </c>
      <c r="B241" s="163" t="n">
        <v>0.0002908881440522038</v>
      </c>
      <c r="C241" s="163" t="n">
        <v>0.01156282785487784</v>
      </c>
      <c r="D241" s="163" t="n">
        <v>-0.01127193971082563</v>
      </c>
      <c r="E241" s="170" t="n">
        <v>3869.100645161288</v>
      </c>
      <c r="F241" s="170" t="n">
        <v>3912.959637949589</v>
      </c>
      <c r="G241" s="163" t="n">
        <v>0.003180297575970861</v>
      </c>
      <c r="H241" s="163" t="n">
        <v>0.003843127984163429</v>
      </c>
      <c r="I241" s="163" t="n">
        <v>0.001860688042217869</v>
      </c>
      <c r="J241" s="163" t="n">
        <v>0.002001192159382972</v>
      </c>
      <c r="K241" s="163" t="n">
        <v>-0.001093832118577854</v>
      </c>
      <c r="L241" s="163" t="n">
        <v>-0.0005629962887137108</v>
      </c>
      <c r="M241" s="163" t="n">
        <v>-0.002421755211977193</v>
      </c>
      <c r="N241" s="163" t="n">
        <v>0.001015320326583716</v>
      </c>
      <c r="O241" s="163" t="n">
        <v>0.0009245474425122887</v>
      </c>
      <c r="P241" s="163" t="n">
        <v>0.009885999541296771</v>
      </c>
      <c r="Q241" s="163" t="n">
        <v>-0.0004194683274970383</v>
      </c>
      <c r="R241" s="163" t="n">
        <v>-0.0002341026100616035</v>
      </c>
      <c r="S241" s="163" t="n">
        <v>-0.006416190660422668</v>
      </c>
      <c r="T241" s="163" t="n">
        <v>0</v>
      </c>
      <c r="U241" s="163" t="n">
        <v>0.01156282785487784</v>
      </c>
      <c r="V241" s="171">
        <f>C241-U241</f>
        <v/>
      </c>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64" t="inlineStr">
        <is>
          <t>2024-06</t>
        </is>
      </c>
      <c r="B242" s="163" t="n">
        <v>0.0439146905547112</v>
      </c>
      <c r="C242" s="163" t="n">
        <v>0.02444083137247379</v>
      </c>
      <c r="D242" s="163" t="n">
        <v>0.01947385918223741</v>
      </c>
      <c r="E242" s="170" t="n">
        <v>4042.797000000001</v>
      </c>
      <c r="F242" s="170" t="n">
        <v>3964.829765939769</v>
      </c>
      <c r="G242" s="163" t="n">
        <v>0.003180297575970861</v>
      </c>
      <c r="H242" s="163" t="n">
        <v>-0.004405977109549341</v>
      </c>
      <c r="I242" s="163" t="n">
        <v>0.0007903202118487665</v>
      </c>
      <c r="J242" s="163" t="n">
        <v>0.002401430591259573</v>
      </c>
      <c r="K242" s="163" t="n">
        <v>-0.0002124891399102589</v>
      </c>
      <c r="L242" s="163" t="n">
        <v>0.003640257932564555</v>
      </c>
      <c r="M242" s="163" t="n">
        <v>-0.0003483718796120855</v>
      </c>
      <c r="N242" s="163" t="n">
        <v>0.002684533973645816</v>
      </c>
      <c r="O242" s="163" t="n">
        <v>-0.00378784953205458</v>
      </c>
      <c r="P242" s="163" t="n">
        <v>-0.00438389332431006</v>
      </c>
      <c r="Q242" s="163" t="n">
        <v>0.0006171957119298779</v>
      </c>
      <c r="R242" s="163" t="n">
        <v>0.001797947551094618</v>
      </c>
      <c r="S242" s="163" t="n">
        <v>0.02246742880959605</v>
      </c>
      <c r="T242" s="163" t="n">
        <v>0</v>
      </c>
      <c r="U242" s="163" t="n">
        <v>0.02444083137247379</v>
      </c>
      <c r="V242" s="171">
        <f>C242-U242</f>
        <v/>
      </c>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64" t="inlineStr">
        <is>
          <t>2024-07</t>
        </is>
      </c>
      <c r="B243" s="163" t="n">
        <v>-0.001454274733683647</v>
      </c>
      <c r="C243" s="163" t="n">
        <v>0.01182658278086902</v>
      </c>
      <c r="D243" s="163" t="n">
        <v>-0.01328085751455266</v>
      </c>
      <c r="E243" s="170" t="n">
        <v>4036.92193548387</v>
      </c>
      <c r="F243" s="170" t="n">
        <v>4090.89332035018</v>
      </c>
      <c r="G243" s="163" t="n">
        <v>0.003180297575970861</v>
      </c>
      <c r="H243" s="163" t="n">
        <v>0.0005040578399975468</v>
      </c>
      <c r="I243" s="163" t="n">
        <v>0.00219582375488914</v>
      </c>
      <c r="J243" s="163" t="n">
        <v>8.004768637531676e-05</v>
      </c>
      <c r="K243" s="163" t="n">
        <v>-0.0004101004284419644</v>
      </c>
      <c r="L243" s="163" t="n">
        <v>-0.0006391497201314108</v>
      </c>
      <c r="M243" s="163" t="n">
        <v>0.001446091496167887</v>
      </c>
      <c r="N243" s="163" t="n">
        <v>-0.0007667442319855055</v>
      </c>
      <c r="O243" s="163" t="n">
        <v>-0.001541964388002163</v>
      </c>
      <c r="P243" s="163" t="n">
        <v>0.008126749204804129</v>
      </c>
      <c r="Q243" s="163" t="n">
        <v>-0.0004166291784127434</v>
      </c>
      <c r="R243" s="163" t="n">
        <v>-0.0006159957258745289</v>
      </c>
      <c r="S243" s="163" t="n">
        <v>0.0006840988955124494</v>
      </c>
      <c r="T243" s="163" t="n">
        <v>0</v>
      </c>
      <c r="U243" s="163" t="n">
        <v>0.01182658278086902</v>
      </c>
      <c r="V243" s="171">
        <f>C243-U243</f>
        <v/>
      </c>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64" t="inlineStr">
        <is>
          <t>2024-08</t>
        </is>
      </c>
      <c r="B244" s="163" t="n">
        <v>0.007065657981685902</v>
      </c>
      <c r="C244" s="163" t="n">
        <v>0.002255883020822505</v>
      </c>
      <c r="D244" s="163" t="n">
        <v>0.004809774960863397</v>
      </c>
      <c r="E244" s="170" t="n">
        <v>4065.546451612903</v>
      </c>
      <c r="F244" s="170" t="n">
        <v>4046.039038827413</v>
      </c>
      <c r="G244" s="163" t="n">
        <v>0.003180297575970861</v>
      </c>
      <c r="H244" s="163" t="n">
        <v>-0.0005332786247602234</v>
      </c>
      <c r="I244" s="163" t="n">
        <v>0.002249247209637248</v>
      </c>
      <c r="J244" s="163" t="n">
        <v>0.002401430591259573</v>
      </c>
      <c r="K244" s="163" t="n">
        <v>-8.398937023722674e-05</v>
      </c>
      <c r="L244" s="163" t="n">
        <v>-0.001508981614541854</v>
      </c>
      <c r="M244" s="163" t="n">
        <v>0.003378308632289794</v>
      </c>
      <c r="N244" s="163" t="n">
        <v>0.002320201225507629</v>
      </c>
      <c r="O244" s="163" t="n">
        <v>-0.00462627045524243</v>
      </c>
      <c r="P244" s="163" t="n">
        <v>-0.009520314995488704</v>
      </c>
      <c r="Q244" s="163" t="n">
        <v>0.0002941904301580786</v>
      </c>
      <c r="R244" s="163" t="n">
        <v>0.000992130672557976</v>
      </c>
      <c r="S244" s="163" t="n">
        <v>0.003712911743711783</v>
      </c>
      <c r="T244" s="163" t="n">
        <v>0</v>
      </c>
      <c r="U244" s="163" t="n">
        <v>0.002255883020822505</v>
      </c>
      <c r="V244" s="171">
        <f>C244-U244</f>
        <v/>
      </c>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64" t="inlineStr">
        <is>
          <t>2024-09</t>
        </is>
      </c>
      <c r="B245" s="163" t="n">
        <v>0.02836394026293476</v>
      </c>
      <c r="C245" s="163" t="n">
        <v>0.00581917762778883</v>
      </c>
      <c r="D245" s="163" t="n">
        <v>0.02254476263514593</v>
      </c>
      <c r="E245" s="170" t="n">
        <v>4182.512333333329</v>
      </c>
      <c r="F245" s="170" t="n">
        <v>4089.273557735888</v>
      </c>
      <c r="G245" s="163" t="n">
        <v>0.003180297575970861</v>
      </c>
      <c r="H245" s="163" t="n">
        <v>0.002235727256487321</v>
      </c>
      <c r="I245" s="163" t="n">
        <v>0.001094971827351026</v>
      </c>
      <c r="J245" s="163" t="n">
        <v>0.002561525964010207</v>
      </c>
      <c r="K245" s="163" t="n">
        <v>-0.0002612757161354534</v>
      </c>
      <c r="L245" s="163" t="n">
        <v>-0.001439597393669384</v>
      </c>
      <c r="M245" s="163" t="n">
        <v>-0.001020952285134755</v>
      </c>
      <c r="N245" s="163" t="n">
        <v>0.0002534881823203647</v>
      </c>
      <c r="O245" s="163" t="n">
        <v>-0.004287964676617137</v>
      </c>
      <c r="P245" s="163" t="n">
        <v>-0.0004514100847192448</v>
      </c>
      <c r="Q245" s="163" t="n">
        <v>-0.000112262911982107</v>
      </c>
      <c r="R245" s="163" t="n">
        <v>-6.861837086134188e-05</v>
      </c>
      <c r="S245" s="163" t="n">
        <v>0.004135248260768472</v>
      </c>
      <c r="T245" s="163" t="n">
        <v>0</v>
      </c>
      <c r="U245" s="163" t="n">
        <v>0.00581917762778883</v>
      </c>
      <c r="V245" s="171">
        <f>C245-U245</f>
        <v/>
      </c>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64" t="inlineStr">
        <is>
          <t>2024-10</t>
        </is>
      </c>
      <c r="B246" s="163" t="n">
        <v>0.01588216660847408</v>
      </c>
      <c r="C246" s="163" t="n">
        <v>0.009290595893485585</v>
      </c>
      <c r="D246" s="163" t="n">
        <v>0.006591570714988495</v>
      </c>
      <c r="E246" s="170" t="n">
        <v>4249.470000000003</v>
      </c>
      <c r="F246" s="170" t="n">
        <v>4221.551432684765</v>
      </c>
      <c r="G246" s="163" t="n">
        <v>0.003180297575970861</v>
      </c>
      <c r="H246" s="163" t="n">
        <v>-0.002375857781774063</v>
      </c>
      <c r="I246" s="163" t="n">
        <v>0.00139097649319997</v>
      </c>
      <c r="J246" s="163" t="n">
        <v>-0.0009925913110539568</v>
      </c>
      <c r="K246" s="163" t="n">
        <v>0.000108793610568094</v>
      </c>
      <c r="L246" s="163" t="n">
        <v>0.003364759603074342</v>
      </c>
      <c r="M246" s="163" t="n">
        <v>0.001398825900831224</v>
      </c>
      <c r="N246" s="163" t="n">
        <v>-0.001971592628469524</v>
      </c>
      <c r="O246" s="163" t="n">
        <v>-0.003734234241259644</v>
      </c>
      <c r="P246" s="163" t="n">
        <v>0.006022129551715064</v>
      </c>
      <c r="Q246" s="163" t="n">
        <v>-7.756025985840768e-05</v>
      </c>
      <c r="R246" s="163" t="n">
        <v>0.0008583259214125781</v>
      </c>
      <c r="S246" s="163" t="n">
        <v>0.002118323459129046</v>
      </c>
      <c r="T246" s="163" t="n">
        <v>0</v>
      </c>
      <c r="U246" s="163" t="n">
        <v>0.009290595893485585</v>
      </c>
      <c r="V246" s="171">
        <f>C246-U246</f>
        <v/>
      </c>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64" t="inlineStr">
        <is>
          <t>2024-11</t>
        </is>
      </c>
      <c r="B247" s="163" t="n">
        <v>0.03677478012959412</v>
      </c>
      <c r="C247" s="163" t="n">
        <v>0.03159382423370296</v>
      </c>
      <c r="D247" s="163" t="n">
        <v>0.005180955895891161</v>
      </c>
      <c r="E247" s="170" t="n">
        <v>4408.652333333335</v>
      </c>
      <c r="F247" s="170" t="n">
        <v>4385.870367174976</v>
      </c>
      <c r="G247" s="163" t="n">
        <v>0.003180297575970861</v>
      </c>
      <c r="H247" s="163" t="n">
        <v>5.836174293118388e-05</v>
      </c>
      <c r="I247" s="163" t="n">
        <v>0.00132655610206223</v>
      </c>
      <c r="J247" s="163" t="n">
        <v>0.0009925913110539568</v>
      </c>
      <c r="K247" s="163" t="n">
        <v>-4.523750980414381e-06</v>
      </c>
      <c r="L247" s="163" t="n">
        <v>0.005248473594593262</v>
      </c>
      <c r="M247" s="163" t="n">
        <v>-0.002519304539204537</v>
      </c>
      <c r="N247" s="163" t="n">
        <v>0.002028581212524031</v>
      </c>
      <c r="O247" s="163" t="n">
        <v>0.003766605426392876</v>
      </c>
      <c r="P247" s="163" t="n">
        <v>0.002892559382580498</v>
      </c>
      <c r="Q247" s="163" t="n">
        <v>-0.0004380940698293907</v>
      </c>
      <c r="R247" s="163" t="n">
        <v>0.0006142585368817796</v>
      </c>
      <c r="S247" s="163" t="n">
        <v>0.01444746170872663</v>
      </c>
      <c r="T247" s="163" t="n">
        <v>0</v>
      </c>
      <c r="U247" s="163" t="n">
        <v>0.03159382423370296</v>
      </c>
      <c r="V247" s="171">
        <f>C247-U247</f>
        <v/>
      </c>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64" t="inlineStr">
        <is>
          <t>2024-12</t>
        </is>
      </c>
      <c r="B248" s="163" t="n">
        <v>-0.005345510890666816</v>
      </c>
      <c r="C248" s="163" t="n">
        <v>-0.001074046225589059</v>
      </c>
      <c r="D248" s="163" t="n">
        <v>-0.004271464665077757</v>
      </c>
      <c r="E248" s="170" t="n">
        <v>4385.148709677422</v>
      </c>
      <c r="F248" s="170" t="n">
        <v>4403.919778880852</v>
      </c>
      <c r="G248" s="163" t="n">
        <v>0.003180297575970861</v>
      </c>
      <c r="H248" s="163" t="n">
        <v>-0.002334485412748544</v>
      </c>
      <c r="I248" s="163" t="n">
        <v>0.001271662062315398</v>
      </c>
      <c r="J248" s="163" t="n">
        <v>0.00153851653213363</v>
      </c>
      <c r="K248" s="163" t="n">
        <v>-0.0002271033431269938</v>
      </c>
      <c r="L248" s="163" t="n">
        <v>0.002405022497685296</v>
      </c>
      <c r="M248" s="163" t="n">
        <v>-0.0001069592472888546</v>
      </c>
      <c r="N248" s="163" t="n">
        <v>-0.0001628245258700144</v>
      </c>
      <c r="O248" s="163" t="n">
        <v>-0.0008696001765844237</v>
      </c>
      <c r="P248" s="163" t="n">
        <v>-0.007775316947962481</v>
      </c>
      <c r="Q248" s="163" t="n">
        <v>0.0003871849078963554</v>
      </c>
      <c r="R248" s="163" t="n">
        <v>-0.0005220767235087468</v>
      </c>
      <c r="S248" s="163" t="n">
        <v>0.00214163657549946</v>
      </c>
      <c r="T248" s="163" t="n">
        <v>0</v>
      </c>
      <c r="U248" s="163" t="n">
        <v>-0.001074046225589059</v>
      </c>
      <c r="V248" s="171">
        <f>C248-U248</f>
        <v/>
      </c>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64" t="inlineStr">
        <is>
          <t>2025-01</t>
        </is>
      </c>
      <c r="B249" s="163" t="n">
        <v>-0.01785019759862116</v>
      </c>
      <c r="C249" s="163" t="n">
        <v>-0.0002433896272255092</v>
      </c>
      <c r="D249" s="163" t="n">
        <v>-0.01760680797139566</v>
      </c>
      <c r="E249" s="170" t="n">
        <v>4307.567419354838</v>
      </c>
      <c r="F249" s="170" t="n">
        <v>4384.081539841945</v>
      </c>
      <c r="G249" s="163" t="n">
        <v>0.003180297575970861</v>
      </c>
      <c r="H249" s="163" t="n">
        <v>-0.002409782754959889</v>
      </c>
      <c r="I249" s="163" t="n">
        <v>0.0015786237921844</v>
      </c>
      <c r="J249" s="163" t="n">
        <v>-0.0004338584601542269</v>
      </c>
      <c r="K249" s="163" t="n">
        <v>0.0002033857727290089</v>
      </c>
      <c r="L249" s="163" t="n">
        <v>0.002375169552754077</v>
      </c>
      <c r="M249" s="163" t="n">
        <v>0.0006294061065846845</v>
      </c>
      <c r="N249" s="163" t="n">
        <v>-0.0001858323393081663</v>
      </c>
      <c r="O249" s="163" t="n">
        <v>0.002231247366907144</v>
      </c>
      <c r="P249" s="163" t="n">
        <v>-0.007251299474500508</v>
      </c>
      <c r="Q249" s="163" t="n">
        <v>-0.0002881051201746496</v>
      </c>
      <c r="R249" s="163" t="n">
        <v>-0.00287241926288727</v>
      </c>
      <c r="S249" s="163" t="n">
        <v>0.002999777617629022</v>
      </c>
      <c r="T249" s="163" t="n">
        <v>0</v>
      </c>
      <c r="U249" s="163" t="n">
        <v>-0.0002433896272255095</v>
      </c>
      <c r="V249" s="171">
        <f>C249-U249</f>
        <v/>
      </c>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64" t="inlineStr">
        <is>
          <t>2025-02</t>
        </is>
      </c>
      <c r="B250" s="163" t="n">
        <v>-0.04259147351515935</v>
      </c>
      <c r="C250" s="163" t="n">
        <v>-0.02059859645958809</v>
      </c>
      <c r="D250" s="163" t="n">
        <v>-0.02199287705557126</v>
      </c>
      <c r="E250" s="170" t="n">
        <v>4127.95392857143</v>
      </c>
      <c r="F250" s="170" t="n">
        <v>4219.745188944936</v>
      </c>
      <c r="G250" s="163" t="n">
        <v>0.003180297575970861</v>
      </c>
      <c r="H250" s="163" t="n">
        <v>0.000639802648899316</v>
      </c>
      <c r="I250" s="163" t="n">
        <v>0.0008204171665406016</v>
      </c>
      <c r="J250" s="163" t="n">
        <v>0.000136081066838042</v>
      </c>
      <c r="K250" s="163" t="n">
        <v>-6.930902955486055e-05</v>
      </c>
      <c r="L250" s="163" t="n">
        <v>-0.001807961132547336</v>
      </c>
      <c r="M250" s="163" t="n">
        <v>0.0001386115532565545</v>
      </c>
      <c r="N250" s="163" t="n">
        <v>0.0005876018568924333</v>
      </c>
      <c r="O250" s="163" t="n">
        <v>-0.001488772460057698</v>
      </c>
      <c r="P250" s="163" t="n">
        <v>-0.003377536497724904</v>
      </c>
      <c r="Q250" s="163" t="n">
        <v>0.0004318583721819112</v>
      </c>
      <c r="R250" s="163" t="n">
        <v>-0.001247933819507125</v>
      </c>
      <c r="S250" s="163" t="n">
        <v>-0.01854175376077588</v>
      </c>
      <c r="T250" s="163" t="n">
        <v>0</v>
      </c>
      <c r="U250" s="163" t="n">
        <v>-0.02059859645958809</v>
      </c>
      <c r="V250" s="171">
        <f>C250-U250</f>
        <v/>
      </c>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64" t="inlineStr">
        <is>
          <t>2025-03</t>
        </is>
      </c>
      <c r="B251" s="163" t="n">
        <v>0.002354468349382799</v>
      </c>
      <c r="C251" s="163" t="n">
        <v>0.00429986232075351</v>
      </c>
      <c r="D251" s="163" t="n">
        <v>-0.001945393971370711</v>
      </c>
      <c r="E251" s="170" t="n">
        <v>4137.684516129031</v>
      </c>
      <c r="F251" s="170" t="n">
        <v>4145.74177737477</v>
      </c>
      <c r="G251" s="163" t="n">
        <v>0.003180297575970861</v>
      </c>
      <c r="H251" s="163" t="n">
        <v>0.0003748193427704921</v>
      </c>
      <c r="I251" s="163" t="n">
        <v>0.0009879251313369625</v>
      </c>
      <c r="J251" s="163" t="n">
        <v>0</v>
      </c>
      <c r="K251" s="163" t="n">
        <v>-0.0001850293045348871</v>
      </c>
      <c r="L251" s="163" t="n">
        <v>-0.003102813165951494</v>
      </c>
      <c r="M251" s="163" t="n">
        <v>0.002888176693061616</v>
      </c>
      <c r="N251" s="163" t="n">
        <v>0.001902197523476443</v>
      </c>
      <c r="O251" s="163" t="n">
        <v>-0.003032483424616404</v>
      </c>
      <c r="P251" s="163" t="n">
        <v>0.01120377402987013</v>
      </c>
      <c r="Q251" s="163" t="n">
        <v>-0.0001164809858779654</v>
      </c>
      <c r="R251" s="163" t="n">
        <v>0.001033847185554507</v>
      </c>
      <c r="S251" s="163" t="n">
        <v>-0.01083436828030675</v>
      </c>
      <c r="T251" s="163" t="n">
        <v>0</v>
      </c>
      <c r="U251" s="163" t="n">
        <v>0.00429986232075351</v>
      </c>
      <c r="V251" s="171">
        <f>C251-U251</f>
        <v/>
      </c>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64" t="inlineStr">
        <is>
          <t>2025-04</t>
        </is>
      </c>
      <c r="B252" s="163" t="n">
        <v>0.03387695239867128</v>
      </c>
      <c r="C252" s="163" t="n">
        <v>0.01807067591429583</v>
      </c>
      <c r="D252" s="163" t="n">
        <v>0.01580627648437545</v>
      </c>
      <c r="E252" s="170" t="n">
        <v>4280.258000000003</v>
      </c>
      <c r="F252" s="170" t="n">
        <v>4213.134938945521</v>
      </c>
      <c r="G252" s="163" t="n">
        <v>0.003180297575970861</v>
      </c>
      <c r="H252" s="163" t="n">
        <v>0.0008334198208497097</v>
      </c>
      <c r="I252" s="163" t="n">
        <v>0.001618028155683369</v>
      </c>
      <c r="J252" s="163" t="n">
        <v>0</v>
      </c>
      <c r="K252" s="163" t="n">
        <v>-0.0002230158203293668</v>
      </c>
      <c r="L252" s="163" t="n">
        <v>-0.004055723610594602</v>
      </c>
      <c r="M252" s="163" t="n">
        <v>0.004356873446030026</v>
      </c>
      <c r="N252" s="163" t="n">
        <v>0.008350307786947472</v>
      </c>
      <c r="O252" s="163" t="n">
        <v>-0.001861023597286953</v>
      </c>
      <c r="P252" s="163" t="n">
        <v>-0.0007478901038379144</v>
      </c>
      <c r="Q252" s="163" t="n">
        <v>-0.000160672788889611</v>
      </c>
      <c r="R252" s="163" t="n">
        <v>-0.0004014845271087681</v>
      </c>
      <c r="S252" s="163" t="n">
        <v>0.007181559576861606</v>
      </c>
      <c r="T252" s="163" t="n">
        <v>0</v>
      </c>
      <c r="U252" s="163" t="n">
        <v>0.01807067591429583</v>
      </c>
      <c r="V252" s="171">
        <f>C252-U252</f>
        <v/>
      </c>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64" t="inlineStr">
        <is>
          <t>2025-05</t>
        </is>
      </c>
      <c r="B253" s="163" t="n">
        <v>-0.01812501529253652</v>
      </c>
      <c r="C253" s="163" t="n">
        <v>-0.02778838616038267</v>
      </c>
      <c r="D253" s="163" t="n">
        <v>0.00966337086784615</v>
      </c>
      <c r="E253" s="170" t="n">
        <v>4203.377096774196</v>
      </c>
      <c r="F253" s="170" t="n">
        <v>4162.95393157075</v>
      </c>
      <c r="G253" s="163" t="n">
        <v>0.003180297575970861</v>
      </c>
      <c r="H253" s="163" t="n">
        <v>0.002564059997375715</v>
      </c>
      <c r="I253" s="163" t="n">
        <v>0.001371662412058218</v>
      </c>
      <c r="J253" s="163" t="n">
        <v>0</v>
      </c>
      <c r="K253" s="163" t="n">
        <v>0.0002042939586230178</v>
      </c>
      <c r="L253" s="163" t="n">
        <v>-0.003522713516807676</v>
      </c>
      <c r="M253" s="163" t="n">
        <v>-0.005103007419682296</v>
      </c>
      <c r="N253" s="163" t="n">
        <v>-0.004903608618871743</v>
      </c>
      <c r="O253" s="163" t="n">
        <v>-0.003549849247948981</v>
      </c>
      <c r="P253" s="163" t="n">
        <v>-0.003313283729820149</v>
      </c>
      <c r="Q253" s="163" t="n">
        <v>0.0002348618367069884</v>
      </c>
      <c r="R253" s="163" t="n">
        <v>0.000221941224324918</v>
      </c>
      <c r="S253" s="163" t="n">
        <v>-0.01517304063231154</v>
      </c>
      <c r="T253" s="163" t="n">
        <v>0</v>
      </c>
      <c r="U253" s="163" t="n">
        <v>-0.02778838616038267</v>
      </c>
      <c r="V253" s="171">
        <f>C253-U253</f>
        <v/>
      </c>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64" t="inlineStr">
        <is>
          <t>2025-06</t>
        </is>
      </c>
      <c r="B254" s="163" t="n">
        <v>-0.02161767176773211</v>
      </c>
      <c r="C254" s="163" t="n">
        <v>-0.02227798864145514</v>
      </c>
      <c r="D254" s="163" t="n">
        <v>0.0006603168737230394</v>
      </c>
      <c r="E254" s="170" t="n">
        <v>4113.485000000001</v>
      </c>
      <c r="F254" s="170" t="n">
        <v>4110.769693024859</v>
      </c>
      <c r="G254" s="163" t="n">
        <v>0.003180297575970861</v>
      </c>
      <c r="H254" s="163" t="n">
        <v>-0.003805790580319451</v>
      </c>
      <c r="I254" s="163" t="n">
        <v>0.001095303331220134</v>
      </c>
      <c r="J254" s="163" t="n">
        <v>0.001200715295629787</v>
      </c>
      <c r="K254" s="163" t="n">
        <v>-6.106505415337075e-05</v>
      </c>
      <c r="L254" s="163" t="n">
        <v>-0.003475250310006442</v>
      </c>
      <c r="M254" s="163" t="n">
        <v>-0.001213145223023089</v>
      </c>
      <c r="N254" s="163" t="n">
        <v>-0.00163934693091856</v>
      </c>
      <c r="O254" s="163" t="n">
        <v>0.0001748903156712779</v>
      </c>
      <c r="P254" s="163" t="n">
        <v>-0.005259017105636686</v>
      </c>
      <c r="Q254" s="163" t="n">
        <v>-0.0001918723884344661</v>
      </c>
      <c r="R254" s="163" t="n">
        <v>0.0003981415137722343</v>
      </c>
      <c r="S254" s="163" t="n">
        <v>-0.01268184908122737</v>
      </c>
      <c r="T254" s="163" t="n">
        <v>0</v>
      </c>
      <c r="U254" s="163" t="n">
        <v>-0.02227798864145514</v>
      </c>
      <c r="V254" s="171">
        <f>C254-U254</f>
        <v/>
      </c>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64" t="inlineStr">
        <is>
          <t>2025-07</t>
        </is>
      </c>
      <c r="B255" s="163" t="n">
        <v>-0.01781593435753237</v>
      </c>
      <c r="C255" s="163" t="n">
        <v>-0.01046866496341377</v>
      </c>
      <c r="D255" s="163" t="n">
        <v>-0.007347269394118602</v>
      </c>
      <c r="E255" s="170" t="n">
        <v>4040.848387096774</v>
      </c>
      <c r="F255" s="170" t="n">
        <v>4070.646923665918</v>
      </c>
      <c r="G255" s="163" t="n">
        <v>0.003180297575970861</v>
      </c>
      <c r="H255" s="163" t="n">
        <v>-0.0001895544114756734</v>
      </c>
      <c r="I255" s="163" t="n">
        <v>0.0005349216586667847</v>
      </c>
      <c r="J255" s="163" t="n">
        <v>4.002384318765838e-05</v>
      </c>
      <c r="K255" s="163" t="n">
        <v>0.000169498095990708</v>
      </c>
      <c r="L255" s="163" t="n">
        <v>-0.0009653303885032282</v>
      </c>
      <c r="M255" s="163" t="n">
        <v>-0.00133142800779797</v>
      </c>
      <c r="N255" s="163" t="n">
        <v>-0.004832348754733574</v>
      </c>
      <c r="O255" s="163" t="n">
        <v>-0.002584902372247164</v>
      </c>
      <c r="P255" s="163" t="n">
        <v>0.002824732864581218</v>
      </c>
      <c r="Q255" s="163" t="n">
        <v>0.0001785217098420592</v>
      </c>
      <c r="R255" s="163" t="n">
        <v>-0.001850007142119879</v>
      </c>
      <c r="S255" s="163" t="n">
        <v>-0.005643089634775569</v>
      </c>
      <c r="T255" s="163" t="n">
        <v>0</v>
      </c>
      <c r="U255" s="163" t="n">
        <v>-0.01046866496341377</v>
      </c>
      <c r="V255" s="171">
        <f>C255-U255</f>
        <v/>
      </c>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64" t="inlineStr">
        <is>
          <t>2025-08</t>
        </is>
      </c>
      <c r="B256" s="163" t="n">
        <v>0.001622902143841642</v>
      </c>
      <c r="C256" s="163" t="n">
        <v>-0.001773837527434542</v>
      </c>
      <c r="D256" s="163" t="n">
        <v>0.003396739671276185</v>
      </c>
      <c r="E256" s="170" t="n">
        <v>4047.411612903224</v>
      </c>
      <c r="F256" s="170" t="n">
        <v>4033.686932091683</v>
      </c>
      <c r="G256" s="163" t="n">
        <v>0.003180297575970861</v>
      </c>
      <c r="H256" s="163" t="n">
        <v>-0.001524430183032147</v>
      </c>
      <c r="I256" s="163" t="n">
        <v>0.001204820232578677</v>
      </c>
      <c r="J256" s="163" t="n">
        <v>0</v>
      </c>
      <c r="K256" s="163" t="n">
        <v>3.419172867651501e-05</v>
      </c>
      <c r="L256" s="163" t="n">
        <v>0.0009292342524470373</v>
      </c>
      <c r="M256" s="163" t="n">
        <v>-0.0004495667900595132</v>
      </c>
      <c r="N256" s="163" t="n">
        <v>-0.00372408007973571</v>
      </c>
      <c r="O256" s="163" t="n">
        <v>0.001272860130436632</v>
      </c>
      <c r="P256" s="163" t="n">
        <v>-0.001913675326249098</v>
      </c>
      <c r="Q256" s="163" t="n">
        <v>-0.0003166056609425424</v>
      </c>
      <c r="R256" s="163" t="n">
        <v>0.001911058463509509</v>
      </c>
      <c r="S256" s="163" t="n">
        <v>-0.002377941871034764</v>
      </c>
      <c r="T256" s="163" t="n">
        <v>0</v>
      </c>
      <c r="U256" s="163" t="n">
        <v>-0.001773837527434542</v>
      </c>
      <c r="V256" s="171">
        <f>C256-U256</f>
        <v/>
      </c>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64" t="inlineStr">
        <is>
          <t>2025-09</t>
        </is>
      </c>
      <c r="B257" s="163" t="n">
        <v>-0.03142178850944966</v>
      </c>
      <c r="C257" s="163" t="n">
        <v>-0.02262210319635541</v>
      </c>
      <c r="D257" s="163" t="n">
        <v>-0.008799685313094247</v>
      </c>
      <c r="E257" s="170" t="n">
        <v>3922.211999999997</v>
      </c>
      <c r="F257" s="170" t="n">
        <v>3956.878534931973</v>
      </c>
      <c r="G257" s="163" t="n">
        <v>0.003180297575970861</v>
      </c>
      <c r="H257" s="163" t="n">
        <v>-0.001099888595868519</v>
      </c>
      <c r="I257" s="163" t="n">
        <v>0.0006791465667035593</v>
      </c>
      <c r="J257" s="163" t="n">
        <v>0</v>
      </c>
      <c r="K257" s="163" t="n">
        <v>0.0002073853088460545</v>
      </c>
      <c r="L257" s="163" t="n">
        <v>-0.001097403216002224</v>
      </c>
      <c r="M257" s="163" t="n">
        <v>2.835663717415778e-05</v>
      </c>
      <c r="N257" s="163" t="n">
        <v>-0.006815316574881972</v>
      </c>
      <c r="O257" s="163" t="n">
        <v>-0.002638791204111696</v>
      </c>
      <c r="P257" s="163" t="n">
        <v>-0.006980720756263474</v>
      </c>
      <c r="Q257" s="163" t="n">
        <v>0.0003758440498831392</v>
      </c>
      <c r="R257" s="163" t="n">
        <v>0.0008541888150476297</v>
      </c>
      <c r="S257" s="163" t="n">
        <v>-0.009315201802852927</v>
      </c>
      <c r="T257" s="163" t="n">
        <v>0</v>
      </c>
      <c r="U257" s="163" t="n">
        <v>-0.02262210319635541</v>
      </c>
      <c r="V257" s="171">
        <f>C257-U257</f>
        <v/>
      </c>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64" t="inlineStr">
        <is>
          <t>2025-10</t>
        </is>
      </c>
      <c r="B258" s="163" t="n">
        <v>-0.01137623499465157</v>
      </c>
      <c r="C258" s="163" t="n">
        <v>-0.003048911887391139</v>
      </c>
      <c r="D258" s="163" t="n">
        <v>-0.008327323107260431</v>
      </c>
      <c r="E258" s="170" t="n">
        <v>3877.844838709676</v>
      </c>
      <c r="F258" s="170" t="n">
        <v>3910.271732869112</v>
      </c>
      <c r="G258" s="163" t="n">
        <v>0.003180297575970861</v>
      </c>
      <c r="H258" s="163" t="n">
        <v>0.003711183184998938</v>
      </c>
      <c r="I258" s="163" t="n">
        <v>0.0004916460968389381</v>
      </c>
      <c r="J258" s="163" t="n">
        <v>-0.0005459252210796774</v>
      </c>
      <c r="K258" s="163" t="n">
        <v>0.000143522951707442</v>
      </c>
      <c r="L258" s="163" t="n">
        <v>0.001469490188017243</v>
      </c>
      <c r="M258" s="163" t="n">
        <v>0.001553997685381251</v>
      </c>
      <c r="N258" s="163" t="n">
        <v>0.000868681717020552</v>
      </c>
      <c r="O258" s="163" t="n">
        <v>-0.001593203914691217</v>
      </c>
      <c r="P258" s="163" t="n">
        <v>-0.00163846092277903</v>
      </c>
      <c r="Q258" s="163" t="n">
        <v>-7.92894747718671e-05</v>
      </c>
      <c r="R258" s="163" t="n">
        <v>0.0004096419645654856</v>
      </c>
      <c r="S258" s="163" t="n">
        <v>-0.01102049371857006</v>
      </c>
      <c r="T258" s="163" t="n">
        <v>0</v>
      </c>
      <c r="U258" s="163" t="n">
        <v>-0.003048911887391138</v>
      </c>
      <c r="V258" s="171">
        <f>C258-U258</f>
        <v/>
      </c>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64" t="inlineStr">
        <is>
          <t>2025-11</t>
        </is>
      </c>
      <c r="B259" s="163" t="n">
        <v>-0.02392106973964836</v>
      </c>
      <c r="C259" s="163" t="n">
        <v>-0.01766591463889957</v>
      </c>
      <c r="D259" s="163" t="n">
        <v>-0.006255155100748793</v>
      </c>
      <c r="E259" s="170" t="n">
        <v>3786.183333333337</v>
      </c>
      <c r="F259" s="170" t="n">
        <v>3809.940722938765</v>
      </c>
      <c r="G259" s="163" t="n">
        <v>0.003180297575970861</v>
      </c>
      <c r="H259" s="163" t="n">
        <v>0.0005596323051769761</v>
      </c>
      <c r="I259" s="163" t="n">
        <v>0.0004330999578244104</v>
      </c>
      <c r="J259" s="163" t="n">
        <v>-0.0006451843521850709</v>
      </c>
      <c r="K259" s="163" t="n">
        <v>0.0001580063189764527</v>
      </c>
      <c r="L259" s="163" t="n">
        <v>0.001307883016370128</v>
      </c>
      <c r="M259" s="163" t="n">
        <v>0.001017789122298683</v>
      </c>
      <c r="N259" s="163" t="n">
        <v>-0.001276668171047125</v>
      </c>
      <c r="O259" s="163" t="n">
        <v>-0.0004522943878884295</v>
      </c>
      <c r="P259" s="163" t="n">
        <v>-0.009391485143426533</v>
      </c>
      <c r="Q259" s="163" t="n">
        <v>4.667338939427321e-05</v>
      </c>
      <c r="R259" s="163" t="n">
        <v>-0.003443100054889803</v>
      </c>
      <c r="S259" s="163" t="n">
        <v>-0.009160564215474391</v>
      </c>
      <c r="T259" s="163" t="n">
        <v>0</v>
      </c>
      <c r="U259" s="163" t="n">
        <v>-0.01766591463889957</v>
      </c>
      <c r="V259" s="171">
        <f>C259-U259</f>
        <v/>
      </c>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64" t="inlineStr">
        <is>
          <t>2025-12</t>
        </is>
      </c>
      <c r="B260" s="163" t="n">
        <v>0.001395841542430887</v>
      </c>
      <c r="C260" s="163" t="n">
        <v>0.001078026387029682</v>
      </c>
      <c r="D260" s="163" t="n">
        <v>0.0003178151554012044</v>
      </c>
      <c r="E260" s="170" t="n">
        <v>3791.471935483873</v>
      </c>
      <c r="F260" s="170" t="n">
        <v>3790.267139702816</v>
      </c>
      <c r="G260" s="163" t="n">
        <v>0.003180297575970861</v>
      </c>
      <c r="H260" s="163" t="n">
        <v>-0.0009869476124794796</v>
      </c>
      <c r="I260" s="163" t="n">
        <v>0.0002905392525102031</v>
      </c>
      <c r="J260" s="163" t="n">
        <v>-0.001042220876606654</v>
      </c>
      <c r="K260" s="163" t="n">
        <v>-0.0003099008742005898</v>
      </c>
      <c r="L260" s="163" t="n">
        <v>-0.002457217559346239</v>
      </c>
      <c r="M260" s="163" t="n">
        <v>-0.002747671665406693</v>
      </c>
      <c r="N260" s="163" t="n">
        <v>0.003239057674141397</v>
      </c>
      <c r="O260" s="163" t="n">
        <v>-0.0008853179915734793</v>
      </c>
      <c r="P260" s="163" t="n">
        <v>0.01153155088277717</v>
      </c>
      <c r="Q260" s="163" t="n">
        <v>0.0001683643168424531</v>
      </c>
      <c r="R260" s="163" t="n">
        <v>-0.003228568718817428</v>
      </c>
      <c r="S260" s="163" t="n">
        <v>-0.005673938016781842</v>
      </c>
      <c r="T260" s="163" t="n">
        <v>0</v>
      </c>
      <c r="U260" s="163" t="n">
        <v>0.001078026387029683</v>
      </c>
      <c r="V260" s="171">
        <f>C260-U260</f>
        <v/>
      </c>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64" t="inlineStr">
        <is>
          <t>2026-01</t>
        </is>
      </c>
      <c r="B261" s="163" t="n">
        <v>-0.02361127658400619</v>
      </c>
      <c r="C261" s="163" t="n">
        <v>-0.00324001384617734</v>
      </c>
      <c r="D261" s="163" t="n">
        <v>-0.02037126273782885</v>
      </c>
      <c r="E261" s="170" t="n">
        <v>3702.999032258066</v>
      </c>
      <c r="F261" s="170" t="n">
        <v>3779.207393287889</v>
      </c>
      <c r="G261" s="163" t="n">
        <v>0.003180297575970861</v>
      </c>
      <c r="H261" s="163" t="n">
        <v>-0.0001849276543014849</v>
      </c>
      <c r="I261" s="163" t="n">
        <v>0.0005785001899534793</v>
      </c>
      <c r="J261" s="163" t="n">
        <v>-0.0007940730488431611</v>
      </c>
      <c r="K261" s="163" t="n">
        <v>0.0001794248068410591</v>
      </c>
      <c r="L261" s="163" t="n">
        <v>-0.001933302199206943</v>
      </c>
      <c r="M261" s="163" t="n">
        <v>0.0004549775697266713</v>
      </c>
      <c r="N261" s="163" t="n">
        <v>-0.0009582191168690416</v>
      </c>
      <c r="O261" s="163" t="n">
        <v>-0.001013687342420683</v>
      </c>
      <c r="P261" s="163" t="n">
        <v>0.01255416277377853</v>
      </c>
      <c r="Q261" s="163" t="n">
        <v>-0.0004523215681348644</v>
      </c>
      <c r="R261" s="163" t="n">
        <v>-0.00138190370145409</v>
      </c>
      <c r="S261" s="163" t="n">
        <v>-0.01346894213121767</v>
      </c>
      <c r="T261" s="163" t="n">
        <v>0</v>
      </c>
      <c r="U261" s="163" t="n">
        <v>-0.00324001384617734</v>
      </c>
      <c r="V261" s="171">
        <f>C261-U261</f>
        <v/>
      </c>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64" t="inlineStr">
        <is>
          <t>2026-02</t>
        </is>
      </c>
      <c r="B262" s="163" t="n">
        <v>-0.007415384769933198</v>
      </c>
      <c r="C262" s="163" t="n">
        <v>-0.01985116468750389</v>
      </c>
      <c r="D262" s="163" t="n">
        <v>0.01243577991757069</v>
      </c>
      <c r="E262" s="170" t="n">
        <v>3675.64142857143</v>
      </c>
      <c r="F262" s="170" t="n">
        <v>3630.215002653728</v>
      </c>
      <c r="G262" s="163" t="n">
        <v>0.003180297575970861</v>
      </c>
      <c r="H262" s="163" t="n">
        <v>-0.0005358642227935918</v>
      </c>
      <c r="I262" s="163" t="n">
        <v>8.035207070894123e-05</v>
      </c>
      <c r="J262" s="163" t="n">
        <v>-0.0003970365244215827</v>
      </c>
      <c r="K262" s="163" t="n">
        <v>0.0006466868428830762</v>
      </c>
      <c r="L262" s="163" t="n">
        <v>-0.002695768918621359</v>
      </c>
      <c r="M262" s="163" t="n">
        <v>0.00196249357997431</v>
      </c>
      <c r="N262" s="163" t="n">
        <v>-0.0009558539780051068</v>
      </c>
      <c r="O262" s="163" t="n">
        <v>-0.002544879855773819</v>
      </c>
      <c r="P262" s="163" t="n">
        <v>-0.004304209513143542</v>
      </c>
      <c r="Q262" s="163" t="n">
        <v>0.0002193903149246818</v>
      </c>
      <c r="R262" s="163" t="n">
        <v>-0.003005011095335268</v>
      </c>
      <c r="S262" s="163" t="n">
        <v>-0.01150176096387149</v>
      </c>
      <c r="T262" s="163" t="n">
        <v>0</v>
      </c>
      <c r="U262" s="163" t="n">
        <v>-0.01985116468750389</v>
      </c>
      <c r="V262" s="171">
        <f>C262-U262</f>
        <v/>
      </c>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64" t="inlineStr">
        <is>
          <t>2026-03</t>
        </is>
      </c>
      <c r="B263" s="163" t="n">
        <v>0.01133918910196741</v>
      </c>
      <c r="C263" s="163" t="n">
        <v>0.03481461048649116</v>
      </c>
      <c r="D263" s="163" t="n">
        <v>-0.02347542138452375</v>
      </c>
      <c r="E263" s="170" t="n">
        <v>3717.55741935484</v>
      </c>
      <c r="F263" s="170" t="n">
        <v>3805.861073769647</v>
      </c>
      <c r="G263" s="163" t="n">
        <v>0.003180297575970861</v>
      </c>
      <c r="H263" s="163" t="n">
        <v>-0.007985563997814488</v>
      </c>
      <c r="I263" s="163" t="n">
        <v>0.0005330041806044314</v>
      </c>
      <c r="J263" s="163" t="n">
        <v>-0.004785708106867284</v>
      </c>
      <c r="K263" s="163" t="n">
        <v>-0.0003957601547631904</v>
      </c>
      <c r="L263" s="163" t="n">
        <v>0.004089134686523397</v>
      </c>
      <c r="M263" s="163" t="n">
        <v>0.003285278181340928</v>
      </c>
      <c r="N263" s="163" t="n">
        <v>0.003046298856731735</v>
      </c>
      <c r="O263" s="163" t="n">
        <v>-0.002160741625410527</v>
      </c>
      <c r="P263" s="163" t="n">
        <v>0.0165986412361608</v>
      </c>
      <c r="Q263" s="163" t="n">
        <v>-0.000270773456425089</v>
      </c>
      <c r="R263" s="163" t="n">
        <v>-0.001679945846067749</v>
      </c>
      <c r="S263" s="163" t="n">
        <v>0.02136044895650733</v>
      </c>
      <c r="T263" s="163" t="n">
        <v>0</v>
      </c>
      <c r="U263" s="163" t="n">
        <v>0.03481461048649116</v>
      </c>
      <c r="V263" s="171">
        <f>C263-U263</f>
        <v/>
      </c>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64" t="inlineStr">
        <is>
          <t>2026-04</t>
        </is>
      </c>
      <c r="B264" s="163" t="n">
        <v>-0.02727850531195131</v>
      </c>
      <c r="C264" s="163" t="n">
        <v>-0.0232908723964279</v>
      </c>
      <c r="D264" s="163" t="n">
        <v>-0.003987632915523408</v>
      </c>
      <c r="E264" s="170" t="n">
        <v>3617.518666666666</v>
      </c>
      <c r="F264" s="170" t="n">
        <v>3631.972802915932</v>
      </c>
      <c r="G264" s="163" t="n">
        <v>0.003180297575970861</v>
      </c>
      <c r="H264" s="163" t="n">
        <v>-0.00251635598819923</v>
      </c>
      <c r="I264" s="163" t="n">
        <v>0.001037193737726654</v>
      </c>
      <c r="J264" s="163" t="n">
        <v>-0.0001772484484024959</v>
      </c>
      <c r="K264" s="163" t="n">
        <v>0.0001953871031100949</v>
      </c>
      <c r="L264" s="163" t="n">
        <v>-0.001785520060754917</v>
      </c>
      <c r="M264" s="163" t="n">
        <v>-0.002930567203696114</v>
      </c>
      <c r="N264" s="163" t="n">
        <v>-0.006077055372357696</v>
      </c>
      <c r="O264" s="163" t="n">
        <v>0.003562782928189626</v>
      </c>
      <c r="P264" s="163" t="n">
        <v>-0.009561722002975601</v>
      </c>
      <c r="Q264" s="163" t="n">
        <v>-0.0002007584319856826</v>
      </c>
      <c r="R264" s="163" t="n">
        <v>0.002688710376543514</v>
      </c>
      <c r="S264" s="163" t="n">
        <v>-0.01070601660959691</v>
      </c>
      <c r="T264" s="163" t="n">
        <v>0</v>
      </c>
      <c r="U264" s="163" t="n">
        <v>-0.0232908723964279</v>
      </c>
      <c r="V264" s="171">
        <f>C264-U264</f>
        <v/>
      </c>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3">
    <mergeCell ref="A1:W1"/>
    <mergeCell ref="A2:W3"/>
    <mergeCell ref="I12:L12"/>
  </mergeCells>
  <conditionalFormatting sqref="E6:E19">
    <cfRule type="cellIs" priority="1" operator="lessThan" dxfId="0">
      <formula>0.05</formula>
    </cfRule>
  </conditionalFormatting>
  <pageMargins left="0.7" right="0.7" top="0.75" bottom="0.75" header="0.3" footer="0.3"/>
  <drawing xmlns:r="http://schemas.openxmlformats.org/officeDocument/2006/relationships" r:id="rId1"/>
  <tableParts count="3">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6.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32" customWidth="1" min="1" max="1"/>
    <col width="22" customWidth="1" min="2" max="2"/>
    <col width="18" customWidth="1" min="3" max="3"/>
    <col width="18" customWidth="1" min="4" max="4"/>
    <col width="18" customWidth="1" min="5" max="5"/>
    <col width="18" customWidth="1" min="6" max="6"/>
    <col width="18" customWidth="1" min="7" max="7"/>
    <col width="18" customWidth="1" min="8" max="8"/>
    <col width="3"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ht="30" customHeight="1">
      <c r="A1" s="4" t="inlineStr">
        <is>
          <t>Peso explicativo de cada factor: descomposición Shapley del R²</t>
        </is>
      </c>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115" t="inlineStr">
        <is>
          <t>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t>
        </is>
      </c>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ht="22" customHeight="1">
      <c r="A5" s="55" t="inlineStr">
        <is>
          <t>Control de suma Shapley</t>
        </is>
      </c>
      <c r="C5" s="1" t="n"/>
      <c r="D5" s="55" t="inlineStr">
        <is>
          <t>Reconciliación del R²</t>
        </is>
      </c>
      <c r="F5" s="1" t="n"/>
      <c r="G5" s="55" t="inlineStr">
        <is>
          <t>Control de participaciones</t>
        </is>
      </c>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c r="A6" s="67" t="inlineStr">
        <is>
          <t>Suma Shapley</t>
        </is>
      </c>
      <c r="B6" s="172">
        <f>SUM(C11:C22)</f>
        <v/>
      </c>
      <c r="C6" s="1" t="n"/>
      <c r="D6" s="67" t="inlineStr">
        <is>
          <t>R² base + incremental</t>
        </is>
      </c>
      <c r="E6" s="172">
        <f>MAX(F11:F22)+MAX(H11:H22)</f>
        <v/>
      </c>
      <c r="F6" s="1" t="n"/>
      <c r="G6" s="67" t="inlineStr">
        <is>
          <t>Suma peso entre factores</t>
        </is>
      </c>
      <c r="H6" s="172">
        <f>SUM(D11:D22)</f>
        <v/>
      </c>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c r="A7" s="67" t="inlineStr">
        <is>
          <t>R² incremental</t>
        </is>
      </c>
      <c r="B7" s="172">
        <f>MAX(H11:H22)</f>
        <v/>
      </c>
      <c r="C7" s="1" t="n"/>
      <c r="D7" s="67" t="inlineStr">
        <is>
          <t>R² completo</t>
        </is>
      </c>
      <c r="E7" s="172">
        <f>MAX(G11:G22)</f>
        <v/>
      </c>
      <c r="F7" s="1" t="n"/>
      <c r="G7" s="67" t="inlineStr">
        <is>
          <t>Porción del R² total</t>
        </is>
      </c>
      <c r="H7" s="172">
        <f>SUM(E11:E22)</f>
        <v/>
      </c>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c r="A8" s="67" t="inlineStr">
        <is>
          <t>Diferencia</t>
        </is>
      </c>
      <c r="B8" s="172">
        <f>B6-B7</f>
        <v/>
      </c>
      <c r="C8" s="1" t="n"/>
      <c r="D8" s="67" t="inlineStr">
        <is>
          <t>Diferencia</t>
        </is>
      </c>
      <c r="E8" s="172">
        <f>E6-E7</f>
        <v/>
      </c>
      <c r="F8" s="1" t="n"/>
      <c r="G8" s="67" t="inlineStr">
        <is>
          <t>Diferencia frente a 100%</t>
        </is>
      </c>
      <c r="H8" s="172">
        <f>H6-1</f>
        <v/>
      </c>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c r="A9" s="1" t="n"/>
      <c r="B9" s="1" t="n"/>
      <c r="C9" s="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c r="A10" s="62" t="inlineStr">
        <is>
          <t>Factor</t>
        </is>
      </c>
      <c r="B10" s="62" t="inlineStr">
        <is>
          <t>Grupo</t>
        </is>
      </c>
      <c r="C10" s="62" t="inlineStr">
        <is>
          <t>Shapley R²</t>
        </is>
      </c>
      <c r="D10" s="62" t="inlineStr">
        <is>
          <t>Peso entre factores</t>
        </is>
      </c>
      <c r="E10" s="62" t="inlineStr">
        <is>
          <t>Peso del R² total</t>
        </is>
      </c>
      <c r="F10" s="62" t="inlineStr">
        <is>
          <t>R² base</t>
        </is>
      </c>
      <c r="G10" s="62" t="inlineStr">
        <is>
          <t>R² completo</t>
        </is>
      </c>
      <c r="H10" s="62" t="inlineStr">
        <is>
          <t>R² incremental</t>
        </is>
      </c>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ht="30" customHeight="1">
      <c r="A11" s="64" t="inlineStr">
        <is>
          <t>Monedas regionales</t>
        </is>
      </c>
      <c r="B11" s="64" t="inlineStr">
        <is>
          <t>Regional</t>
        </is>
      </c>
      <c r="C11" s="173" t="n">
        <v>0.1613931936946274</v>
      </c>
      <c r="D11" s="173" t="n">
        <v>0.2559460359962988</v>
      </c>
      <c r="E11" s="173" t="n">
        <v>0.2489039016810763</v>
      </c>
      <c r="F11" s="173" t="n">
        <v>0.01784059800756022</v>
      </c>
      <c r="G11" s="173" t="n">
        <v>0.6077231207021747</v>
      </c>
      <c r="H11" s="173" t="n">
        <v>0.5898825226946145</v>
      </c>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ht="30" customHeight="1">
      <c r="A12" s="64" t="inlineStr">
        <is>
          <t>Variables globales nuevas</t>
        </is>
      </c>
      <c r="B12" s="64" t="inlineStr">
        <is>
          <t>Global ampliado</t>
        </is>
      </c>
      <c r="C12" s="173" t="n">
        <v>0.1092907977897646</v>
      </c>
      <c r="D12" s="173" t="n">
        <v>0.1733192449124606</v>
      </c>
      <c r="E12" s="173" t="n">
        <v>0.1685505154522233</v>
      </c>
      <c r="F12" s="173" t="n">
        <v>0.01784059800756022</v>
      </c>
      <c r="G12" s="173" t="n">
        <v>0.6077231207021747</v>
      </c>
      <c r="H12" s="173" t="n">
        <v>0.5898825226946145</v>
      </c>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ht="30" customHeight="1">
      <c r="A13" s="64" t="inlineStr">
        <is>
          <t>Dólar amplio</t>
        </is>
      </c>
      <c r="B13" s="64" t="inlineStr">
        <is>
          <t>Global</t>
        </is>
      </c>
      <c r="C13" s="173" t="n">
        <v>0.1027679695138872</v>
      </c>
      <c r="D13" s="173" t="n">
        <v>0.1629749918341415</v>
      </c>
      <c r="E13" s="173" t="n">
        <v>0.158490875570919</v>
      </c>
      <c r="F13" s="173" t="n">
        <v>0.01784059800756022</v>
      </c>
      <c r="G13" s="173" t="n">
        <v>0.6077231207021747</v>
      </c>
      <c r="H13" s="173" t="n">
        <v>0.5898825226946145</v>
      </c>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ht="30" customHeight="1">
      <c r="A14" s="64" t="inlineStr">
        <is>
          <t>Riesgo soberano EMBIG Colombia</t>
        </is>
      </c>
      <c r="B14" s="64" t="inlineStr">
        <is>
          <t>Riesgo local</t>
        </is>
      </c>
      <c r="C14" s="173" t="n">
        <v>0.0944659688966204</v>
      </c>
      <c r="D14" s="173" t="n">
        <v>0.149809231245447</v>
      </c>
      <c r="E14" s="173" t="n">
        <v>0.1456873595236051</v>
      </c>
      <c r="F14" s="173" t="n">
        <v>0.01784059800756022</v>
      </c>
      <c r="G14" s="173" t="n">
        <v>0.6077231207021747</v>
      </c>
      <c r="H14" s="173" t="n">
        <v>0.5898825226946145</v>
      </c>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ht="30" customHeight="1">
      <c r="A15" s="64" t="inlineStr">
        <is>
          <t>Balanza comercial cambiaria</t>
        </is>
      </c>
      <c r="B15" s="64" t="inlineStr">
        <is>
          <t>Sector externo Colombia</t>
        </is>
      </c>
      <c r="C15" s="173" t="n">
        <v>0.0431324443118901</v>
      </c>
      <c r="D15" s="173" t="n">
        <v>0.06840175779250907</v>
      </c>
      <c r="E15" s="173" t="n">
        <v>0.06651974245323207</v>
      </c>
      <c r="F15" s="173" t="n">
        <v>0.01784059800756022</v>
      </c>
      <c r="G15" s="173" t="n">
        <v>0.6077231207021747</v>
      </c>
      <c r="H15" s="173" t="n">
        <v>0.5898825226946145</v>
      </c>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ht="30" customHeight="1">
      <c r="A16" s="64" t="inlineStr">
        <is>
          <t>VIX</t>
        </is>
      </c>
      <c r="B16" s="64" t="inlineStr">
        <is>
          <t>Global</t>
        </is>
      </c>
      <c r="C16" s="173" t="n">
        <v>0.04229232759946</v>
      </c>
      <c r="D16" s="173" t="n">
        <v>0.06706945537381116</v>
      </c>
      <c r="E16" s="173" t="n">
        <v>0.06522409718589206</v>
      </c>
      <c r="F16" s="173" t="n">
        <v>0.01784059800756022</v>
      </c>
      <c r="G16" s="173" t="n">
        <v>0.6077231207021747</v>
      </c>
      <c r="H16" s="173" t="n">
        <v>0.5898825226946145</v>
      </c>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ht="30" customHeight="1">
      <c r="A17" s="64" t="inlineStr">
        <is>
          <t>Términos de intercambio</t>
        </is>
      </c>
      <c r="B17" s="64" t="inlineStr">
        <is>
          <t>Sector externo Colombia</t>
        </is>
      </c>
      <c r="C17" s="173" t="n">
        <v>0.0292122361881</v>
      </c>
      <c r="D17" s="173" t="n">
        <v>0.04632634055856548</v>
      </c>
      <c r="E17" s="173" t="n">
        <v>0.0450517112747938</v>
      </c>
      <c r="F17" s="173" t="n">
        <v>0.01784059800756022</v>
      </c>
      <c r="G17" s="173" t="n">
        <v>0.6077231207021747</v>
      </c>
      <c r="H17" s="173" t="n">
        <v>0.5898825226946145</v>
      </c>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ht="30" customHeight="1">
      <c r="A18" s="64" t="inlineStr">
        <is>
          <t>Flujos netos de capital</t>
        </is>
      </c>
      <c r="B18" s="64" t="inlineStr">
        <is>
          <t>Sector externo Colombia</t>
        </is>
      </c>
      <c r="C18" s="173" t="n">
        <v>0.0224146023753833</v>
      </c>
      <c r="D18" s="173" t="n">
        <v>0.03554628603029845</v>
      </c>
      <c r="E18" s="173" t="n">
        <v>0.03456826064436786</v>
      </c>
      <c r="F18" s="173" t="n">
        <v>0.01784059800756022</v>
      </c>
      <c r="G18" s="173" t="n">
        <v>0.6077231207021747</v>
      </c>
      <c r="H18" s="173" t="n">
        <v>0.5898825226946145</v>
      </c>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ht="30" customHeight="1">
      <c r="A19" s="64" t="inlineStr">
        <is>
          <t>Reservas internacionales</t>
        </is>
      </c>
      <c r="B19" s="64" t="inlineStr">
        <is>
          <t>Sector externo Colombia</t>
        </is>
      </c>
      <c r="C19" s="173" t="n">
        <v>0.0127691157986612</v>
      </c>
      <c r="D19" s="173" t="n">
        <v>0.02024995290711485</v>
      </c>
      <c r="E19" s="173" t="n">
        <v>0.01969279292730216</v>
      </c>
      <c r="F19" s="173" t="n">
        <v>0.01784059800756022</v>
      </c>
      <c r="G19" s="173" t="n">
        <v>0.6077231207021747</v>
      </c>
      <c r="H19" s="173" t="n">
        <v>0.5898825226946145</v>
      </c>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ht="30" customHeight="1">
      <c r="A20" s="64" t="inlineStr">
        <is>
          <t>Remesas</t>
        </is>
      </c>
      <c r="B20" s="64" t="inlineStr">
        <is>
          <t>Sector externo Colombia</t>
        </is>
      </c>
      <c r="C20" s="173" t="n">
        <v>0.0071655689836146</v>
      </c>
      <c r="D20" s="173" t="n">
        <v>0.01136354597756038</v>
      </c>
      <c r="E20" s="173" t="n">
        <v>0.01105088781600814</v>
      </c>
      <c r="F20" s="173" t="n">
        <v>0.01784059800756022</v>
      </c>
      <c r="G20" s="173" t="n">
        <v>0.6077231207021747</v>
      </c>
      <c r="H20" s="173" t="n">
        <v>0.5898825226946145</v>
      </c>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ht="30" customHeight="1">
      <c r="A21" s="64" t="inlineStr">
        <is>
          <t>Diferencial de compensación inflacionaria 5 años</t>
        </is>
      </c>
      <c r="B21" s="64" t="inlineStr">
        <is>
          <t>Política doméstica</t>
        </is>
      </c>
      <c r="C21" s="173" t="n">
        <v>0.0029858682063955</v>
      </c>
      <c r="D21" s="173" t="n">
        <v>0.004735150931335541</v>
      </c>
      <c r="E21" s="173" t="n">
        <v>0.004604867339595138</v>
      </c>
      <c r="F21" s="173" t="n">
        <v>0.01784059800756022</v>
      </c>
      <c r="G21" s="173" t="n">
        <v>0.6077231207021747</v>
      </c>
      <c r="H21" s="173" t="n">
        <v>0.5898825226946145</v>
      </c>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ht="30" customHeight="1">
      <c r="A22" s="64" t="inlineStr">
        <is>
          <t>Diferencial de tasas</t>
        </is>
      </c>
      <c r="B22" s="64" t="inlineStr">
        <is>
          <t>Política doméstica</t>
        </is>
      </c>
      <c r="C22" s="173" t="n">
        <v>0.001887433064299</v>
      </c>
      <c r="D22" s="173" t="n">
        <v>0.002993193206956023</v>
      </c>
      <c r="E22" s="173" t="n">
        <v>0.002910838078802755</v>
      </c>
      <c r="F22" s="173" t="n">
        <v>0.01784059800756022</v>
      </c>
      <c r="G22" s="173" t="n">
        <v>0.6077231207021747</v>
      </c>
      <c r="H22" s="173" t="n">
        <v>0.5898825226946145</v>
      </c>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c r="A23" s="1" t="inlineStr">
        <is>
          <t>Déficit fiscal</t>
        </is>
      </c>
      <c r="B23" s="1" t="inlineStr">
        <is>
          <t>Política doméstica</t>
        </is>
      </c>
      <c r="C23" s="1" t="n">
        <v>0.0007975597136619</v>
      </c>
      <c r="D23" s="1" t="n">
        <v>0.001264813233502086</v>
      </c>
      <c r="E23" s="1" t="n">
        <v>0.001230012988835974</v>
      </c>
      <c r="F23" s="1" t="n"/>
      <c r="G23" s="1" t="n"/>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ht="36" customHeight="1">
      <c r="A24" s="58" t="inlineStr">
        <is>
          <t>Cómo leer: un peso de 25% indica que ese factor recibe una cuarta parte del R² incremental atribuible al conjunto de factores. Con variables correlacionadas, Shapley divide la explicación compartida al promediar todas las secuencias de inclusión.</t>
        </is>
      </c>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ht="36" customHeight="1">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ht="36" customHeight="1">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6">
    <mergeCell ref="A2:R3"/>
    <mergeCell ref="D5:E5"/>
    <mergeCell ref="A5:B5"/>
    <mergeCell ref="G5:H5"/>
    <mergeCell ref="A24:H26"/>
    <mergeCell ref="A1:R1"/>
  </mergeCells>
  <conditionalFormatting sqref="B8">
    <cfRule type="cellIs" priority="1" operator="between" dxfId="0">
      <formula>-1e-8</formula>
      <formula>1e-8</formula>
    </cfRule>
  </conditionalFormatting>
  <conditionalFormatting sqref="E8">
    <cfRule type="cellIs" priority="2" operator="between" dxfId="0">
      <formula>-1e-8</formula>
      <formula>1e-8</formula>
    </cfRule>
  </conditionalFormatting>
  <conditionalFormatting sqref="H8">
    <cfRule type="cellIs" priority="3" operator="between" dxfId="0">
      <formula>-1e-8</formula>
      <formula>1e-8</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34" customWidth="1" min="1" max="1"/>
    <col width="22" customWidth="1" min="2" max="2"/>
    <col width="16" customWidth="1" min="3" max="3"/>
    <col width="16" customWidth="1" min="4" max="4"/>
    <col width="16" customWidth="1" min="5" max="5"/>
    <col width="16" customWidth="1" min="6" max="6"/>
    <col width="16" customWidth="1" min="7" max="7"/>
    <col width="16" customWidth="1" min="8" max="8"/>
    <col width="34" customWidth="1" min="9" max="9"/>
    <col width="25" customWidth="1" min="10" max="10"/>
    <col width="15" customWidth="1" min="11" max="11"/>
    <col width="15" customWidth="1" min="12" max="12"/>
    <col width="15" customWidth="1" min="13" max="13"/>
    <col width="15" customWidth="1" min="14" max="14"/>
    <col width="28" customWidth="1" min="15" max="15"/>
    <col width="42" customWidth="1" min="16" max="16"/>
  </cols>
  <sheetData>
    <row r="1" ht="30" customHeight="1">
      <c r="A1" s="4" t="inlineStr">
        <is>
          <t>Robustez de los pesos y cobertura de datos en tiempo real</t>
        </is>
      </c>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115" t="inlineStr">
        <is>
          <t>Los intervalos Shapley usan 200 réplicas de bloques circulares de 12 meses. Las submuestras revelan cuánto cambian pesos, rangos y signos. La cobertura de vintages sigue incompleta: el ejercicio de pronóstico continúa siendo pseudo-tiempo-real.</t>
        </is>
      </c>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ht="22" customHeight="1">
      <c r="A5" s="55" t="inlineStr">
        <is>
          <t>Incertidumbre de los pesos Shapley</t>
        </is>
      </c>
      <c r="I5" s="1" t="n"/>
      <c r="J5" s="55" t="inlineStr">
        <is>
          <t>Estabilidad por submuestras</t>
        </is>
      </c>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c r="A6" s="62" t="inlineStr">
        <is>
          <t>Factor</t>
        </is>
      </c>
      <c r="B6" s="62" t="inlineStr">
        <is>
          <t>Peso puntual</t>
        </is>
      </c>
      <c r="C6" s="62" t="inlineStr">
        <is>
          <t>Mediana bootstrap</t>
        </is>
      </c>
      <c r="D6" s="62" t="inlineStr">
        <is>
          <t>IC 95% inferior</t>
        </is>
      </c>
      <c r="E6" s="62" t="inlineStr">
        <is>
          <t>IC 95% superior</t>
        </is>
      </c>
      <c r="F6" s="62" t="inlineStr">
        <is>
          <t>Ancho IC</t>
        </is>
      </c>
      <c r="G6" s="62" t="inlineStr">
        <is>
          <t>Prob. top 3</t>
        </is>
      </c>
      <c r="H6" s="62" t="inlineStr">
        <is>
          <t>Réplicas</t>
        </is>
      </c>
      <c r="I6" s="64" t="n"/>
      <c r="J6" s="62" t="inlineStr">
        <is>
          <t>Submuestra</t>
        </is>
      </c>
      <c r="K6" s="62" t="inlineStr">
        <is>
          <t>Obs.</t>
        </is>
      </c>
      <c r="L6" s="62" t="inlineStr">
        <is>
          <t>R² ajustado</t>
        </is>
      </c>
      <c r="M6" s="62" t="inlineStr">
        <is>
          <t>Spearman rangos</t>
        </is>
      </c>
      <c r="N6" s="62" t="inlineStr">
        <is>
          <t>Mediana |Δ peso|</t>
        </is>
      </c>
      <c r="O6" s="62" t="inlineStr">
        <is>
          <t>Máx. |Δ peso|</t>
        </is>
      </c>
      <c r="P6" s="62" t="inlineStr">
        <is>
          <t>Mismo signo / 12</t>
        </is>
      </c>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ht="31" customHeight="1">
      <c r="A7" s="64" t="inlineStr">
        <is>
          <t>Monedas regionales</t>
        </is>
      </c>
      <c r="B7" s="173" t="n">
        <v>0.2559460359962988</v>
      </c>
      <c r="C7" s="173" t="n">
        <v>0.2388024518175093</v>
      </c>
      <c r="D7" s="173" t="n">
        <v>0.1864350663009039</v>
      </c>
      <c r="E7" s="173" t="n">
        <v>0.3112865323759287</v>
      </c>
      <c r="F7" s="173" t="n">
        <v>0.1248514660750249</v>
      </c>
      <c r="G7" s="173" t="n">
        <v>1</v>
      </c>
      <c r="H7" s="64" t="n">
        <v>200</v>
      </c>
      <c r="I7" s="64" t="n"/>
      <c r="J7" s="64" t="inlineStr">
        <is>
          <t>Muestra completa</t>
        </is>
      </c>
      <c r="K7" s="64" t="n">
        <v>240</v>
      </c>
      <c r="L7" s="173" t="n">
        <v>0.5851585214505299</v>
      </c>
      <c r="M7" s="173" t="n">
        <v>1</v>
      </c>
      <c r="N7" s="173" t="n">
        <v>0</v>
      </c>
      <c r="O7" s="173" t="n">
        <v>0</v>
      </c>
      <c r="P7" s="64" t="n">
        <v>12</v>
      </c>
      <c r="Q7" s="1" t="n"/>
      <c r="R7" s="1" t="n"/>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ht="31" customHeight="1">
      <c r="A8" s="64" t="inlineStr">
        <is>
          <t>Variables globales nuevas</t>
        </is>
      </c>
      <c r="B8" s="173" t="n">
        <v>0.1733192449124606</v>
      </c>
      <c r="C8" s="173" t="n">
        <v>0.1863549921482723</v>
      </c>
      <c r="D8" s="173" t="n">
        <v>0.1310013849702671</v>
      </c>
      <c r="E8" s="173" t="n">
        <v>0.2581806284241</v>
      </c>
      <c r="F8" s="173" t="n">
        <v>0.1271792434538329</v>
      </c>
      <c r="G8" s="173" t="n">
        <v>0.915</v>
      </c>
      <c r="H8" s="64" t="n">
        <v>200</v>
      </c>
      <c r="I8" s="64" t="n"/>
      <c r="J8" s="64" t="inlineStr">
        <is>
          <t>Primera mitad</t>
        </is>
      </c>
      <c r="K8" s="64" t="n">
        <v>120</v>
      </c>
      <c r="L8" s="173" t="n">
        <v>0.5709214883569942</v>
      </c>
      <c r="M8" s="173" t="n">
        <v>0.9790209790209792</v>
      </c>
      <c r="N8" s="173" t="n">
        <v>0.01014154557749378</v>
      </c>
      <c r="O8" s="173" t="n">
        <v>0.04000706373915939</v>
      </c>
      <c r="P8" s="64" t="n">
        <v>11</v>
      </c>
      <c r="Q8" s="1" t="n"/>
      <c r="R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ht="31" customHeight="1">
      <c r="A9" s="64" t="inlineStr">
        <is>
          <t>Dólar amplio</t>
        </is>
      </c>
      <c r="B9" s="173" t="n">
        <v>0.1629749918341415</v>
      </c>
      <c r="C9" s="173" t="n">
        <v>0.1496274089060648</v>
      </c>
      <c r="D9" s="173" t="n">
        <v>0.09564518672499936</v>
      </c>
      <c r="E9" s="173" t="n">
        <v>0.2126875395924918</v>
      </c>
      <c r="F9" s="173" t="n">
        <v>0.1170423528674925</v>
      </c>
      <c r="G9" s="173" t="n">
        <v>0.57</v>
      </c>
      <c r="H9" s="64" t="n">
        <v>200</v>
      </c>
      <c r="I9" s="64" t="n"/>
      <c r="J9" s="64" t="inlineStr">
        <is>
          <t>Segunda mitad</t>
        </is>
      </c>
      <c r="K9" s="64" t="n">
        <v>120</v>
      </c>
      <c r="L9" s="173" t="n">
        <v>0.6067676133422316</v>
      </c>
      <c r="M9" s="173" t="n">
        <v>0.9580419580419581</v>
      </c>
      <c r="N9" s="173" t="n">
        <v>0.01232024819712679</v>
      </c>
      <c r="O9" s="173" t="n">
        <v>0.05540757325121071</v>
      </c>
      <c r="P9" s="64" t="n">
        <v>10</v>
      </c>
      <c r="Q9" s="1" t="n"/>
      <c r="R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ht="31" customHeight="1">
      <c r="A10" s="64" t="inlineStr">
        <is>
          <t>Riesgo soberano EMBIG Colombia</t>
        </is>
      </c>
      <c r="B10" s="173" t="n">
        <v>0.149809231245447</v>
      </c>
      <c r="C10" s="173" t="n">
        <v>0.1496847313486847</v>
      </c>
      <c r="D10" s="173" t="n">
        <v>0.08839937311461987</v>
      </c>
      <c r="E10" s="173" t="n">
        <v>0.2416165896348805</v>
      </c>
      <c r="F10" s="173" t="n">
        <v>0.1532172165202606</v>
      </c>
      <c r="G10" s="173" t="n">
        <v>0.51</v>
      </c>
      <c r="H10" s="64" t="n">
        <v>200</v>
      </c>
      <c r="I10" s="64" t="n"/>
      <c r="J10" s="64" t="inlineStr">
        <is>
          <t>Prepandemia</t>
        </is>
      </c>
      <c r="K10" s="64" t="n">
        <v>164</v>
      </c>
      <c r="L10" s="173" t="n">
        <v>0.5849484323810714</v>
      </c>
      <c r="M10" s="173" t="n">
        <v>0.9580419580419581</v>
      </c>
      <c r="N10" s="173" t="n">
        <v>0.007151881200432797</v>
      </c>
      <c r="O10" s="173" t="n">
        <v>0.03706393508579545</v>
      </c>
      <c r="P10" s="64" t="n">
        <v>11</v>
      </c>
      <c r="Q10" s="1" t="n"/>
      <c r="R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ht="31" customHeight="1">
      <c r="A11" s="64" t="inlineStr">
        <is>
          <t>Balanza comercial cambiaria</t>
        </is>
      </c>
      <c r="B11" s="173" t="n">
        <v>0.06840175779250907</v>
      </c>
      <c r="C11" s="173" t="n">
        <v>0.06472552290444673</v>
      </c>
      <c r="D11" s="173" t="n">
        <v>0.03585121996436641</v>
      </c>
      <c r="E11" s="173" t="n">
        <v>0.1122758677658137</v>
      </c>
      <c r="F11" s="173" t="n">
        <v>0.07642464780144734</v>
      </c>
      <c r="G11" s="173" t="n">
        <v>0</v>
      </c>
      <c r="H11" s="64" t="n">
        <v>200</v>
      </c>
      <c r="I11" s="64" t="n"/>
      <c r="J11" s="64" t="inlineStr">
        <is>
          <t>2020 en adelante</t>
        </is>
      </c>
      <c r="K11" s="64" t="n">
        <v>76</v>
      </c>
      <c r="L11" s="173" t="n">
        <v>0.6048959924341468</v>
      </c>
      <c r="M11" s="173" t="n">
        <v>0.9090909090909092</v>
      </c>
      <c r="N11" s="173" t="n">
        <v>0.01972865295942052</v>
      </c>
      <c r="O11" s="173" t="n">
        <v>0.06603782514321711</v>
      </c>
      <c r="P11" s="64" t="n">
        <v>9</v>
      </c>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ht="28" customHeight="1">
      <c r="A12" s="64" t="inlineStr">
        <is>
          <t>VIX</t>
        </is>
      </c>
      <c r="B12" s="173" t="n">
        <v>0.06706945537381116</v>
      </c>
      <c r="C12" s="173" t="n">
        <v>0.06231922416801318</v>
      </c>
      <c r="D12" s="173" t="n">
        <v>0.02848298183945989</v>
      </c>
      <c r="E12" s="173" t="n">
        <v>0.1127237520236635</v>
      </c>
      <c r="F12" s="173" t="n">
        <v>0.08424077018420359</v>
      </c>
      <c r="G12" s="173" t="n">
        <v>0.005</v>
      </c>
      <c r="H12" s="64" t="n">
        <v>200</v>
      </c>
      <c r="I12" s="64" t="n"/>
      <c r="J12" s="64" t="n"/>
      <c r="K12" s="64" t="n"/>
      <c r="L12" s="64" t="n"/>
      <c r="M12" s="64" t="n"/>
      <c r="N12" s="64" t="n"/>
      <c r="O12" s="64" t="n"/>
      <c r="P12" s="64"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ht="28" customHeight="1">
      <c r="A13" s="64" t="inlineStr">
        <is>
          <t>Términos de intercambio</t>
        </is>
      </c>
      <c r="B13" s="173" t="n">
        <v>0.04632634055856548</v>
      </c>
      <c r="C13" s="173" t="n">
        <v>0.04223916705101857</v>
      </c>
      <c r="D13" s="173" t="n">
        <v>0.01912664468183699</v>
      </c>
      <c r="E13" s="173" t="n">
        <v>0.07974947724265691</v>
      </c>
      <c r="F13" s="173" t="n">
        <v>0.06062283256081992</v>
      </c>
      <c r="G13" s="173" t="n">
        <v>0</v>
      </c>
      <c r="H13" s="64" t="n">
        <v>200</v>
      </c>
      <c r="I13" s="64" t="n"/>
      <c r="J13" s="64" t="n"/>
      <c r="K13" s="64" t="n"/>
      <c r="L13" s="64" t="n"/>
      <c r="M13" s="64" t="n"/>
      <c r="N13" s="64" t="n"/>
      <c r="O13" s="64" t="n"/>
      <c r="P13" s="64"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ht="28" customHeight="1">
      <c r="A14" s="64" t="inlineStr">
        <is>
          <t>Flujos netos de capital</t>
        </is>
      </c>
      <c r="B14" s="173" t="n">
        <v>0.03554628603029845</v>
      </c>
      <c r="C14" s="173" t="n">
        <v>0.03388035444563112</v>
      </c>
      <c r="D14" s="173" t="n">
        <v>0.01427338036965491</v>
      </c>
      <c r="E14" s="173" t="n">
        <v>0.0673194449405282</v>
      </c>
      <c r="F14" s="173" t="n">
        <v>0.0530460645708733</v>
      </c>
      <c r="G14" s="173" t="n">
        <v>0</v>
      </c>
      <c r="H14" s="64" t="n">
        <v>200</v>
      </c>
      <c r="I14" s="64" t="n"/>
      <c r="J14" s="64" t="n"/>
      <c r="K14" s="64" t="n"/>
      <c r="L14" s="64" t="n"/>
      <c r="M14" s="64" t="n"/>
      <c r="N14" s="64" t="n"/>
      <c r="O14" s="64" t="n"/>
      <c r="P14" s="64"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ht="28" customHeight="1">
      <c r="A15" s="64" t="inlineStr">
        <is>
          <t>Reservas internacionales</t>
        </is>
      </c>
      <c r="B15" s="173" t="n">
        <v>0.02024995290711485</v>
      </c>
      <c r="C15" s="173" t="n">
        <v>0.017647318942508</v>
      </c>
      <c r="D15" s="173" t="n">
        <v>0.003655206098829325</v>
      </c>
      <c r="E15" s="173" t="n">
        <v>0.05236696327217227</v>
      </c>
      <c r="F15" s="173" t="n">
        <v>0.04871175717334295</v>
      </c>
      <c r="G15" s="173" t="n">
        <v>0</v>
      </c>
      <c r="H15" s="64" t="n">
        <v>200</v>
      </c>
      <c r="I15" s="64" t="n"/>
      <c r="J15" s="64" t="n"/>
      <c r="K15" s="64" t="n"/>
      <c r="L15" s="64" t="n"/>
      <c r="M15" s="64" t="n"/>
      <c r="N15" s="64" t="n"/>
      <c r="O15" s="64" t="n"/>
      <c r="P15" s="64" t="n"/>
      <c r="Q15" s="1" t="n"/>
      <c r="R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ht="28" customHeight="1">
      <c r="A16" s="64" t="inlineStr">
        <is>
          <t>Remesas</t>
        </is>
      </c>
      <c r="B16" s="173" t="n">
        <v>0.01136354597756038</v>
      </c>
      <c r="C16" s="173" t="n">
        <v>0.01035121844225197</v>
      </c>
      <c r="D16" s="173" t="n">
        <v>0.001659784493633823</v>
      </c>
      <c r="E16" s="173" t="n">
        <v>0.02978359437906491</v>
      </c>
      <c r="F16" s="173" t="n">
        <v>0.02812380988543108</v>
      </c>
      <c r="G16" s="173" t="n">
        <v>0</v>
      </c>
      <c r="H16" s="64" t="n">
        <v>200</v>
      </c>
      <c r="I16" s="64" t="n"/>
      <c r="J16" s="64" t="n"/>
      <c r="K16" s="64" t="n"/>
      <c r="L16" s="64" t="n"/>
      <c r="M16" s="64" t="n"/>
      <c r="N16" s="64" t="n"/>
      <c r="O16" s="64" t="n"/>
      <c r="P16" s="64"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ht="28" customHeight="1">
      <c r="A17" s="64" t="inlineStr">
        <is>
          <t>Diferencial de compensación inflacionaria 5 años</t>
        </is>
      </c>
      <c r="B17" s="173" t="n">
        <v>0.004735150931335541</v>
      </c>
      <c r="C17" s="173" t="n">
        <v>0.006072820384600101</v>
      </c>
      <c r="D17" s="173" t="n">
        <v>0.0005754399008840319</v>
      </c>
      <c r="E17" s="173" t="n">
        <v>0.02245915271222503</v>
      </c>
      <c r="F17" s="173" t="n">
        <v>0.021883712811341</v>
      </c>
      <c r="G17" s="173" t="n">
        <v>0</v>
      </c>
      <c r="H17" s="64" t="n">
        <v>200</v>
      </c>
      <c r="I17" s="64" t="n"/>
      <c r="J17" s="64" t="n"/>
      <c r="K17" s="64" t="n"/>
      <c r="L17" s="64" t="n"/>
      <c r="M17" s="64" t="n"/>
      <c r="N17" s="64" t="n"/>
      <c r="O17" s="64" t="n"/>
      <c r="P17" s="64" t="n"/>
      <c r="Q17" s="1" t="n"/>
      <c r="R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ht="28" customHeight="1">
      <c r="A18" s="64" t="inlineStr">
        <is>
          <t>Diferencial de tasas</t>
        </is>
      </c>
      <c r="B18" s="173" t="n">
        <v>0.002993193206956023</v>
      </c>
      <c r="C18" s="173" t="n">
        <v>0.005070417357881159</v>
      </c>
      <c r="D18" s="173" t="n">
        <v>0.000924506686072584</v>
      </c>
      <c r="E18" s="173" t="n">
        <v>0.02474605926093268</v>
      </c>
      <c r="F18" s="173" t="n">
        <v>0.02382155257486009</v>
      </c>
      <c r="G18" s="173" t="n">
        <v>0</v>
      </c>
      <c r="H18" s="64" t="n">
        <v>200</v>
      </c>
      <c r="I18" s="64" t="n"/>
      <c r="J18" s="64" t="n"/>
      <c r="K18" s="64" t="n"/>
      <c r="L18" s="64" t="n"/>
      <c r="M18" s="64" t="n"/>
      <c r="N18" s="64" t="n"/>
      <c r="O18" s="64" t="n"/>
      <c r="P18" s="64" t="n"/>
      <c r="Q18" s="1" t="n"/>
      <c r="R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c r="A19" s="64" t="inlineStr">
        <is>
          <t>Déficit fiscal</t>
        </is>
      </c>
      <c r="B19" s="64" t="n">
        <v>0.001264813233502086</v>
      </c>
      <c r="C19" s="64" t="n">
        <v>0.002778396210610228</v>
      </c>
      <c r="D19" s="64" t="n">
        <v>0.000378417860503888</v>
      </c>
      <c r="E19" s="64" t="n">
        <v>0.01447380734226382</v>
      </c>
      <c r="F19" s="64" t="n">
        <v>0.01409538948175993</v>
      </c>
      <c r="G19" s="64" t="n">
        <v>0</v>
      </c>
      <c r="H19" s="64" t="n">
        <v>200</v>
      </c>
      <c r="I19" s="64" t="n"/>
      <c r="J19" s="64" t="n"/>
      <c r="K19" s="64" t="n"/>
      <c r="L19" s="64" t="n"/>
      <c r="M19" s="64" t="n"/>
      <c r="N19" s="64" t="n"/>
      <c r="O19" s="64" t="n"/>
      <c r="P19" s="64" t="n"/>
      <c r="Q19" s="1" t="n"/>
      <c r="R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c r="A20" s="64" t="n"/>
      <c r="B20" s="64" t="n"/>
      <c r="C20" s="64" t="n"/>
      <c r="D20" s="64" t="n"/>
      <c r="E20" s="64" t="n"/>
      <c r="F20" s="64" t="n"/>
      <c r="G20" s="64" t="n"/>
      <c r="H20" s="64" t="n"/>
      <c r="I20" s="64" t="n"/>
      <c r="J20" s="64" t="n"/>
      <c r="K20" s="64" t="n"/>
      <c r="L20" s="64" t="n"/>
      <c r="M20" s="64" t="n"/>
      <c r="N20" s="64" t="n"/>
      <c r="O20" s="64" t="n"/>
      <c r="P20" s="64" t="n"/>
      <c r="Q20" s="1" t="n"/>
      <c r="R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ht="22" customHeight="1">
      <c r="A21" s="111" t="inlineStr">
        <is>
          <t>Peso de cada factor por submuestra</t>
        </is>
      </c>
      <c r="H21" s="64" t="n"/>
      <c r="I21" s="111" t="inlineStr">
        <is>
          <t>Cobertura de vintages en los 48 orígenes</t>
        </is>
      </c>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c r="A22" s="62" t="inlineStr">
        <is>
          <t>Factor</t>
        </is>
      </c>
      <c r="B22" s="62" t="inlineStr">
        <is>
          <t>Grupo</t>
        </is>
      </c>
      <c r="C22" s="62" t="inlineStr">
        <is>
          <t>Muestra completa</t>
        </is>
      </c>
      <c r="D22" s="62" t="inlineStr">
        <is>
          <t>Primera mitad</t>
        </is>
      </c>
      <c r="E22" s="62" t="inlineStr">
        <is>
          <t>Segunda mitad</t>
        </is>
      </c>
      <c r="F22" s="62" t="inlineStr">
        <is>
          <t>Prepandemia</t>
        </is>
      </c>
      <c r="G22" s="62" t="inlineStr">
        <is>
          <t>2020 en adelante</t>
        </is>
      </c>
      <c r="H22" s="64" t="n"/>
      <c r="I22" s="62" t="inlineStr">
        <is>
          <t>Factor</t>
        </is>
      </c>
      <c r="J22" s="62" t="inlineStr">
        <is>
          <t>Estado</t>
        </is>
      </c>
      <c r="K22" s="62" t="inlineStr">
        <is>
          <t>Orígenes</t>
        </is>
      </c>
      <c r="L22" s="62" t="inlineStr">
        <is>
          <t>Cobertura</t>
        </is>
      </c>
      <c r="M22" s="62" t="inlineStr">
        <is>
          <t>Apto</t>
        </is>
      </c>
      <c r="N22" s="62" t="inlineStr">
        <is>
          <t>Archivo desde</t>
        </is>
      </c>
      <c r="O22" s="62" t="inlineStr">
        <is>
          <t>Fuentes</t>
        </is>
      </c>
      <c r="P22" s="62" t="inlineStr">
        <is>
          <t>Detalle</t>
        </is>
      </c>
      <c r="Q22" s="1"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ht="42" customHeight="1">
      <c r="A23" s="64" t="inlineStr">
        <is>
          <t>Monedas regionales</t>
        </is>
      </c>
      <c r="B23" s="64" t="inlineStr">
        <is>
          <t>Regional</t>
        </is>
      </c>
      <c r="C23" s="173" t="n">
        <v>0.3012839103961161</v>
      </c>
      <c r="D23" s="173" t="n">
        <v>0.2612768466569567</v>
      </c>
      <c r="E23" s="173" t="n">
        <v>0.3312098645133827</v>
      </c>
      <c r="F23" s="173" t="n">
        <v>0.2642199753103207</v>
      </c>
      <c r="G23" s="173" t="n">
        <v>0.3370658508458393</v>
      </c>
      <c r="H23" s="64" t="n"/>
      <c r="I23" s="64" t="inlineStr">
        <is>
          <t>Términos de intercambio</t>
        </is>
      </c>
      <c r="J23" s="114" t="inlineStr">
        <is>
          <t>No disponible</t>
        </is>
      </c>
      <c r="K23" s="114" t="n">
        <v>0</v>
      </c>
      <c r="L23" s="174" t="n">
        <v>0</v>
      </c>
      <c r="M23" s="114" t="inlineStr">
        <is>
          <t>No</t>
        </is>
      </c>
      <c r="N23" s="64" t="inlineStr">
        <is>
          <t>2026-08-23</t>
        </is>
      </c>
      <c r="O23" s="64" t="inlineStr">
        <is>
          <t>BanRep 15360</t>
        </is>
      </c>
      <c r="P23" s="64" t="inlineStr">
        <is>
          <t>Archivo hacia adelante</t>
        </is>
      </c>
      <c r="Q23" s="1"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ht="42" customHeight="1">
      <c r="A24" s="64" t="inlineStr">
        <is>
          <t>Dólar amplio</t>
        </is>
      </c>
      <c r="B24" s="64" t="inlineStr">
        <is>
          <t>Global</t>
        </is>
      </c>
      <c r="C24" s="173" t="n">
        <v>0.2013451631020432</v>
      </c>
      <c r="D24" s="173" t="n">
        <v>0.2262574619162446</v>
      </c>
      <c r="E24" s="173" t="n">
        <v>0.1459375898508325</v>
      </c>
      <c r="F24" s="173" t="n">
        <v>0.2136942819438331</v>
      </c>
      <c r="G24" s="173" t="n">
        <v>0.1353073379588261</v>
      </c>
      <c r="H24" s="64" t="n"/>
      <c r="I24" s="64" t="inlineStr">
        <is>
          <t>Remesas</t>
        </is>
      </c>
      <c r="J24" s="114" t="inlineStr">
        <is>
          <t>No disponible</t>
        </is>
      </c>
      <c r="K24" s="114" t="n">
        <v>0</v>
      </c>
      <c r="L24" s="174" t="n">
        <v>0</v>
      </c>
      <c r="M24" s="114" t="inlineStr">
        <is>
          <t>No</t>
        </is>
      </c>
      <c r="N24" s="64" t="inlineStr">
        <is>
          <t>2026-08-23</t>
        </is>
      </c>
      <c r="O24" s="64" t="inlineStr">
        <is>
          <t>BanRep 15363</t>
        </is>
      </c>
      <c r="P24" s="64" t="inlineStr">
        <is>
          <t>Archivo hacia adelante</t>
        </is>
      </c>
      <c r="Q24" s="1"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ht="42" customHeight="1">
      <c r="A25" s="64" t="inlineStr">
        <is>
          <t>Riesgo soberano EMBIG Colombia</t>
        </is>
      </c>
      <c r="B25" s="64" t="inlineStr">
        <is>
          <t>Riesgo local</t>
        </is>
      </c>
      <c r="C25" s="173" t="n">
        <v>0.1822212057333966</v>
      </c>
      <c r="D25" s="173" t="n">
        <v>0.1459022374369704</v>
      </c>
      <c r="E25" s="173" t="n">
        <v>0.2371841548014885</v>
      </c>
      <c r="F25" s="173" t="n">
        <v>0.1543566330620005</v>
      </c>
      <c r="G25" s="173" t="n">
        <v>0.2345324312404458</v>
      </c>
      <c r="H25" s="64" t="n"/>
      <c r="I25" s="64" t="inlineStr">
        <is>
          <t>Diferencial de tasas</t>
        </is>
      </c>
      <c r="J25" s="114" t="inlineStr">
        <is>
          <t>Pendiente del proveedor</t>
        </is>
      </c>
      <c r="K25" s="114" t="n">
        <v>0</v>
      </c>
      <c r="L25" s="174" t="n">
        <v>0</v>
      </c>
      <c r="M25" s="114" t="inlineStr">
        <is>
          <t>No</t>
        </is>
      </c>
      <c r="N25" s="64" t="inlineStr">
        <is>
          <t>2026-08-23</t>
        </is>
      </c>
      <c r="O25" s="64" t="inlineStr">
        <is>
          <t>BanRep 59 + ALFRED FEDFUNDS</t>
        </is>
      </c>
      <c r="P25" s="64" t="inlineStr">
        <is>
          <t>La ruta ALFRED está implementada, pero el servidor cortó la descarga histórica</t>
        </is>
      </c>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ht="42" customHeight="1">
      <c r="A26" s="64" t="inlineStr">
        <is>
          <t>VIX</t>
        </is>
      </c>
      <c r="B26" s="64" t="inlineStr">
        <is>
          <t>Global</t>
        </is>
      </c>
      <c r="C26" s="173" t="n">
        <v>0.08315250016798084</v>
      </c>
      <c r="D26" s="173" t="n">
        <v>0.09409287251381196</v>
      </c>
      <c r="E26" s="173" t="n">
        <v>0.06756532690696621</v>
      </c>
      <c r="F26" s="173" t="n">
        <v>0.07734428842997838</v>
      </c>
      <c r="G26" s="173" t="n">
        <v>0.08166823052691732</v>
      </c>
      <c r="H26" s="64" t="n"/>
      <c r="I26" s="64" t="inlineStr">
        <is>
          <t>Déficit fiscal</t>
        </is>
      </c>
      <c r="J26" s="114" t="inlineStr">
        <is>
          <t>Catalogado, archivo pendiente</t>
        </is>
      </c>
      <c r="K26" s="114" t="n">
        <v>0</v>
      </c>
      <c r="L26" s="174" t="n">
        <v>0</v>
      </c>
      <c r="M26" s="114" t="inlineStr">
        <is>
          <t>No</t>
        </is>
      </c>
      <c r="N26" s="64" t="inlineStr">
        <is>
          <t>2026-08-23</t>
        </is>
      </c>
      <c r="O26" s="64" t="inlineStr">
        <is>
          <t>MinHacienda</t>
        </is>
      </c>
      <c r="P26" s="64" t="inlineStr">
        <is>
          <t>Historial oficial identificado desde 2025-10-17; el portal bloqueó la descarga automatizada</t>
        </is>
      </c>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ht="42" customHeight="1">
      <c r="A27" s="64" t="inlineStr">
        <is>
          <t>Balanza comercial cambiaria</t>
        </is>
      </c>
      <c r="B27" s="64" t="inlineStr">
        <is>
          <t>Sector externo Colombia</t>
        </is>
      </c>
      <c r="C27" s="173" t="n">
        <v>0.07372873294533112</v>
      </c>
      <c r="D27" s="173" t="n">
        <v>0.06881212960770973</v>
      </c>
      <c r="E27" s="173" t="n">
        <v>0.06091557859813225</v>
      </c>
      <c r="F27" s="173" t="n">
        <v>0.07535545855800632</v>
      </c>
      <c r="G27" s="173" t="n">
        <v>0.04964305157038671</v>
      </c>
      <c r="H27" s="64" t="n"/>
      <c r="I27" s="64" t="inlineStr">
        <is>
          <t>Dólar amplio</t>
        </is>
      </c>
      <c r="J27" s="114" t="inlineStr">
        <is>
          <t>Pendiente del proveedor</t>
        </is>
      </c>
      <c r="K27" s="114" t="n">
        <v>0</v>
      </c>
      <c r="L27" s="174" t="n">
        <v>0</v>
      </c>
      <c r="M27" s="114" t="inlineStr">
        <is>
          <t>No</t>
        </is>
      </c>
      <c r="N27" s="64" t="inlineStr">
        <is>
          <t>2026-08-23</t>
        </is>
      </c>
      <c r="O27" s="64" t="inlineStr">
        <is>
          <t>ALFRED DTWEXBGS</t>
        </is>
      </c>
      <c r="P27" s="64" t="inlineStr">
        <is>
          <t>La ruta ALFRED está implementada, pero el servidor cortó la descarga histórica</t>
        </is>
      </c>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ht="42" customHeight="1">
      <c r="A28" s="64" t="inlineStr">
        <is>
          <t>Términos de intercambio</t>
        </is>
      </c>
      <c r="B28" s="64" t="inlineStr">
        <is>
          <t>Sector externo Colombia</t>
        </is>
      </c>
      <c r="C28" s="173" t="n">
        <v>0.06725235636697502</v>
      </c>
      <c r="D28" s="173" t="n">
        <v>0.0751534755620244</v>
      </c>
      <c r="E28" s="173" t="n">
        <v>0.06091001678620235</v>
      </c>
      <c r="F28" s="173" t="n">
        <v>0.08094755345184763</v>
      </c>
      <c r="G28" s="173" t="n">
        <v>0.04998393812412646</v>
      </c>
      <c r="H28" s="64" t="n"/>
      <c r="I28" s="64" t="inlineStr">
        <is>
          <t>VIX</t>
        </is>
      </c>
      <c r="J28" s="114" t="inlineStr">
        <is>
          <t>Pendiente del proveedor</t>
        </is>
      </c>
      <c r="K28" s="114" t="n">
        <v>0</v>
      </c>
      <c r="L28" s="174" t="n">
        <v>0</v>
      </c>
      <c r="M28" s="114" t="inlineStr">
        <is>
          <t>No</t>
        </is>
      </c>
      <c r="N28" s="64" t="inlineStr">
        <is>
          <t>2026-08-23</t>
        </is>
      </c>
      <c r="O28" s="64" t="inlineStr">
        <is>
          <t>ALFRED VIXCLS</t>
        </is>
      </c>
      <c r="P28" s="64" t="inlineStr">
        <is>
          <t>La ruta ALFRED está implementada, pero el servidor cortó la descarga histórica</t>
        </is>
      </c>
      <c r="Q28" s="1"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ht="42" customHeight="1">
      <c r="A29" s="64" t="inlineStr">
        <is>
          <t>Flujos netos de capital</t>
        </is>
      </c>
      <c r="B29" s="64" t="inlineStr">
        <is>
          <t>Sector externo Colombia</t>
        </is>
      </c>
      <c r="C29" s="173" t="n">
        <v>0.04221239299043134</v>
      </c>
      <c r="D29" s="173" t="n">
        <v>0.05979517181462512</v>
      </c>
      <c r="E29" s="173" t="n">
        <v>0.03135532212515547</v>
      </c>
      <c r="F29" s="173" t="n">
        <v>0.07673765225274637</v>
      </c>
      <c r="G29" s="173" t="n">
        <v>0.02045602034347802</v>
      </c>
      <c r="H29" s="64" t="n"/>
      <c r="I29" s="64" t="inlineStr">
        <is>
          <t>Riesgo soberano EMBIG Colombia</t>
        </is>
      </c>
      <c r="J29" s="114" t="inlineStr">
        <is>
          <t>No disponible</t>
        </is>
      </c>
      <c r="K29" s="114" t="n">
        <v>0</v>
      </c>
      <c r="L29" s="174" t="n">
        <v>0</v>
      </c>
      <c r="M29" s="114" t="inlineStr">
        <is>
          <t>No</t>
        </is>
      </c>
      <c r="N29" s="64" t="inlineStr">
        <is>
          <t>2026-08-23</t>
        </is>
      </c>
      <c r="O29" s="64" t="inlineStr">
        <is>
          <t>BCRPData PD04715XD</t>
        </is>
      </c>
      <c r="P29" s="64" t="inlineStr">
        <is>
          <t>Archivo hacia adelante</t>
        </is>
      </c>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ht="42" customHeight="1">
      <c r="A30" s="64" t="inlineStr">
        <is>
          <t>Reservas internacionales</t>
        </is>
      </c>
      <c r="B30" s="64" t="inlineStr">
        <is>
          <t>Sector externo Colombia</t>
        </is>
      </c>
      <c r="C30" s="173" t="n">
        <v>0.02580470476483666</v>
      </c>
      <c r="D30" s="173" t="n">
        <v>0.03514742357399309</v>
      </c>
      <c r="E30" s="173" t="n">
        <v>0.01472481295830359</v>
      </c>
      <c r="F30" s="173" t="n">
        <v>0.02953404773683761</v>
      </c>
      <c r="G30" s="173" t="n">
        <v>0.01867154806725242</v>
      </c>
      <c r="H30" s="64" t="n"/>
      <c r="I30" s="64" t="inlineStr">
        <is>
          <t>Reservas internacionales</t>
        </is>
      </c>
      <c r="J30" s="114" t="inlineStr">
        <is>
          <t>No disponible</t>
        </is>
      </c>
      <c r="K30" s="114" t="n">
        <v>0</v>
      </c>
      <c r="L30" s="174" t="n">
        <v>0</v>
      </c>
      <c r="M30" s="114" t="inlineStr">
        <is>
          <t>No</t>
        </is>
      </c>
      <c r="N30" s="64" t="inlineStr">
        <is>
          <t>2026-08-23</t>
        </is>
      </c>
      <c r="O30" s="64" t="inlineStr">
        <is>
          <t>BanRep 15053</t>
        </is>
      </c>
      <c r="P30" s="64" t="inlineStr">
        <is>
          <t>Archivo hacia adelante</t>
        </is>
      </c>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ht="42" customHeight="1">
      <c r="A31" s="64" t="inlineStr">
        <is>
          <t>Remesas</t>
        </is>
      </c>
      <c r="B31" s="64" t="inlineStr">
        <is>
          <t>Sector externo Colombia</t>
        </is>
      </c>
      <c r="C31" s="173" t="n">
        <v>0.01154238189969887</v>
      </c>
      <c r="D31" s="173" t="n">
        <v>0.00637693035624529</v>
      </c>
      <c r="E31" s="173" t="n">
        <v>0.02433804536209204</v>
      </c>
      <c r="F31" s="173" t="n">
        <v>0.005913844039757703</v>
      </c>
      <c r="G31" s="173" t="n">
        <v>0.0366262649789519</v>
      </c>
      <c r="H31" s="64" t="n"/>
      <c r="I31" s="64" t="inlineStr">
        <is>
          <t>Balanza comercial cambiaria</t>
        </is>
      </c>
      <c r="J31" s="114" t="inlineStr">
        <is>
          <t>No disponible</t>
        </is>
      </c>
      <c r="K31" s="114" t="n">
        <v>0</v>
      </c>
      <c r="L31" s="174" t="n">
        <v>0</v>
      </c>
      <c r="M31" s="114" t="inlineStr">
        <is>
          <t>No</t>
        </is>
      </c>
      <c r="N31" s="64" t="inlineStr">
        <is>
          <t>2026-08-23</t>
        </is>
      </c>
      <c r="O31" s="64" t="inlineStr">
        <is>
          <t>BanRep 16702</t>
        </is>
      </c>
      <c r="P31" s="64" t="inlineStr">
        <is>
          <t>Archivo hacia adelante</t>
        </is>
      </c>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ht="42" customHeight="1">
      <c r="A32" s="64" t="inlineStr">
        <is>
          <t>Diferencial de compensación inflacionaria 5 años</t>
        </is>
      </c>
      <c r="B32" s="64" t="inlineStr">
        <is>
          <t>Política doméstica</t>
        </is>
      </c>
      <c r="C32" s="173" t="n">
        <v>0.005859675215749599</v>
      </c>
      <c r="D32" s="173" t="n">
        <v>0.01961242065288946</v>
      </c>
      <c r="E32" s="173" t="n">
        <v>0.005364653658776682</v>
      </c>
      <c r="F32" s="173" t="n">
        <v>0.01435522587861274</v>
      </c>
      <c r="G32" s="173" t="n">
        <v>0.006967811952281045</v>
      </c>
      <c r="H32" s="64" t="n"/>
      <c r="I32" s="64" t="inlineStr">
        <is>
          <t>Flujos netos de capital</t>
        </is>
      </c>
      <c r="J32" s="114" t="inlineStr">
        <is>
          <t>No disponible</t>
        </is>
      </c>
      <c r="K32" s="114" t="n">
        <v>0</v>
      </c>
      <c r="L32" s="174" t="n">
        <v>0</v>
      </c>
      <c r="M32" s="114" t="inlineStr">
        <is>
          <t>No</t>
        </is>
      </c>
      <c r="N32" s="64" t="inlineStr">
        <is>
          <t>2026-08-23</t>
        </is>
      </c>
      <c r="O32" s="64" t="inlineStr">
        <is>
          <t>BanRep 16706</t>
        </is>
      </c>
      <c r="P32" s="64" t="inlineStr">
        <is>
          <t>Archivo hacia adelante</t>
        </is>
      </c>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ht="42" customHeight="1">
      <c r="A33" s="64" t="inlineStr">
        <is>
          <t>Diferencial de tasas</t>
        </is>
      </c>
      <c r="B33" s="64" t="inlineStr">
        <is>
          <t>Política doméstica</t>
        </is>
      </c>
      <c r="C33" s="173" t="n">
        <v>0.004327306475771835</v>
      </c>
      <c r="D33" s="173" t="n">
        <v>0.003685743249432584</v>
      </c>
      <c r="E33" s="173" t="n">
        <v>0.007380131565139889</v>
      </c>
      <c r="F33" s="173" t="n">
        <v>0.003973570558416534</v>
      </c>
      <c r="G33" s="173" t="n">
        <v>0.01010691117794019</v>
      </c>
      <c r="H33" s="64" t="n"/>
      <c r="I33" s="64" t="inlineStr">
        <is>
          <t>Diferencial de compensación inflacionaria 5 años</t>
        </is>
      </c>
      <c r="J33" s="114" t="inlineStr">
        <is>
          <t>No disponible</t>
        </is>
      </c>
      <c r="K33" s="114" t="n">
        <v>0</v>
      </c>
      <c r="L33" s="174" t="n">
        <v>0</v>
      </c>
      <c r="M33" s="114" t="inlineStr">
        <is>
          <t>No</t>
        </is>
      </c>
      <c r="N33" s="64" t="inlineStr">
        <is>
          <t>2026-08-23</t>
        </is>
      </c>
      <c r="O33" s="64" t="inlineStr">
        <is>
          <t>BanRep 15273/15276 + Fed GSW BKEVEN05</t>
        </is>
      </c>
      <c r="P33" s="64" t="inlineStr">
        <is>
          <t>Sin vintage completo de ambos componentes</t>
        </is>
      </c>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ht="42" customHeight="1">
      <c r="A34" s="64" t="inlineStr">
        <is>
          <t>Déficit fiscal</t>
        </is>
      </c>
      <c r="B34" s="64" t="inlineStr">
        <is>
          <t>Política doméstica</t>
        </is>
      </c>
      <c r="C34" s="173" t="n">
        <v>0.001269669941667667</v>
      </c>
      <c r="D34" s="173" t="n">
        <v>0.003887286659096418</v>
      </c>
      <c r="E34" s="173" t="n">
        <v>0.01311450287352808</v>
      </c>
      <c r="F34" s="173" t="n">
        <v>0.003567468777642602</v>
      </c>
      <c r="G34" s="173" t="n">
        <v>0.01897060321355538</v>
      </c>
      <c r="H34" s="64" t="n"/>
      <c r="I34" s="64" t="inlineStr">
        <is>
          <t>Monedas regionales</t>
        </is>
      </c>
      <c r="J34" s="114" t="inlineStr">
        <is>
          <t>Pendiente del proveedor</t>
        </is>
      </c>
      <c r="K34" s="114" t="n">
        <v>0</v>
      </c>
      <c r="L34" s="174" t="n">
        <v>0</v>
      </c>
      <c r="M34" s="114" t="inlineStr">
        <is>
          <t>No</t>
        </is>
      </c>
      <c r="N34" s="64" t="inlineStr">
        <is>
          <t>2026-08-23</t>
        </is>
      </c>
      <c r="O34" s="64" t="inlineStr">
        <is>
          <t>ALFRED BRL/CLP/MXN</t>
        </is>
      </c>
      <c r="P34" s="64" t="inlineStr">
        <is>
          <t>Factor de tres monedas; ruta histórica implementada y aún no completada</t>
        </is>
      </c>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64" t="n"/>
      <c r="B35" s="64" t="n"/>
      <c r="C35" s="64" t="n"/>
      <c r="D35" s="64" t="n"/>
      <c r="E35" s="64" t="n"/>
      <c r="F35" s="64" t="n"/>
      <c r="G35" s="64" t="n"/>
      <c r="H35" s="64" t="n"/>
      <c r="I35" s="64" t="n"/>
      <c r="J35" s="64" t="n"/>
      <c r="K35" s="64" t="n"/>
      <c r="L35" s="64" t="n"/>
      <c r="M35" s="64" t="n"/>
      <c r="N35" s="64" t="n"/>
      <c r="O35" s="64" t="n"/>
      <c r="P35" s="64"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64" t="n"/>
      <c r="B36" s="64" t="n"/>
      <c r="C36" s="64" t="n"/>
      <c r="D36" s="64" t="n"/>
      <c r="E36" s="64" t="n"/>
      <c r="F36" s="64" t="n"/>
      <c r="G36" s="64" t="n"/>
      <c r="H36" s="64" t="n"/>
      <c r="I36" s="64" t="n"/>
      <c r="J36" s="64" t="n"/>
      <c r="K36" s="64" t="n"/>
      <c r="L36" s="64" t="n"/>
      <c r="M36" s="64" t="n"/>
      <c r="N36" s="64" t="n"/>
      <c r="O36" s="64" t="n"/>
      <c r="P36" s="64"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ht="36" customHeight="1">
      <c r="A37" s="58" t="inlineStr">
        <is>
          <t>Lectura: intervalos amplios o cambios de signo entre cortes indican incertidumbre de asignación, aunque el peso puntual sea alto. Tener 48 vintages en un factor no basta para un backtest genuino: todos los factores utilizados en cada origen deben estar completos.</t>
        </is>
      </c>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ht="36" customHeight="1">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ht="36" customHeight="1">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7">
    <mergeCell ref="A2:P3"/>
    <mergeCell ref="A37:P39"/>
    <mergeCell ref="I21:P21"/>
    <mergeCell ref="A1:P1"/>
    <mergeCell ref="A21:G21"/>
    <mergeCell ref="A5:H5"/>
    <mergeCell ref="J5:P5"/>
  </mergeCell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8.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34" customWidth="1" min="1" max="1"/>
    <col width="27" customWidth="1" min="2" max="2"/>
    <col width="19" customWidth="1" min="3" max="3"/>
    <col width="1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30" customHeight="1">
      <c r="A1" s="121" t="inlineStr">
        <is>
          <t>Robustez del diferencial de compensación inflacionaria a cinco años</t>
        </is>
      </c>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115" t="inlineStr">
        <is>
          <t>Se adopta Δ diferencial BEI con promedios mensuales separados y rezago de un mes: BIC -1103.45 frente a -1101.29 en nivel. La evidencia de raíz unitaria del nivel cambia al incluir tendencia o quiebre; la primera diferencia es estable en todas las pruebas.</t>
        </is>
      </c>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64" t="n"/>
      <c r="B4" s="64" t="n"/>
      <c r="C4" s="64" t="n"/>
      <c r="D4" s="64" t="n"/>
      <c r="E4" s="64" t="n"/>
      <c r="F4" s="64" t="n"/>
      <c r="G4" s="64" t="n"/>
      <c r="H4" s="64" t="n"/>
      <c r="I4" s="64" t="n"/>
      <c r="J4" s="64" t="n"/>
      <c r="K4" s="64" t="n"/>
      <c r="L4" s="64"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ht="22" customHeight="1">
      <c r="A5" s="111" t="inlineStr">
        <is>
          <t>Comparación dentro del modelo ampliado — misma muestra de 240 meses</t>
        </is>
      </c>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c r="A6" s="62" t="inlineStr">
        <is>
          <t>Especificación</t>
        </is>
      </c>
      <c r="B6" s="62" t="inlineStr">
        <is>
          <t>Agregación</t>
        </is>
      </c>
      <c r="C6" s="62" t="inlineStr">
        <is>
          <t>Transformación</t>
        </is>
      </c>
      <c r="D6" s="62" t="inlineStr">
        <is>
          <t>Extensión</t>
        </is>
      </c>
      <c r="E6" s="62" t="inlineStr">
        <is>
          <t>R² ajustado</t>
        </is>
      </c>
      <c r="F6" s="62" t="inlineStr">
        <is>
          <t>BIC</t>
        </is>
      </c>
      <c r="G6" s="62" t="inlineStr">
        <is>
          <t>Coef. BEI</t>
        </is>
      </c>
      <c r="H6" s="62" t="inlineStr">
        <is>
          <t>p HAC</t>
        </is>
      </c>
      <c r="I6" s="62" t="inlineStr">
        <is>
          <t>MAPE cond.</t>
        </is>
      </c>
      <c r="J6" s="62" t="inlineStr">
        <is>
          <t>R² validación</t>
        </is>
      </c>
      <c r="K6" s="62" t="inlineStr">
        <is>
          <t>Quiebre</t>
        </is>
      </c>
      <c r="L6" s="62" t="inlineStr">
        <is>
          <t>Cautela</t>
        </is>
      </c>
      <c r="M6" s="1" t="n"/>
      <c r="N6" s="1" t="n"/>
      <c r="O6" s="1" t="n"/>
      <c r="P6" s="1"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ht="34" customHeight="1">
      <c r="A7" s="64" t="inlineStr">
        <is>
          <t>Nivel — medias separadas (referencia)</t>
        </is>
      </c>
      <c r="B7" s="64" t="inlineStr">
        <is>
          <t>Medias mensuales separadas</t>
        </is>
      </c>
      <c r="C7" s="64" t="inlineStr">
        <is>
          <t>nivel</t>
        </is>
      </c>
      <c r="D7" s="64" t="inlineStr">
        <is>
          <t>ninguno</t>
        </is>
      </c>
      <c r="E7" s="175" t="n">
        <v>0.6093232918</v>
      </c>
      <c r="F7" s="169" t="n">
        <v>-1073.913857</v>
      </c>
      <c r="G7" s="169" t="n">
        <v>-0.000779181668</v>
      </c>
      <c r="H7" s="169" t="n">
        <v>0.6701760723</v>
      </c>
      <c r="I7" s="176" t="n">
        <v>0.01612730197</v>
      </c>
      <c r="J7" s="176" t="n">
        <v>0.4762035025</v>
      </c>
      <c r="K7" s="64" t="inlineStr">
        <is>
          <t>—</t>
        </is>
      </c>
      <c r="L7" s="64" t="inlineStr">
        <is>
          <t>Comparación regular</t>
        </is>
      </c>
      <c r="M7" s="1" t="n"/>
      <c r="N7" s="1" t="n"/>
      <c r="O7" s="1" t="n"/>
      <c r="P7" s="1" t="n"/>
      <c r="Q7" s="1" t="n"/>
      <c r="R7" s="1" t="n"/>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ht="34" customHeight="1">
      <c r="A8" s="64" t="inlineStr">
        <is>
          <t>Primera diferencia — medias separadas (vigente)</t>
        </is>
      </c>
      <c r="B8" s="64" t="inlineStr">
        <is>
          <t>Medias mensuales separadas</t>
        </is>
      </c>
      <c r="C8" s="64" t="inlineStr">
        <is>
          <t>primera_diferencia</t>
        </is>
      </c>
      <c r="D8" s="64" t="inlineStr">
        <is>
          <t>ninguno</t>
        </is>
      </c>
      <c r="E8" s="175" t="n">
        <v>0.6109784653</v>
      </c>
      <c r="F8" s="169" t="n">
        <v>-1074.932821</v>
      </c>
      <c r="G8" s="169" t="n">
        <v>-0.004723375402</v>
      </c>
      <c r="H8" s="169" t="n">
        <v>0.2299196812</v>
      </c>
      <c r="I8" s="176" t="n">
        <v>0.01617298554</v>
      </c>
      <c r="J8" s="176" t="n">
        <v>0.4839574547</v>
      </c>
      <c r="K8" s="64" t="inlineStr">
        <is>
          <t>—</t>
        </is>
      </c>
      <c r="L8" s="64" t="inlineStr">
        <is>
          <t>Comparación regular</t>
        </is>
      </c>
      <c r="M8" s="1" t="n"/>
      <c r="N8" s="1" t="n"/>
      <c r="O8" s="1" t="n"/>
      <c r="P8" s="1" t="n"/>
      <c r="Q8" s="1" t="n"/>
      <c r="R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ht="34" customHeight="1">
      <c r="A9" s="64" t="inlineStr">
        <is>
          <t>Nivel — fechas diarias comunes</t>
        </is>
      </c>
      <c r="B9" s="64" t="inlineStr">
        <is>
          <t>Fechas diarias comunes</t>
        </is>
      </c>
      <c r="C9" s="64" t="inlineStr">
        <is>
          <t>nivel</t>
        </is>
      </c>
      <c r="D9" s="64" t="inlineStr">
        <is>
          <t>ninguno</t>
        </is>
      </c>
      <c r="E9" s="175" t="n">
        <v>0.6092578863</v>
      </c>
      <c r="F9" s="169" t="n">
        <v>-1073.87368</v>
      </c>
      <c r="G9" s="169" t="n">
        <v>-0.0007343888373</v>
      </c>
      <c r="H9" s="169" t="n">
        <v>0.6873749179999999</v>
      </c>
      <c r="I9" s="176" t="n">
        <v>0.01612700282</v>
      </c>
      <c r="J9" s="176" t="n">
        <v>0.4763850267</v>
      </c>
      <c r="K9" s="64" t="inlineStr">
        <is>
          <t>—</t>
        </is>
      </c>
      <c r="L9" s="64" t="inlineStr">
        <is>
          <t>Comparación regular</t>
        </is>
      </c>
      <c r="M9" s="1"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ht="34" customHeight="1">
      <c r="A10" s="64" t="inlineStr">
        <is>
          <t>Primera diferencia — fechas diarias comunes</t>
        </is>
      </c>
      <c r="B10" s="64" t="inlineStr">
        <is>
          <t>Fechas diarias comunes</t>
        </is>
      </c>
      <c r="C10" s="64" t="inlineStr">
        <is>
          <t>primera_diferencia</t>
        </is>
      </c>
      <c r="D10" s="64" t="inlineStr">
        <is>
          <t>ninguno</t>
        </is>
      </c>
      <c r="E10" s="175" t="n">
        <v>0.6106030662</v>
      </c>
      <c r="F10" s="169" t="n">
        <v>-1074.701336</v>
      </c>
      <c r="G10" s="169" t="n">
        <v>-0.00425012118</v>
      </c>
      <c r="H10" s="169" t="n">
        <v>0.268067342</v>
      </c>
      <c r="I10" s="176" t="n">
        <v>0.01615695281</v>
      </c>
      <c r="J10" s="176" t="n">
        <v>0.4852272018</v>
      </c>
      <c r="K10" s="64" t="inlineStr">
        <is>
          <t>—</t>
        </is>
      </c>
      <c r="L10" s="64" t="inlineStr">
        <is>
          <t>Comparación regular</t>
        </is>
      </c>
      <c r="M10" s="1" t="n"/>
      <c r="N10" s="1" t="n"/>
      <c r="O10" s="1" t="n"/>
      <c r="P10" s="1" t="n"/>
      <c r="Q10" s="1" t="n"/>
      <c r="R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ht="34" customHeight="1">
      <c r="A11" s="64" t="inlineStr">
        <is>
          <t>Nivel separado + tendencia lineal</t>
        </is>
      </c>
      <c r="B11" s="64" t="inlineStr">
        <is>
          <t>Medias mensuales separadas</t>
        </is>
      </c>
      <c r="C11" s="64" t="inlineStr">
        <is>
          <t>nivel</t>
        </is>
      </c>
      <c r="D11" s="64" t="inlineStr">
        <is>
          <t>tendencia</t>
        </is>
      </c>
      <c r="E11" s="175" t="n">
        <v>0.6086424653</v>
      </c>
      <c r="F11" s="169" t="n">
        <v>-1069.129028</v>
      </c>
      <c r="G11" s="169" t="n">
        <v>-0.0005428943111</v>
      </c>
      <c r="H11" s="169" t="n">
        <v>0.7553623737</v>
      </c>
      <c r="I11" s="176" t="n">
        <v>0.01633872276</v>
      </c>
      <c r="J11" s="176" t="n">
        <v>0.4688289165</v>
      </c>
      <c r="K11" s="64" t="inlineStr">
        <is>
          <t>—</t>
        </is>
      </c>
      <c r="L11" s="64" t="inlineStr">
        <is>
          <t>Comparación regular</t>
        </is>
      </c>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ht="34" customHeight="1">
      <c r="A12" s="64" t="inlineStr">
        <is>
          <t>Nivel separado + quiebre de coeficiente ZA</t>
        </is>
      </c>
      <c r="B12" s="64" t="inlineStr">
        <is>
          <t>Medias mensuales separadas</t>
        </is>
      </c>
      <c r="C12" s="64" t="inlineStr">
        <is>
          <t>nivel</t>
        </is>
      </c>
      <c r="D12" s="64" t="inlineStr">
        <is>
          <t>quiebre_coeficiente</t>
        </is>
      </c>
      <c r="E12" s="175" t="n">
        <v>0.611479592</v>
      </c>
      <c r="F12" s="169" t="n">
        <v>-1066.513478</v>
      </c>
      <c r="G12" s="169" t="n">
        <v>-0.007095872982</v>
      </c>
      <c r="H12" s="169" t="n">
        <v>0.04432264404</v>
      </c>
      <c r="I12" s="176" t="n">
        <v>0.01643583836</v>
      </c>
      <c r="J12" s="176" t="n">
        <v>0.4860307069</v>
      </c>
      <c r="K12" s="64" t="inlineStr">
        <is>
          <t>2009-01-01</t>
        </is>
      </c>
      <c r="L12" s="64" t="inlineStr">
        <is>
          <t>Quiebre elegido ex post</t>
        </is>
      </c>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c r="A13" s="64" t="n"/>
      <c r="B13" s="64" t="n"/>
      <c r="C13" s="64" t="n"/>
      <c r="D13" s="64" t="n"/>
      <c r="E13" s="64" t="n"/>
      <c r="F13" s="64" t="n"/>
      <c r="G13" s="64" t="n"/>
      <c r="H13" s="64" t="n"/>
      <c r="I13" s="64" t="n"/>
      <c r="J13" s="64" t="n"/>
      <c r="K13" s="64" t="n"/>
      <c r="L13" s="64"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c r="A14" s="64" t="n"/>
      <c r="B14" s="64" t="n"/>
      <c r="C14" s="64" t="n"/>
      <c r="D14" s="64" t="n"/>
      <c r="E14" s="64" t="n"/>
      <c r="F14" s="64" t="n"/>
      <c r="G14" s="64" t="n"/>
      <c r="H14" s="64" t="n"/>
      <c r="I14" s="64" t="n"/>
      <c r="J14" s="64" t="n"/>
      <c r="K14" s="64" t="n"/>
      <c r="L14" s="64"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ht="22" customHeight="1">
      <c r="A15" s="111" t="inlineStr">
        <is>
          <t>Comparación de agregación mensual</t>
        </is>
      </c>
      <c r="G15" s="64" t="n"/>
      <c r="H15" s="64" t="n"/>
      <c r="I15" s="64" t="n"/>
      <c r="J15" s="64" t="n"/>
      <c r="K15" s="64" t="n"/>
      <c r="L15" s="64"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c r="A16" s="62" t="inlineStr">
        <is>
          <t>Métrica</t>
        </is>
      </c>
      <c r="B16" s="62" t="inlineStr">
        <is>
          <t>Valor</t>
        </is>
      </c>
      <c r="C16" s="62" t="inlineStr">
        <is>
          <t>Lectura</t>
        </is>
      </c>
      <c r="D16" s="64" t="n"/>
      <c r="E16" s="64" t="n"/>
      <c r="F16" s="64" t="n"/>
      <c r="G16" s="64" t="n"/>
      <c r="H16" s="64" t="n"/>
      <c r="I16" s="64" t="n"/>
      <c r="J16" s="64" t="n"/>
      <c r="K16" s="64" t="n"/>
      <c r="L16" s="64"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c r="A17" s="64" t="inlineStr">
        <is>
          <t>Correlación entre agregaciones</t>
        </is>
      </c>
      <c r="B17" s="176" t="n">
        <v>0.9997467536401319</v>
      </c>
      <c r="C17" s="64" t="inlineStr">
        <is>
          <t>Prácticamente idénticas en el conjunto de la muestra</t>
        </is>
      </c>
      <c r="D17" s="64" t="n"/>
      <c r="E17" s="64" t="n"/>
      <c r="F17" s="64" t="n"/>
      <c r="G17" s="64" t="n"/>
      <c r="H17" s="64" t="n"/>
      <c r="I17" s="64" t="n"/>
      <c r="J17" s="64" t="n"/>
      <c r="K17" s="64" t="n"/>
      <c r="L17" s="64"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c r="A18" s="64" t="inlineStr">
        <is>
          <t>Diferencia media común − separada</t>
        </is>
      </c>
      <c r="B18" s="169" t="n">
        <v>4.139130794455774e-05</v>
      </c>
      <c r="C18" s="64" t="inlineStr">
        <is>
          <t>Puntos porcentuales</t>
        </is>
      </c>
      <c r="D18" s="64" t="n"/>
      <c r="E18" s="64" t="n"/>
      <c r="F18" s="64" t="n"/>
      <c r="G18" s="64" t="n"/>
      <c r="H18" s="64" t="n"/>
      <c r="I18" s="64" t="n"/>
      <c r="J18" s="64" t="n"/>
      <c r="K18" s="64" t="n"/>
      <c r="L18" s="64"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c r="A19" s="64" t="inlineStr">
        <is>
          <t>Máxima diferencia absoluta</t>
        </is>
      </c>
      <c r="B19" s="169" t="n">
        <v>0.156017644862938</v>
      </c>
      <c r="C19" s="64" t="inlineStr">
        <is>
          <t>Puntos porcentuales; ocurre en un mes con pocos cruces</t>
        </is>
      </c>
      <c r="D19" s="64" t="n"/>
      <c r="E19" s="64" t="n"/>
      <c r="F19" s="64" t="n"/>
      <c r="G19" s="64" t="n"/>
      <c r="H19" s="64" t="n"/>
      <c r="I19" s="64" t="n"/>
      <c r="J19" s="64" t="n"/>
      <c r="K19" s="64" t="n"/>
      <c r="L19" s="64"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c r="A20" s="64" t="inlineStr">
        <is>
          <t>Mínimo de días comunes</t>
        </is>
      </c>
      <c r="B20" s="177" t="n">
        <v>4</v>
      </c>
      <c r="C20" s="64" t="inlineStr">
        <is>
          <t>La intersección puede perder gran parte del mes</t>
        </is>
      </c>
      <c r="D20" s="64" t="n"/>
      <c r="E20" s="64" t="n"/>
      <c r="F20" s="64" t="n"/>
      <c r="G20" s="64" t="n"/>
      <c r="H20" s="64" t="n"/>
      <c r="I20" s="64" t="n"/>
      <c r="J20" s="64" t="n"/>
      <c r="K20" s="64" t="n"/>
      <c r="L20" s="64"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c r="A21" s="64" t="inlineStr">
        <is>
          <t>Mediana de días comunes</t>
        </is>
      </c>
      <c r="B21" s="177" t="n">
        <v>19</v>
      </c>
      <c r="C21" s="64" t="inlineStr">
        <is>
          <t>Días con las tres curvas observadas</t>
        </is>
      </c>
      <c r="D21" s="64" t="n"/>
      <c r="E21" s="64" t="n"/>
      <c r="F21" s="64" t="n"/>
      <c r="G21" s="64" t="n"/>
      <c r="H21" s="64" t="n"/>
      <c r="I21" s="64" t="n"/>
      <c r="J21" s="64" t="n"/>
      <c r="K21" s="64" t="n"/>
      <c r="L21" s="64"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c r="A22" s="64" t="n"/>
      <c r="B22" s="64" t="n"/>
      <c r="C22" s="64" t="n"/>
      <c r="D22" s="64" t="n"/>
      <c r="E22" s="64" t="n"/>
      <c r="F22" s="64" t="n"/>
      <c r="G22" s="64" t="n"/>
      <c r="H22" s="64" t="n"/>
      <c r="I22" s="64" t="n"/>
      <c r="J22" s="64" t="n"/>
      <c r="K22" s="64" t="n"/>
      <c r="L22" s="64"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c r="A23" s="64" t="n"/>
      <c r="B23" s="64" t="n"/>
      <c r="C23" s="64" t="n"/>
      <c r="D23" s="64" t="n"/>
      <c r="E23" s="64" t="n"/>
      <c r="F23" s="64" t="n"/>
      <c r="G23" s="64" t="n"/>
      <c r="H23" s="64" t="n"/>
      <c r="I23" s="64" t="n"/>
      <c r="J23" s="64" t="n"/>
      <c r="K23" s="64" t="n"/>
      <c r="L23" s="64"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ht="22" customHeight="1">
      <c r="A24" s="111" t="inlineStr">
        <is>
          <t>Estacionariedad con constante, tendencia y quiebre endógeno</t>
        </is>
      </c>
      <c r="M24" s="1" t="n"/>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c r="A25" s="62" t="inlineStr">
        <is>
          <t>Agregación</t>
        </is>
      </c>
      <c r="B25" s="62" t="inlineStr">
        <is>
          <t>Transformación</t>
        </is>
      </c>
      <c r="C25" s="62" t="inlineStr">
        <is>
          <t>Prueba</t>
        </is>
      </c>
      <c r="D25" s="62" t="inlineStr">
        <is>
          <t>Determinístico</t>
        </is>
      </c>
      <c r="E25" s="62" t="inlineStr">
        <is>
          <t>H₀</t>
        </is>
      </c>
      <c r="F25" s="62" t="inlineStr">
        <is>
          <t>N</t>
        </is>
      </c>
      <c r="G25" s="62" t="inlineStr">
        <is>
          <t>Estadístico</t>
        </is>
      </c>
      <c r="H25" s="62" t="inlineStr">
        <is>
          <t>p-valor</t>
        </is>
      </c>
      <c r="I25" s="62" t="inlineStr">
        <is>
          <t>Rezagos</t>
        </is>
      </c>
      <c r="J25" s="62" t="inlineStr">
        <is>
          <t>Fecha quiebre</t>
        </is>
      </c>
      <c r="K25" s="62" t="inlineStr">
        <is>
          <t>Crítico 5%</t>
        </is>
      </c>
      <c r="L25" s="64"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ht="31" customHeight="1">
      <c r="A26" s="64" t="inlineStr">
        <is>
          <t>Medias mensuales separadas</t>
        </is>
      </c>
      <c r="B26" s="64" t="inlineStr">
        <is>
          <t>nivel</t>
        </is>
      </c>
      <c r="C26" s="64" t="inlineStr">
        <is>
          <t>ADF</t>
        </is>
      </c>
      <c r="D26" s="64" t="inlineStr">
        <is>
          <t>constante</t>
        </is>
      </c>
      <c r="E26" s="64" t="inlineStr">
        <is>
          <t>raiz_unitaria</t>
        </is>
      </c>
      <c r="F26" s="64" t="n">
        <v>244</v>
      </c>
      <c r="G26" s="169" t="n">
        <v>-3.341150215</v>
      </c>
      <c r="H26" s="169" t="n">
        <v>0.0131363167</v>
      </c>
      <c r="I26" s="64" t="n">
        <v>1</v>
      </c>
      <c r="J26" s="64" t="inlineStr">
        <is>
          <t>—</t>
        </is>
      </c>
      <c r="K26" s="169" t="n">
        <v>-2.873558511</v>
      </c>
      <c r="L26" s="64"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ht="31" customHeight="1">
      <c r="A27" s="64" t="inlineStr">
        <is>
          <t>Medias mensuales separadas</t>
        </is>
      </c>
      <c r="B27" s="64" t="inlineStr">
        <is>
          <t>nivel</t>
        </is>
      </c>
      <c r="C27" s="64" t="inlineStr">
        <is>
          <t>ADF</t>
        </is>
      </c>
      <c r="D27" s="64" t="inlineStr">
        <is>
          <t>constante_tendencia</t>
        </is>
      </c>
      <c r="E27" s="64" t="inlineStr">
        <is>
          <t>raiz_unitaria</t>
        </is>
      </c>
      <c r="F27" s="64" t="n">
        <v>244</v>
      </c>
      <c r="G27" s="169" t="n">
        <v>-3.377747252</v>
      </c>
      <c r="H27" s="169" t="n">
        <v>0.05443280921</v>
      </c>
      <c r="I27" s="64" t="n">
        <v>1</v>
      </c>
      <c r="J27" s="64" t="inlineStr">
        <is>
          <t>—</t>
        </is>
      </c>
      <c r="K27" s="169" t="n">
        <v>-3.428789643</v>
      </c>
      <c r="L27" s="64"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ht="31" customHeight="1">
      <c r="A28" s="64" t="inlineStr">
        <is>
          <t>Medias mensuales separadas</t>
        </is>
      </c>
      <c r="B28" s="64" t="inlineStr">
        <is>
          <t>nivel</t>
        </is>
      </c>
      <c r="C28" s="64" t="inlineStr">
        <is>
          <t>KPSS</t>
        </is>
      </c>
      <c r="D28" s="64" t="inlineStr">
        <is>
          <t>constante_tendencia</t>
        </is>
      </c>
      <c r="E28" s="64" t="inlineStr">
        <is>
          <t>estacionariedad</t>
        </is>
      </c>
      <c r="F28" s="64" t="n">
        <v>244</v>
      </c>
      <c r="G28" s="169" t="n">
        <v>0.2771566599</v>
      </c>
      <c r="H28" s="169" t="n">
        <v>0.01</v>
      </c>
      <c r="I28" s="64" t="n">
        <v>9</v>
      </c>
      <c r="J28" s="64" t="inlineStr">
        <is>
          <t>—</t>
        </is>
      </c>
      <c r="K28" s="169" t="n">
        <v>0.146</v>
      </c>
      <c r="L28" s="64"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ht="31" customHeight="1">
      <c r="A29" s="64" t="inlineStr">
        <is>
          <t>Medias mensuales separadas</t>
        </is>
      </c>
      <c r="B29" s="64" t="inlineStr">
        <is>
          <t>nivel</t>
        </is>
      </c>
      <c r="C29" s="64" t="inlineStr">
        <is>
          <t>Zivot-Andrews</t>
        </is>
      </c>
      <c r="D29" s="64" t="inlineStr">
        <is>
          <t>constante_tendencia_con_quiebre</t>
        </is>
      </c>
      <c r="E29" s="64" t="inlineStr">
        <is>
          <t>raiz_unitaria_con_quiebre</t>
        </is>
      </c>
      <c r="F29" s="64" t="n">
        <v>244</v>
      </c>
      <c r="G29" s="169" t="n">
        <v>-4.872944391</v>
      </c>
      <c r="H29" s="169" t="n">
        <v>0.08880880721999999</v>
      </c>
      <c r="I29" s="64" t="n">
        <v>1</v>
      </c>
      <c r="J29" s="64" t="inlineStr">
        <is>
          <t>2009-01-01</t>
        </is>
      </c>
      <c r="K29" s="169" t="n">
        <v>-5.07332</v>
      </c>
      <c r="L29" s="64"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ht="31" customHeight="1">
      <c r="A30" s="64" t="inlineStr">
        <is>
          <t>Medias mensuales separadas</t>
        </is>
      </c>
      <c r="B30" s="64" t="inlineStr">
        <is>
          <t>primera_diferencia</t>
        </is>
      </c>
      <c r="C30" s="64" t="inlineStr">
        <is>
          <t>ADF</t>
        </is>
      </c>
      <c r="D30" s="64" t="inlineStr">
        <is>
          <t>constante</t>
        </is>
      </c>
      <c r="E30" s="64" t="inlineStr">
        <is>
          <t>raiz_unitaria</t>
        </is>
      </c>
      <c r="F30" s="64" t="n">
        <v>243</v>
      </c>
      <c r="G30" s="169" t="n">
        <v>-11.27020455</v>
      </c>
      <c r="H30" s="169" t="n">
        <v>1.543594924e-20</v>
      </c>
      <c r="I30" s="64" t="n">
        <v>1</v>
      </c>
      <c r="J30" s="64" t="inlineStr">
        <is>
          <t>—</t>
        </is>
      </c>
      <c r="K30" s="169" t="n">
        <v>-2.873608705</v>
      </c>
      <c r="L30" s="64"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ht="31" customHeight="1">
      <c r="A31" s="64" t="inlineStr">
        <is>
          <t>Medias mensuales separadas</t>
        </is>
      </c>
      <c r="B31" s="64" t="inlineStr">
        <is>
          <t>primera_diferencia</t>
        </is>
      </c>
      <c r="C31" s="64" t="inlineStr">
        <is>
          <t>ADF</t>
        </is>
      </c>
      <c r="D31" s="64" t="inlineStr">
        <is>
          <t>constante_tendencia</t>
        </is>
      </c>
      <c r="E31" s="64" t="inlineStr">
        <is>
          <t>raiz_unitaria</t>
        </is>
      </c>
      <c r="F31" s="64" t="n">
        <v>243</v>
      </c>
      <c r="G31" s="169" t="n">
        <v>-11.24178725</v>
      </c>
      <c r="H31" s="169" t="n">
        <v>7.863134327e-18</v>
      </c>
      <c r="I31" s="64" t="n">
        <v>1</v>
      </c>
      <c r="J31" s="64" t="inlineStr">
        <is>
          <t>—</t>
        </is>
      </c>
      <c r="K31" s="169" t="n">
        <v>-3.428866245</v>
      </c>
      <c r="L31" s="64"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ht="31" customHeight="1">
      <c r="A32" s="64" t="inlineStr">
        <is>
          <t>Medias mensuales separadas</t>
        </is>
      </c>
      <c r="B32" s="64" t="inlineStr">
        <is>
          <t>primera_diferencia</t>
        </is>
      </c>
      <c r="C32" s="64" t="inlineStr">
        <is>
          <t>KPSS</t>
        </is>
      </c>
      <c r="D32" s="64" t="inlineStr">
        <is>
          <t>constante_tendencia</t>
        </is>
      </c>
      <c r="E32" s="64" t="inlineStr">
        <is>
          <t>estacionariedad</t>
        </is>
      </c>
      <c r="F32" s="64" t="n">
        <v>243</v>
      </c>
      <c r="G32" s="169" t="n">
        <v>0.02785936073</v>
      </c>
      <c r="H32" s="169" t="n">
        <v>0.1</v>
      </c>
      <c r="I32" s="64" t="n">
        <v>6</v>
      </c>
      <c r="J32" s="64" t="inlineStr">
        <is>
          <t>—</t>
        </is>
      </c>
      <c r="K32" s="169" t="n">
        <v>0.146</v>
      </c>
      <c r="L32" s="64"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ht="31" customHeight="1">
      <c r="A33" s="64" t="inlineStr">
        <is>
          <t>Medias mensuales separadas</t>
        </is>
      </c>
      <c r="B33" s="64" t="inlineStr">
        <is>
          <t>primera_diferencia</t>
        </is>
      </c>
      <c r="C33" s="64" t="inlineStr">
        <is>
          <t>Zivot-Andrews</t>
        </is>
      </c>
      <c r="D33" s="64" t="inlineStr">
        <is>
          <t>constante_tendencia_con_quiebre</t>
        </is>
      </c>
      <c r="E33" s="64" t="inlineStr">
        <is>
          <t>raiz_unitaria_con_quiebre</t>
        </is>
      </c>
      <c r="F33" s="64" t="n">
        <v>243</v>
      </c>
      <c r="G33" s="169" t="n">
        <v>-11.50895789</v>
      </c>
      <c r="H33" s="169" t="n">
        <v>0.0008416505466</v>
      </c>
      <c r="I33" s="64" t="n">
        <v>1</v>
      </c>
      <c r="J33" s="64" t="inlineStr">
        <is>
          <t>2023-01-01</t>
        </is>
      </c>
      <c r="K33" s="169" t="n">
        <v>-5.07332</v>
      </c>
      <c r="L33" s="64"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ht="31" customHeight="1">
      <c r="A34" s="64" t="inlineStr">
        <is>
          <t>Fechas diarias comunes</t>
        </is>
      </c>
      <c r="B34" s="64" t="inlineStr">
        <is>
          <t>nivel</t>
        </is>
      </c>
      <c r="C34" s="64" t="inlineStr">
        <is>
          <t>ADF</t>
        </is>
      </c>
      <c r="D34" s="64" t="inlineStr">
        <is>
          <t>constante</t>
        </is>
      </c>
      <c r="E34" s="64" t="inlineStr">
        <is>
          <t>raiz_unitaria</t>
        </is>
      </c>
      <c r="F34" s="64" t="n">
        <v>244</v>
      </c>
      <c r="G34" s="169" t="n">
        <v>-3.299255736</v>
      </c>
      <c r="H34" s="169" t="n">
        <v>0.01491177592</v>
      </c>
      <c r="I34" s="64" t="n">
        <v>1</v>
      </c>
      <c r="J34" s="64" t="inlineStr">
        <is>
          <t>—</t>
        </is>
      </c>
      <c r="K34" s="169" t="n">
        <v>-2.873558511</v>
      </c>
      <c r="L34" s="64"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ht="31" customHeight="1">
      <c r="A35" s="64" t="inlineStr">
        <is>
          <t>Fechas diarias comunes</t>
        </is>
      </c>
      <c r="B35" s="64" t="inlineStr">
        <is>
          <t>nivel</t>
        </is>
      </c>
      <c r="C35" s="64" t="inlineStr">
        <is>
          <t>ADF</t>
        </is>
      </c>
      <c r="D35" s="64" t="inlineStr">
        <is>
          <t>constante_tendencia</t>
        </is>
      </c>
      <c r="E35" s="64" t="inlineStr">
        <is>
          <t>raiz_unitaria</t>
        </is>
      </c>
      <c r="F35" s="64" t="n">
        <v>244</v>
      </c>
      <c r="G35" s="169" t="n">
        <v>-3.336021358</v>
      </c>
      <c r="H35" s="169" t="n">
        <v>0.06054115607</v>
      </c>
      <c r="I35" s="64" t="n">
        <v>1</v>
      </c>
      <c r="J35" s="64" t="inlineStr">
        <is>
          <t>—</t>
        </is>
      </c>
      <c r="K35" s="169" t="n">
        <v>-3.428789643</v>
      </c>
      <c r="L35" s="64"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ht="31" customHeight="1">
      <c r="A36" s="64" t="inlineStr">
        <is>
          <t>Fechas diarias comunes</t>
        </is>
      </c>
      <c r="B36" s="64" t="inlineStr">
        <is>
          <t>nivel</t>
        </is>
      </c>
      <c r="C36" s="64" t="inlineStr">
        <is>
          <t>KPSS</t>
        </is>
      </c>
      <c r="D36" s="64" t="inlineStr">
        <is>
          <t>constante_tendencia</t>
        </is>
      </c>
      <c r="E36" s="64" t="inlineStr">
        <is>
          <t>estacionariedad</t>
        </is>
      </c>
      <c r="F36" s="64" t="n">
        <v>244</v>
      </c>
      <c r="G36" s="169" t="n">
        <v>0.2774597411</v>
      </c>
      <c r="H36" s="169" t="n">
        <v>0.01</v>
      </c>
      <c r="I36" s="64" t="n">
        <v>9</v>
      </c>
      <c r="J36" s="64" t="inlineStr">
        <is>
          <t>—</t>
        </is>
      </c>
      <c r="K36" s="169" t="n">
        <v>0.146</v>
      </c>
      <c r="L36" s="64"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ht="31" customHeight="1">
      <c r="A37" s="64" t="inlineStr">
        <is>
          <t>Fechas diarias comunes</t>
        </is>
      </c>
      <c r="B37" s="64" t="inlineStr">
        <is>
          <t>nivel</t>
        </is>
      </c>
      <c r="C37" s="64" t="inlineStr">
        <is>
          <t>Zivot-Andrews</t>
        </is>
      </c>
      <c r="D37" s="64" t="inlineStr">
        <is>
          <t>constante_tendencia_con_quiebre</t>
        </is>
      </c>
      <c r="E37" s="64" t="inlineStr">
        <is>
          <t>raiz_unitaria_con_quiebre</t>
        </is>
      </c>
      <c r="F37" s="64" t="n">
        <v>244</v>
      </c>
      <c r="G37" s="169" t="n">
        <v>-4.910080617</v>
      </c>
      <c r="H37" s="169" t="n">
        <v>0.07982568522</v>
      </c>
      <c r="I37" s="64" t="n">
        <v>1</v>
      </c>
      <c r="J37" s="64" t="inlineStr">
        <is>
          <t>2009-01-01</t>
        </is>
      </c>
      <c r="K37" s="169" t="n">
        <v>-5.07332</v>
      </c>
      <c r="L37" s="64"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ht="31" customHeight="1">
      <c r="A38" s="64" t="inlineStr">
        <is>
          <t>Fechas diarias comunes</t>
        </is>
      </c>
      <c r="B38" s="64" t="inlineStr">
        <is>
          <t>primera_diferencia</t>
        </is>
      </c>
      <c r="C38" s="64" t="inlineStr">
        <is>
          <t>ADF</t>
        </is>
      </c>
      <c r="D38" s="64" t="inlineStr">
        <is>
          <t>constante</t>
        </is>
      </c>
      <c r="E38" s="64" t="inlineStr">
        <is>
          <t>raiz_unitaria</t>
        </is>
      </c>
      <c r="F38" s="64" t="n">
        <v>243</v>
      </c>
      <c r="G38" s="169" t="n">
        <v>-11.76929838</v>
      </c>
      <c r="H38" s="169" t="n">
        <v>1.099691157e-21</v>
      </c>
      <c r="I38" s="64" t="n">
        <v>0</v>
      </c>
      <c r="J38" s="64" t="inlineStr">
        <is>
          <t>—</t>
        </is>
      </c>
      <c r="K38" s="169" t="n">
        <v>-2.873558511</v>
      </c>
      <c r="L38" s="64"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ht="31" customHeight="1">
      <c r="A39" s="64" t="inlineStr">
        <is>
          <t>Fechas diarias comunes</t>
        </is>
      </c>
      <c r="B39" s="64" t="inlineStr">
        <is>
          <t>primera_diferencia</t>
        </is>
      </c>
      <c r="C39" s="64" t="inlineStr">
        <is>
          <t>ADF</t>
        </is>
      </c>
      <c r="D39" s="64" t="inlineStr">
        <is>
          <t>constante_tendencia</t>
        </is>
      </c>
      <c r="E39" s="64" t="inlineStr">
        <is>
          <t>raiz_unitaria</t>
        </is>
      </c>
      <c r="F39" s="64" t="n">
        <v>243</v>
      </c>
      <c r="G39" s="169" t="n">
        <v>-11.7486477</v>
      </c>
      <c r="H39" s="169" t="n">
        <v>1.000912704e-18</v>
      </c>
      <c r="I39" s="64" t="n">
        <v>0</v>
      </c>
      <c r="J39" s="64" t="inlineStr">
        <is>
          <t>—</t>
        </is>
      </c>
      <c r="K39" s="169" t="n">
        <v>-3.428789643</v>
      </c>
      <c r="L39" s="64"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ht="31" customHeight="1">
      <c r="A40" s="64" t="inlineStr">
        <is>
          <t>Fechas diarias comunes</t>
        </is>
      </c>
      <c r="B40" s="64" t="inlineStr">
        <is>
          <t>primera_diferencia</t>
        </is>
      </c>
      <c r="C40" s="64" t="inlineStr">
        <is>
          <t>KPSS</t>
        </is>
      </c>
      <c r="D40" s="64" t="inlineStr">
        <is>
          <t>constante_tendencia</t>
        </is>
      </c>
      <c r="E40" s="64" t="inlineStr">
        <is>
          <t>estacionariedad</t>
        </is>
      </c>
      <c r="F40" s="64" t="n">
        <v>243</v>
      </c>
      <c r="G40" s="169" t="n">
        <v>0.02861198233</v>
      </c>
      <c r="H40" s="169" t="n">
        <v>0.1</v>
      </c>
      <c r="I40" s="64" t="n">
        <v>6</v>
      </c>
      <c r="J40" s="64" t="inlineStr">
        <is>
          <t>—</t>
        </is>
      </c>
      <c r="K40" s="169" t="n">
        <v>0.146</v>
      </c>
      <c r="L40" s="64"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ht="31" customHeight="1">
      <c r="A41" s="64" t="inlineStr">
        <is>
          <t>Fechas diarias comunes</t>
        </is>
      </c>
      <c r="B41" s="64" t="inlineStr">
        <is>
          <t>primera_diferencia</t>
        </is>
      </c>
      <c r="C41" s="64" t="inlineStr">
        <is>
          <t>Zivot-Andrews</t>
        </is>
      </c>
      <c r="D41" s="64" t="inlineStr">
        <is>
          <t>constante_tendencia_con_quiebre</t>
        </is>
      </c>
      <c r="E41" s="64" t="inlineStr">
        <is>
          <t>raiz_unitaria_con_quiebre</t>
        </is>
      </c>
      <c r="F41" s="64" t="n">
        <v>243</v>
      </c>
      <c r="G41" s="169" t="n">
        <v>-11.91424722</v>
      </c>
      <c r="H41" s="169" t="n">
        <v>0.0008290119565</v>
      </c>
      <c r="I41" s="64" t="n">
        <v>0</v>
      </c>
      <c r="J41" s="64" t="inlineStr">
        <is>
          <t>2023-01-01</t>
        </is>
      </c>
      <c r="K41" s="169" t="n">
        <v>-5.07332</v>
      </c>
      <c r="L41" s="64"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64" t="n"/>
      <c r="B42" s="64" t="n"/>
      <c r="C42" s="64" t="n"/>
      <c r="D42" s="64" t="n"/>
      <c r="E42" s="64" t="n"/>
      <c r="F42" s="64" t="n"/>
      <c r="G42" s="64" t="n"/>
      <c r="H42" s="64" t="n"/>
      <c r="I42" s="64" t="n"/>
      <c r="J42" s="64" t="n"/>
      <c r="K42" s="64" t="n"/>
      <c r="L42" s="64"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ht="22" customHeight="1">
      <c r="A43" s="111" t="inlineStr">
        <is>
          <t>Tendencias determinísticas del propio diferencial BEI</t>
        </is>
      </c>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62" t="inlineStr">
        <is>
          <t>Agregación</t>
        </is>
      </c>
      <c r="B44" s="62" t="inlineStr">
        <is>
          <t>Modelo</t>
        </is>
      </c>
      <c r="C44" s="62" t="inlineStr">
        <is>
          <t>Quiebre ZA</t>
        </is>
      </c>
      <c r="D44" s="62" t="inlineStr">
        <is>
          <t>N</t>
        </is>
      </c>
      <c r="E44" s="62" t="inlineStr">
        <is>
          <t>R² ajustado</t>
        </is>
      </c>
      <c r="F44" s="62" t="inlineStr">
        <is>
          <t>BIC</t>
        </is>
      </c>
      <c r="G44" s="62" t="inlineStr">
        <is>
          <t>Tendencia pp/año</t>
        </is>
      </c>
      <c r="H44" s="62" t="inlineStr">
        <is>
          <t>p tendencia</t>
        </is>
      </c>
      <c r="I44" s="62" t="inlineStr">
        <is>
          <t>Cambio nivel</t>
        </is>
      </c>
      <c r="J44" s="62" t="inlineStr">
        <is>
          <t>p nivel</t>
        </is>
      </c>
      <c r="K44" s="62" t="inlineStr">
        <is>
          <t>Cambio pendiente</t>
        </is>
      </c>
      <c r="L44" s="62" t="inlineStr">
        <is>
          <t>p pendiente</t>
        </is>
      </c>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ht="32" customHeight="1">
      <c r="A45" s="64" t="inlineStr">
        <is>
          <t>Medias mensuales separadas</t>
        </is>
      </c>
      <c r="B45" s="64" t="inlineStr">
        <is>
          <t>Sin tendencia</t>
        </is>
      </c>
      <c r="C45" s="64" t="inlineStr">
        <is>
          <t>2009-01-01</t>
        </is>
      </c>
      <c r="D45" s="64" t="n">
        <v>244</v>
      </c>
      <c r="E45" s="169" t="n">
        <v>-2.220446049e-16</v>
      </c>
      <c r="F45" s="169" t="n">
        <v>781.3877275</v>
      </c>
      <c r="G45" s="169" t="n"/>
      <c r="H45" s="169" t="n"/>
      <c r="I45" s="169" t="n"/>
      <c r="J45" s="169" t="n"/>
      <c r="K45" s="169" t="n"/>
      <c r="L45" s="169"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ht="32" customHeight="1">
      <c r="A46" s="64" t="inlineStr">
        <is>
          <t>Medias mensuales separadas</t>
        </is>
      </c>
      <c r="B46" s="64" t="inlineStr">
        <is>
          <t>Tendencia lineal</t>
        </is>
      </c>
      <c r="C46" s="64" t="inlineStr">
        <is>
          <t>2009-01-01</t>
        </is>
      </c>
      <c r="D46" s="64" t="n">
        <v>244</v>
      </c>
      <c r="E46" s="169" t="n">
        <v>0.007327105698</v>
      </c>
      <c r="F46" s="169" t="n">
        <v>784.084313</v>
      </c>
      <c r="G46" s="169" t="n">
        <v>0.02159408638</v>
      </c>
      <c r="H46" s="169" t="n">
        <v>0.5086989687</v>
      </c>
      <c r="I46" s="169" t="n"/>
      <c r="J46" s="169" t="n"/>
      <c r="K46" s="169" t="n"/>
      <c r="L46" s="169"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ht="32" customHeight="1">
      <c r="A47" s="64" t="inlineStr">
        <is>
          <t>Medias mensuales separadas</t>
        </is>
      </c>
      <c r="B47" s="64" t="inlineStr">
        <is>
          <t>Tendencia segmentada con quiebre ZA</t>
        </is>
      </c>
      <c r="C47" s="64" t="inlineStr">
        <is>
          <t>2009-01-01</t>
        </is>
      </c>
      <c r="D47" s="64" t="n">
        <v>244</v>
      </c>
      <c r="E47" s="169" t="n">
        <v>0.2501841377</v>
      </c>
      <c r="F47" s="169" t="n">
        <v>724.5937981</v>
      </c>
      <c r="G47" s="169" t="n">
        <v>1.180297632</v>
      </c>
      <c r="H47" s="169" t="n">
        <v>0.0002535002603</v>
      </c>
      <c r="I47" s="169" t="n">
        <v>-3.300772484</v>
      </c>
      <c r="J47" s="169" t="n">
        <v>6.386469637e-07</v>
      </c>
      <c r="K47" s="169" t="n">
        <v>-1.102839888</v>
      </c>
      <c r="L47" s="169" t="n">
        <v>0.0009624730542</v>
      </c>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ht="32" customHeight="1">
      <c r="A48" s="64" t="inlineStr">
        <is>
          <t>Fechas diarias comunes</t>
        </is>
      </c>
      <c r="B48" s="64" t="inlineStr">
        <is>
          <t>Sin tendencia</t>
        </is>
      </c>
      <c r="C48" s="64" t="inlineStr">
        <is>
          <t>2009-01-01</t>
        </is>
      </c>
      <c r="D48" s="64" t="n">
        <v>244</v>
      </c>
      <c r="E48" s="169" t="n">
        <v>0</v>
      </c>
      <c r="F48" s="169" t="n">
        <v>782.3853886000001</v>
      </c>
      <c r="G48" s="169" t="n"/>
      <c r="H48" s="169" t="n"/>
      <c r="I48" s="169" t="n"/>
      <c r="J48" s="169" t="n"/>
      <c r="K48" s="169" t="n"/>
      <c r="L48" s="169"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ht="32" customHeight="1">
      <c r="A49" s="64" t="inlineStr">
        <is>
          <t>Fechas diarias comunes</t>
        </is>
      </c>
      <c r="B49" s="64" t="inlineStr">
        <is>
          <t>Tendencia lineal</t>
        </is>
      </c>
      <c r="C49" s="64" t="inlineStr">
        <is>
          <t>2009-01-01</t>
        </is>
      </c>
      <c r="D49" s="64" t="n">
        <v>244</v>
      </c>
      <c r="E49" s="169" t="n">
        <v>0.007062663142</v>
      </c>
      <c r="F49" s="169" t="n">
        <v>785.1469657</v>
      </c>
      <c r="G49" s="169" t="n">
        <v>0.02138715202</v>
      </c>
      <c r="H49" s="169" t="n">
        <v>0.5139101619000001</v>
      </c>
      <c r="I49" s="169" t="n"/>
      <c r="J49" s="169" t="n"/>
      <c r="K49" s="169" t="n"/>
      <c r="L49" s="169"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ht="32" customHeight="1">
      <c r="A50" s="64" t="inlineStr">
        <is>
          <t>Fechas diarias comunes</t>
        </is>
      </c>
      <c r="B50" s="64" t="inlineStr">
        <is>
          <t>Tendencia segmentada con quiebre ZA</t>
        </is>
      </c>
      <c r="C50" s="64" t="inlineStr">
        <is>
          <t>2009-01-01</t>
        </is>
      </c>
      <c r="D50" s="64" t="n">
        <v>244</v>
      </c>
      <c r="E50" s="169" t="n">
        <v>0.2505399115</v>
      </c>
      <c r="F50" s="169" t="n">
        <v>725.4756583</v>
      </c>
      <c r="G50" s="169" t="n">
        <v>1.178994287</v>
      </c>
      <c r="H50" s="169" t="n">
        <v>0.0002735804938</v>
      </c>
      <c r="I50" s="169" t="n">
        <v>-3.308769799</v>
      </c>
      <c r="J50" s="169" t="n">
        <v>7.135381707e-07</v>
      </c>
      <c r="K50" s="169" t="n">
        <v>-1.101357064</v>
      </c>
      <c r="L50" s="169" t="n">
        <v>0.001029278347</v>
      </c>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64" t="n"/>
      <c r="B51" s="64" t="n"/>
      <c r="C51" s="64" t="n"/>
      <c r="D51" s="64" t="n"/>
      <c r="E51" s="64" t="n"/>
      <c r="F51" s="64" t="n"/>
      <c r="G51" s="64" t="n"/>
      <c r="H51" s="64" t="n"/>
      <c r="I51" s="64" t="n"/>
      <c r="J51" s="64" t="n"/>
      <c r="K51" s="64" t="n"/>
      <c r="L51" s="64"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ht="36" customHeight="1">
      <c r="A52" s="58" t="inlineStr">
        <is>
          <t>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t>
        </is>
      </c>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ht="36" customHeight="1">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ht="36" customHeight="1">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7">
    <mergeCell ref="A24:L24"/>
    <mergeCell ref="A2:L3"/>
    <mergeCell ref="A43:L43"/>
    <mergeCell ref="A5:L5"/>
    <mergeCell ref="A1:L1"/>
    <mergeCell ref="A52:L54"/>
    <mergeCell ref="A15:F15"/>
  </mergeCell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9.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28" customWidth="1" min="1" max="1"/>
    <col width="15" customWidth="1" min="2" max="2"/>
    <col width="17" customWidth="1" min="3" max="3"/>
    <col width="17" customWidth="1" min="4" max="4"/>
    <col width="17" customWidth="1" min="5" max="5"/>
    <col width="17" customWidth="1" min="6" max="6"/>
    <col width="17" customWidth="1" min="7" max="7"/>
    <col width="17" customWidth="1" min="8" max="8"/>
    <col width="17" customWidth="1" min="9" max="9"/>
    <col width="30" customWidth="1" min="10" max="10"/>
    <col width="12" customWidth="1" min="11" max="11"/>
    <col width="17" customWidth="1" min="12" max="12"/>
    <col width="17" customWidth="1" min="13" max="13"/>
    <col width="17" customWidth="1" min="14" max="14"/>
    <col width="11" customWidth="1" min="15" max="15"/>
    <col width="11" customWidth="1" min="16" max="16"/>
    <col width="11" customWidth="1" min="17" max="17"/>
    <col width="11" customWidth="1" min="18" max="18"/>
  </cols>
  <sheetData>
    <row r="1" ht="30" customHeight="1">
      <c r="A1" s="4" t="inlineStr">
        <is>
          <t>Validación condicional pseudo-fuera de muestra</t>
        </is>
      </c>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115" t="inlineStr">
        <is>
          <t>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t>
        </is>
      </c>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c r="A5" s="62" t="inlineStr">
        <is>
          <t>Modelo</t>
        </is>
      </c>
      <c r="B5" s="62" t="inlineStr">
        <is>
          <t>Observaciones</t>
        </is>
      </c>
      <c r="C5" s="62" t="inlineStr">
        <is>
          <t>MAE (log)</t>
        </is>
      </c>
      <c r="D5" s="62" t="inlineStr">
        <is>
          <t>RMSE (log)</t>
        </is>
      </c>
      <c r="E5" s="62" t="inlineStr">
        <is>
          <t>MAPE</t>
        </is>
      </c>
      <c r="F5" s="62" t="inlineStr">
        <is>
          <t>Acierto dirección</t>
        </is>
      </c>
      <c r="G5" s="1" t="n"/>
      <c r="H5" s="66" t="inlineStr">
        <is>
          <t>Comparación</t>
        </is>
      </c>
      <c r="I5" s="66" t="inlineStr">
        <is>
          <t>Resultado</t>
        </is>
      </c>
      <c r="J5" s="66" t="inlineStr">
        <is>
          <t>Lectura</t>
        </is>
      </c>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ht="38" customHeight="1">
      <c r="A6" s="5" t="inlineStr">
        <is>
          <t>Modelo principal</t>
        </is>
      </c>
      <c r="B6" s="5" t="n">
        <v>48</v>
      </c>
      <c r="C6" s="178" t="n">
        <v>0.02008326628513109</v>
      </c>
      <c r="D6" s="178" t="n">
        <v>0.02658059381984105</v>
      </c>
      <c r="E6" s="179" t="n">
        <v>0.02006609126430155</v>
      </c>
      <c r="F6" s="179" t="n">
        <v>0.6875</v>
      </c>
      <c r="G6" s="1" t="n"/>
      <c r="H6" s="67" t="inlineStr">
        <is>
          <t>Reducción de MAE ampliado</t>
        </is>
      </c>
      <c r="I6" s="164" t="n">
        <v>0.2929527821378937</v>
      </c>
      <c r="J6" s="67" t="inlineStr">
        <is>
          <t>Mejora frente a la caminata aleatoria</t>
        </is>
      </c>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ht="38" customHeight="1">
      <c r="A7" s="29" t="inlineStr">
        <is>
          <t>Modelo ampliado</t>
        </is>
      </c>
      <c r="B7" s="29" t="n">
        <v>48</v>
      </c>
      <c r="C7" s="180" t="n">
        <v>0.01698946807891481</v>
      </c>
      <c r="D7" s="180" t="n">
        <v>0.02335908924688954</v>
      </c>
      <c r="E7" s="181" t="n">
        <v>0.01700257399880555</v>
      </c>
      <c r="F7" s="181" t="n">
        <v>0.8125</v>
      </c>
      <c r="G7" s="1" t="n"/>
      <c r="H7" s="67" t="inlineStr">
        <is>
          <t>Reducción de RMSE ampliado</t>
        </is>
      </c>
      <c r="I7" s="164" t="n">
        <v>0.2749104683957783</v>
      </c>
      <c r="J7" s="67" t="inlineStr">
        <is>
          <t>Mejora frente a la caminata aleatoria</t>
        </is>
      </c>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ht="38" customHeight="1">
      <c r="A8" s="1" t="inlineStr">
        <is>
          <t>Caminata aleatoria</t>
        </is>
      </c>
      <c r="B8" s="1" t="n">
        <v>48</v>
      </c>
      <c r="C8" s="161" t="n">
        <v>0.0240287602436026</v>
      </c>
      <c r="D8" s="161" t="n">
        <v>0.03221545509726062</v>
      </c>
      <c r="E8" s="182" t="n">
        <v>0.02394031003568149</v>
      </c>
      <c r="F8" s="182" t="n"/>
      <c r="G8" s="1" t="n"/>
      <c r="H8" s="67" t="inlineStr">
        <is>
          <t>Dirección correcta ampliado</t>
        </is>
      </c>
      <c r="I8" s="164" t="n">
        <v>0.8125</v>
      </c>
      <c r="J8" s="67" t="inlineStr">
        <is>
          <t>Signo mensual acertado</t>
        </is>
      </c>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ht="38" customHeight="1">
      <c r="A9" s="1" t="n"/>
      <c r="B9" s="1" t="n"/>
      <c r="C9" s="1" t="n"/>
      <c r="D9" s="1" t="n"/>
      <c r="E9" s="1" t="n"/>
      <c r="F9" s="1" t="n"/>
      <c r="G9" s="1" t="n"/>
      <c r="H9" s="67" t="inlineStr">
        <is>
          <t>Mejora de MAPE vs. principal (p.p.)</t>
        </is>
      </c>
      <c r="I9" s="183" t="n">
        <v>0.3063517265496001</v>
      </c>
      <c r="J9" s="67" t="inlineStr">
        <is>
          <t>Diferencia en puntos porcentuales; positivo indica mejora</t>
        </is>
      </c>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ht="36" customHeight="1">
      <c r="A11" s="62" t="inlineStr">
        <is>
          <t>Mes</t>
        </is>
      </c>
      <c r="B11" s="62" t="inlineStr">
        <is>
          <t>ln TRM observada</t>
        </is>
      </c>
      <c r="C11" s="62" t="inlineStr">
        <is>
          <t>ln TRM modelo principal</t>
        </is>
      </c>
      <c r="D11" s="62" t="inlineStr">
        <is>
          <t>ln TRM caminata</t>
        </is>
      </c>
      <c r="E11" s="62" t="inlineStr">
        <is>
          <t>Δln observado</t>
        </is>
      </c>
      <c r="F11" s="62" t="inlineStr">
        <is>
          <t>Δln modelo principal</t>
        </is>
      </c>
      <c r="G11" s="62" t="inlineStr">
        <is>
          <t>TRM observada</t>
        </is>
      </c>
      <c r="H11" s="62" t="inlineStr">
        <is>
          <t>TRM modelo principal</t>
        </is>
      </c>
      <c r="I11" s="62" t="inlineStr">
        <is>
          <t>TRM caminata</t>
        </is>
      </c>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c r="A12" s="1" t="inlineStr">
        <is>
          <t>2022-05</t>
        </is>
      </c>
      <c r="B12" s="160" t="n">
        <v>8.298808139175573</v>
      </c>
      <c r="C12" s="160" t="n">
        <v>8.272751079490853</v>
      </c>
      <c r="D12" s="160" t="n">
        <v>8.240907796093667</v>
      </c>
      <c r="E12" s="160" t="n">
        <v>0.05790034308190606</v>
      </c>
      <c r="F12" s="160" t="n">
        <v>0.03184328339718555</v>
      </c>
      <c r="G12" s="167" t="n">
        <v>4019.079354838708</v>
      </c>
      <c r="H12" s="167" t="n">
        <v>3915.706607982421</v>
      </c>
      <c r="I12" s="167" t="n">
        <v>3792.981999999997</v>
      </c>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c r="A13" s="1" t="inlineStr">
        <is>
          <t>2022-06</t>
        </is>
      </c>
      <c r="B13" s="160" t="n">
        <v>8.276589766414325</v>
      </c>
      <c r="C13" s="160" t="n">
        <v>8.28329698451912</v>
      </c>
      <c r="D13" s="160" t="n">
        <v>8.298808139175573</v>
      </c>
      <c r="E13" s="160" t="n">
        <v>-0.02221837276124816</v>
      </c>
      <c r="F13" s="160" t="n">
        <v>-0.01551115465645379</v>
      </c>
      <c r="G13" s="167" t="n">
        <v>3930.766666666666</v>
      </c>
      <c r="H13" s="167" t="n">
        <v>3957.2197902839</v>
      </c>
      <c r="I13" s="167" t="n">
        <v>4019.079354838708</v>
      </c>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c r="A14" s="1" t="inlineStr">
        <is>
          <t>2022-07</t>
        </is>
      </c>
      <c r="B14" s="160" t="n">
        <v>8.382016058206503</v>
      </c>
      <c r="C14" s="160" t="n">
        <v>8.31067945351437</v>
      </c>
      <c r="D14" s="160" t="n">
        <v>8.276589766414325</v>
      </c>
      <c r="E14" s="160" t="n">
        <v>0.1054262917921776</v>
      </c>
      <c r="F14" s="160" t="n">
        <v>0.03408968710004485</v>
      </c>
      <c r="G14" s="167" t="n">
        <v>4367.805806451614</v>
      </c>
      <c r="H14" s="167" t="n">
        <v>4067.075433817815</v>
      </c>
      <c r="I14" s="167" t="n">
        <v>3930.766666666666</v>
      </c>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c r="A15" s="1" t="inlineStr">
        <is>
          <t>2022-08</t>
        </is>
      </c>
      <c r="B15" s="160" t="n">
        <v>8.371582127847805</v>
      </c>
      <c r="C15" s="160" t="n">
        <v>8.380565763346263</v>
      </c>
      <c r="D15" s="160" t="n">
        <v>8.382016058206503</v>
      </c>
      <c r="E15" s="160" t="n">
        <v>-0.01043393035869755</v>
      </c>
      <c r="F15" s="160" t="n">
        <v>-0.001450294860239183</v>
      </c>
      <c r="G15" s="167" t="n">
        <v>4322.469354838713</v>
      </c>
      <c r="H15" s="167" t="n">
        <v>4361.475791443631</v>
      </c>
      <c r="I15" s="167" t="n">
        <v>4367.805806451614</v>
      </c>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c r="A16" s="1" t="inlineStr">
        <is>
          <t>2022-09</t>
        </is>
      </c>
      <c r="B16" s="160" t="n">
        <v>8.396978677110038</v>
      </c>
      <c r="C16" s="160" t="n">
        <v>8.405774525364944</v>
      </c>
      <c r="D16" s="160" t="n">
        <v>8.371582127847805</v>
      </c>
      <c r="E16" s="160" t="n">
        <v>0.02539654926223278</v>
      </c>
      <c r="F16" s="160" t="n">
        <v>0.03419239751713843</v>
      </c>
      <c r="G16" s="167" t="n">
        <v>4433.650999999996</v>
      </c>
      <c r="H16" s="167" t="n">
        <v>4472.820734394597</v>
      </c>
      <c r="I16" s="167" t="n">
        <v>4322.469354838713</v>
      </c>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c r="A17" s="1" t="inlineStr">
        <is>
          <t>2022-10</t>
        </is>
      </c>
      <c r="B17" s="160" t="n">
        <v>8.457831715043978</v>
      </c>
      <c r="C17" s="160" t="n">
        <v>8.426391756436736</v>
      </c>
      <c r="D17" s="160" t="n">
        <v>8.396978677110038</v>
      </c>
      <c r="E17" s="160" t="n">
        <v>0.06085303793394026</v>
      </c>
      <c r="F17" s="160" t="n">
        <v>0.02941307932669759</v>
      </c>
      <c r="G17" s="167" t="n">
        <v>4711.830322580648</v>
      </c>
      <c r="H17" s="167" t="n">
        <v>4565.995111400997</v>
      </c>
      <c r="I17" s="167" t="n">
        <v>4433.650999999996</v>
      </c>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c r="A18" s="1" t="inlineStr">
        <is>
          <t>2022-11</t>
        </is>
      </c>
      <c r="B18" s="160" t="n">
        <v>8.502416687971365</v>
      </c>
      <c r="C18" s="160" t="n">
        <v>8.418911192395665</v>
      </c>
      <c r="D18" s="160" t="n">
        <v>8.457831715043978</v>
      </c>
      <c r="E18" s="160" t="n">
        <v>0.04458497292738706</v>
      </c>
      <c r="F18" s="160" t="n">
        <v>-0.03892052264831317</v>
      </c>
      <c r="G18" s="167" t="n">
        <v>4926.660666666665</v>
      </c>
      <c r="H18" s="167" t="n">
        <v>4531.966328487972</v>
      </c>
      <c r="I18" s="167" t="n">
        <v>4711.830322580648</v>
      </c>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c r="A19" s="1" t="inlineStr">
        <is>
          <t>2022-12</t>
        </is>
      </c>
      <c r="B19" s="160" t="n">
        <v>8.473970535354521</v>
      </c>
      <c r="C19" s="160" t="n">
        <v>8.472660839275024</v>
      </c>
      <c r="D19" s="160" t="n">
        <v>8.502416687971365</v>
      </c>
      <c r="E19" s="160" t="n">
        <v>-0.02844615261684424</v>
      </c>
      <c r="F19" s="160" t="n">
        <v>-0.02975584869634199</v>
      </c>
      <c r="G19" s="167" t="n">
        <v>4788.490645161287</v>
      </c>
      <c r="H19" s="167" t="n">
        <v>4782.223282802434</v>
      </c>
      <c r="I19" s="167" t="n">
        <v>4926.660666666665</v>
      </c>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c r="A20" s="1" t="inlineStr">
        <is>
          <t>2023-01</t>
        </is>
      </c>
      <c r="B20" s="160" t="n">
        <v>8.458547432938246</v>
      </c>
      <c r="C20" s="160" t="n">
        <v>8.446567815161053</v>
      </c>
      <c r="D20" s="160" t="n">
        <v>8.473970535354521</v>
      </c>
      <c r="E20" s="160" t="n">
        <v>-0.01542310241627476</v>
      </c>
      <c r="F20" s="160" t="n">
        <v>-0.02740272019346804</v>
      </c>
      <c r="G20" s="167" t="n">
        <v>4715.203870967738</v>
      </c>
      <c r="H20" s="167" t="n">
        <v>4659.05452619996</v>
      </c>
      <c r="I20" s="167" t="n">
        <v>4788.490645161287</v>
      </c>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c r="A21" s="1" t="inlineStr">
        <is>
          <t>2023-02</t>
        </is>
      </c>
      <c r="B21" s="160" t="n">
        <v>8.477019424251225</v>
      </c>
      <c r="C21" s="160" t="n">
        <v>8.461603068830314</v>
      </c>
      <c r="D21" s="160" t="n">
        <v>8.458547432938246</v>
      </c>
      <c r="E21" s="160" t="n">
        <v>0.01847199131297828</v>
      </c>
      <c r="F21" s="160" t="n">
        <v>0.003055635892068085</v>
      </c>
      <c r="G21" s="167" t="n">
        <v>4803.112499999996</v>
      </c>
      <c r="H21" s="167" t="n">
        <v>4729.633852311122</v>
      </c>
      <c r="I21" s="167" t="n">
        <v>4715.203870967738</v>
      </c>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c r="A22" s="1" t="inlineStr">
        <is>
          <t>2023-03</t>
        </is>
      </c>
      <c r="B22" s="160" t="n">
        <v>8.469326819773904</v>
      </c>
      <c r="C22" s="160" t="n">
        <v>8.49174326604766</v>
      </c>
      <c r="D22" s="160" t="n">
        <v>8.477019424251225</v>
      </c>
      <c r="E22" s="160" t="n">
        <v>-0.007692604477320231</v>
      </c>
      <c r="F22" s="160" t="n">
        <v>0.01472384179643514</v>
      </c>
      <c r="G22" s="167" t="n">
        <v>4766.305806451614</v>
      </c>
      <c r="H22" s="167" t="n">
        <v>4874.355970296295</v>
      </c>
      <c r="I22" s="167" t="n">
        <v>4803.112499999996</v>
      </c>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c r="A23" s="1" t="inlineStr">
        <is>
          <t>2023-04</t>
        </is>
      </c>
      <c r="B23" s="160" t="n">
        <v>8.421271177813114</v>
      </c>
      <c r="C23" s="160" t="n">
        <v>8.44967194854569</v>
      </c>
      <c r="D23" s="160" t="n">
        <v>8.469326819773904</v>
      </c>
      <c r="E23" s="160" t="n">
        <v>-0.04805564196079004</v>
      </c>
      <c r="F23" s="160" t="n">
        <v>-0.01965487122821465</v>
      </c>
      <c r="G23" s="167" t="n">
        <v>4542.674333333336</v>
      </c>
      <c r="H23" s="167" t="n">
        <v>4673.539322634813</v>
      </c>
      <c r="I23" s="167" t="n">
        <v>4766.305806451614</v>
      </c>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c r="A24" s="1" t="inlineStr">
        <is>
          <t>2023-05</t>
        </is>
      </c>
      <c r="B24" s="160" t="n">
        <v>8.420701901472638</v>
      </c>
      <c r="C24" s="160" t="n">
        <v>8.425814010691314</v>
      </c>
      <c r="D24" s="160" t="n">
        <v>8.421271177813114</v>
      </c>
      <c r="E24" s="160" t="n">
        <v>-0.0005692763404763213</v>
      </c>
      <c r="F24" s="160" t="n">
        <v>0.004542832878199099</v>
      </c>
      <c r="G24" s="167" t="n">
        <v>4540.089032258067</v>
      </c>
      <c r="H24" s="167" t="n">
        <v>4563.357889047119</v>
      </c>
      <c r="I24" s="167" t="n">
        <v>4542.674333333336</v>
      </c>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c r="A25" s="1" t="inlineStr">
        <is>
          <t>2023-06</t>
        </is>
      </c>
      <c r="B25" s="160" t="n">
        <v>8.345044039825018</v>
      </c>
      <c r="C25" s="160" t="n">
        <v>8.412354062206363</v>
      </c>
      <c r="D25" s="160" t="n">
        <v>8.420701901472638</v>
      </c>
      <c r="E25" s="160" t="n">
        <v>-0.07565786164762045</v>
      </c>
      <c r="F25" s="160" t="n">
        <v>-0.008347839266274484</v>
      </c>
      <c r="G25" s="167" t="n">
        <v>4209.267999999998</v>
      </c>
      <c r="H25" s="167" t="n">
        <v>4502.346850770714</v>
      </c>
      <c r="I25" s="167" t="n">
        <v>4540.089032258067</v>
      </c>
      <c r="J25" s="1" t="n"/>
      <c r="K25" s="62" t="inlineStr">
        <is>
          <t>Mes</t>
        </is>
      </c>
      <c r="L25" s="62" t="inlineStr">
        <is>
          <t>TRM observada</t>
        </is>
      </c>
      <c r="M25" s="62" t="inlineStr">
        <is>
          <t>Modelo principal condicional</t>
        </is>
      </c>
      <c r="N25" s="62" t="inlineStr">
        <is>
          <t>Modelo ampliado condicional</t>
        </is>
      </c>
      <c r="O25" s="62" t="inlineStr">
        <is>
          <t>Caminata aleatoria</t>
        </is>
      </c>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c r="A26" s="1" t="inlineStr">
        <is>
          <t>2023-07</t>
        </is>
      </c>
      <c r="B26" s="160" t="n">
        <v>8.311209943353095</v>
      </c>
      <c r="C26" s="160" t="n">
        <v>8.329131295447224</v>
      </c>
      <c r="D26" s="160" t="n">
        <v>8.345044039825018</v>
      </c>
      <c r="E26" s="160" t="n">
        <v>-0.03383409647192259</v>
      </c>
      <c r="F26" s="160" t="n">
        <v>-0.01591274437779252</v>
      </c>
      <c r="G26" s="167" t="n">
        <v>4069.233548387099</v>
      </c>
      <c r="H26" s="167" t="n">
        <v>4142.817104548313</v>
      </c>
      <c r="I26" s="167" t="n">
        <v>4209.267999999998</v>
      </c>
      <c r="J26" s="1" t="n"/>
      <c r="K26" s="1">
        <f>A12</f>
        <v/>
      </c>
      <c r="L26" s="168">
        <f>G12</f>
        <v/>
      </c>
      <c r="M26" s="168">
        <f>H12</f>
        <v/>
      </c>
      <c r="N26" s="168">
        <f>H63</f>
        <v/>
      </c>
      <c r="O26" s="168">
        <f>I12</f>
        <v/>
      </c>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c r="A27" s="1" t="inlineStr">
        <is>
          <t>2023-08</t>
        </is>
      </c>
      <c r="B27" s="160" t="n">
        <v>8.311576434873045</v>
      </c>
      <c r="C27" s="160" t="n">
        <v>8.326846437973661</v>
      </c>
      <c r="D27" s="160" t="n">
        <v>8.311209943353095</v>
      </c>
      <c r="E27" s="160" t="n">
        <v>0.0003664915199497187</v>
      </c>
      <c r="F27" s="160" t="n">
        <v>0.01563649462056546</v>
      </c>
      <c r="G27" s="167" t="n">
        <v>4070.725161290322</v>
      </c>
      <c r="H27" s="167" t="n">
        <v>4133.362163634933</v>
      </c>
      <c r="I27" s="167" t="n">
        <v>4069.233548387099</v>
      </c>
      <c r="J27" s="1" t="n"/>
      <c r="K27" s="1">
        <f>A13</f>
        <v/>
      </c>
      <c r="L27" s="168">
        <f>G13</f>
        <v/>
      </c>
      <c r="M27" s="168">
        <f>H13</f>
        <v/>
      </c>
      <c r="N27" s="168">
        <f>H64</f>
        <v/>
      </c>
      <c r="O27" s="168">
        <f>I13</f>
        <v/>
      </c>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c r="A28" s="1" t="inlineStr">
        <is>
          <t>2023-09</t>
        </is>
      </c>
      <c r="B28" s="160" t="n">
        <v>8.295179168611119</v>
      </c>
      <c r="C28" s="160" t="n">
        <v>8.333688880674108</v>
      </c>
      <c r="D28" s="160" t="n">
        <v>8.311576434873045</v>
      </c>
      <c r="E28" s="160" t="n">
        <v>-0.01639726626192584</v>
      </c>
      <c r="F28" s="160" t="n">
        <v>0.02211244580106391</v>
      </c>
      <c r="G28" s="167" t="n">
        <v>4004.52066666667</v>
      </c>
      <c r="H28" s="167" t="n">
        <v>4161.741438456656</v>
      </c>
      <c r="I28" s="167" t="n">
        <v>4070.725161290322</v>
      </c>
      <c r="J28" s="1" t="n"/>
      <c r="K28" s="1">
        <f>A14</f>
        <v/>
      </c>
      <c r="L28" s="168">
        <f>G14</f>
        <v/>
      </c>
      <c r="M28" s="168">
        <f>H14</f>
        <v/>
      </c>
      <c r="N28" s="168">
        <f>H65</f>
        <v/>
      </c>
      <c r="O28" s="168">
        <f>I14</f>
        <v/>
      </c>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c r="A29" s="1" t="inlineStr">
        <is>
          <t>2023-10</t>
        </is>
      </c>
      <c r="B29" s="160" t="n">
        <v>8.348166834656725</v>
      </c>
      <c r="C29" s="160" t="n">
        <v>8.32935750001953</v>
      </c>
      <c r="D29" s="160" t="n">
        <v>8.295179168611119</v>
      </c>
      <c r="E29" s="160" t="n">
        <v>0.05298766604560612</v>
      </c>
      <c r="F29" s="160" t="n">
        <v>0.03417833140841137</v>
      </c>
      <c r="G29" s="167" t="n">
        <v>4222.433225806451</v>
      </c>
      <c r="H29" s="167" t="n">
        <v>4143.754334718466</v>
      </c>
      <c r="I29" s="167" t="n">
        <v>4004.52066666667</v>
      </c>
      <c r="J29" s="1" t="n"/>
      <c r="K29" s="1">
        <f>A15</f>
        <v/>
      </c>
      <c r="L29" s="168">
        <f>G15</f>
        <v/>
      </c>
      <c r="M29" s="168">
        <f>H15</f>
        <v/>
      </c>
      <c r="N29" s="168">
        <f>H66</f>
        <v/>
      </c>
      <c r="O29" s="168">
        <f>I15</f>
        <v/>
      </c>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c r="A30" s="1" t="inlineStr">
        <is>
          <t>2023-11</t>
        </is>
      </c>
      <c r="B30" s="160" t="n">
        <v>8.303704052588216</v>
      </c>
      <c r="C30" s="160" t="n">
        <v>8.322828558887894</v>
      </c>
      <c r="D30" s="160" t="n">
        <v>8.348166834656725</v>
      </c>
      <c r="E30" s="160" t="n">
        <v>-0.04446278206850884</v>
      </c>
      <c r="F30" s="160" t="n">
        <v>-0.02533827576883153</v>
      </c>
      <c r="G30" s="167" t="n">
        <v>4038.804666666669</v>
      </c>
      <c r="H30" s="167" t="n">
        <v>4116.788132766456</v>
      </c>
      <c r="I30" s="167" t="n">
        <v>4222.433225806451</v>
      </c>
      <c r="J30" s="1" t="n"/>
      <c r="K30" s="1">
        <f>A16</f>
        <v/>
      </c>
      <c r="L30" s="168">
        <f>G16</f>
        <v/>
      </c>
      <c r="M30" s="168">
        <f>H16</f>
        <v/>
      </c>
      <c r="N30" s="168">
        <f>H67</f>
        <v/>
      </c>
      <c r="O30" s="168">
        <f>I16</f>
        <v/>
      </c>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c r="A31" s="1" t="inlineStr">
        <is>
          <t>2023-12</t>
        </is>
      </c>
      <c r="B31" s="160" t="n">
        <v>8.281016773597672</v>
      </c>
      <c r="C31" s="160" t="n">
        <v>8.285300368005171</v>
      </c>
      <c r="D31" s="160" t="n">
        <v>8.303704052588216</v>
      </c>
      <c r="E31" s="160" t="n">
        <v>-0.0226872789905439</v>
      </c>
      <c r="F31" s="160" t="n">
        <v>-0.01840368458304466</v>
      </c>
      <c r="G31" s="167" t="n">
        <v>3948.206774193547</v>
      </c>
      <c r="H31" s="167" t="n">
        <v>3965.155565608827</v>
      </c>
      <c r="I31" s="167" t="n">
        <v>4038.804666666669</v>
      </c>
      <c r="J31" s="1" t="n"/>
      <c r="K31" s="1">
        <f>A17</f>
        <v/>
      </c>
      <c r="L31" s="168">
        <f>G17</f>
        <v/>
      </c>
      <c r="M31" s="168">
        <f>H17</f>
        <v/>
      </c>
      <c r="N31" s="168">
        <f>H68</f>
        <v/>
      </c>
      <c r="O31" s="168">
        <f>I17</f>
        <v/>
      </c>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c r="A32" s="1" t="inlineStr">
        <is>
          <t>2024-01</t>
        </is>
      </c>
      <c r="B32" s="160" t="n">
        <v>8.272621363120876</v>
      </c>
      <c r="C32" s="160" t="n">
        <v>8.288664382430355</v>
      </c>
      <c r="D32" s="160" t="n">
        <v>8.281016773597672</v>
      </c>
      <c r="E32" s="160" t="n">
        <v>-0.008395410476795817</v>
      </c>
      <c r="F32" s="160" t="n">
        <v>0.00764760883268332</v>
      </c>
      <c r="G32" s="167" t="n">
        <v>3915.198709677416</v>
      </c>
      <c r="H32" s="167" t="n">
        <v>3978.516867335142</v>
      </c>
      <c r="I32" s="167" t="n">
        <v>3948.206774193547</v>
      </c>
      <c r="J32" s="1" t="n"/>
      <c r="K32" s="1">
        <f>A18</f>
        <v/>
      </c>
      <c r="L32" s="168">
        <f>G18</f>
        <v/>
      </c>
      <c r="M32" s="168">
        <f>H18</f>
        <v/>
      </c>
      <c r="N32" s="168">
        <f>H69</f>
        <v/>
      </c>
      <c r="O32" s="168">
        <f>I18</f>
        <v/>
      </c>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1" t="inlineStr">
        <is>
          <t>2024-02</t>
        </is>
      </c>
      <c r="B33" s="160" t="n">
        <v>8.276760699123423</v>
      </c>
      <c r="C33" s="160" t="n">
        <v>8.288761459091475</v>
      </c>
      <c r="D33" s="160" t="n">
        <v>8.272621363120876</v>
      </c>
      <c r="E33" s="160" t="n">
        <v>0.004139336002547012</v>
      </c>
      <c r="F33" s="160" t="n">
        <v>0.01614009597059915</v>
      </c>
      <c r="G33" s="167" t="n">
        <v>3931.438620689657</v>
      </c>
      <c r="H33" s="167" t="n">
        <v>3978.90310721597</v>
      </c>
      <c r="I33" s="167" t="n">
        <v>3915.198709677416</v>
      </c>
      <c r="J33" s="1" t="n"/>
      <c r="K33" s="1">
        <f>A19</f>
        <v/>
      </c>
      <c r="L33" s="168">
        <f>G19</f>
        <v/>
      </c>
      <c r="M33" s="168">
        <f>H19</f>
        <v/>
      </c>
      <c r="N33" s="168">
        <f>H70</f>
        <v/>
      </c>
      <c r="O33" s="168">
        <f>I19</f>
        <v/>
      </c>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1" t="inlineStr">
        <is>
          <t>2024-03</t>
        </is>
      </c>
      <c r="B34" s="160" t="n">
        <v>8.268562917935254</v>
      </c>
      <c r="C34" s="160" t="n">
        <v>8.27607327571361</v>
      </c>
      <c r="D34" s="160" t="n">
        <v>8.276760699123423</v>
      </c>
      <c r="E34" s="160" t="n">
        <v>-0.008197781188169273</v>
      </c>
      <c r="F34" s="160" t="n">
        <v>-0.0006874234098126347</v>
      </c>
      <c r="G34" s="167" t="n">
        <v>3899.341290322584</v>
      </c>
      <c r="H34" s="167" t="n">
        <v>3928.736986437254</v>
      </c>
      <c r="I34" s="167" t="n">
        <v>3931.438620689657</v>
      </c>
      <c r="J34" s="1" t="n"/>
      <c r="K34" s="1">
        <f>A20</f>
        <v/>
      </c>
      <c r="L34" s="168">
        <f>G20</f>
        <v/>
      </c>
      <c r="M34" s="168">
        <f>H20</f>
        <v/>
      </c>
      <c r="N34" s="168">
        <f>H71</f>
        <v/>
      </c>
      <c r="O34" s="168">
        <f>I20</f>
        <v/>
      </c>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1" t="inlineStr">
        <is>
          <t>2024-04</t>
        </is>
      </c>
      <c r="B35" s="160" t="n">
        <v>8.260486479441511</v>
      </c>
      <c r="C35" s="160" t="n">
        <v>8.289426608025536</v>
      </c>
      <c r="D35" s="160" t="n">
        <v>8.268562917935254</v>
      </c>
      <c r="E35" s="160" t="n">
        <v>-0.00807643849374351</v>
      </c>
      <c r="F35" s="160" t="n">
        <v>0.02086369009028234</v>
      </c>
      <c r="G35" s="167" t="n">
        <v>3867.975333333336</v>
      </c>
      <c r="H35" s="167" t="n">
        <v>3981.550550750982</v>
      </c>
      <c r="I35" s="167" t="n">
        <v>3899.341290322584</v>
      </c>
      <c r="J35" s="1" t="n"/>
      <c r="K35" s="1">
        <f>A21</f>
        <v/>
      </c>
      <c r="L35" s="168">
        <f>G21</f>
        <v/>
      </c>
      <c r="M35" s="168">
        <f>H21</f>
        <v/>
      </c>
      <c r="N35" s="168">
        <f>H72</f>
        <v/>
      </c>
      <c r="O35" s="168">
        <f>I21</f>
        <v/>
      </c>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1" t="inlineStr">
        <is>
          <t>2024-05</t>
        </is>
      </c>
      <c r="B36" s="160" t="n">
        <v>8.260777367585563</v>
      </c>
      <c r="C36" s="160" t="n">
        <v>8.267608564819547</v>
      </c>
      <c r="D36" s="160" t="n">
        <v>8.260486479441511</v>
      </c>
      <c r="E36" s="160" t="n">
        <v>0.0002908881440522038</v>
      </c>
      <c r="F36" s="160" t="n">
        <v>0.007122085378035476</v>
      </c>
      <c r="G36" s="167" t="n">
        <v>3869.100645161288</v>
      </c>
      <c r="H36" s="167" t="n">
        <v>3895.62171698847</v>
      </c>
      <c r="I36" s="167" t="n">
        <v>3867.975333333336</v>
      </c>
      <c r="J36" s="1" t="n"/>
      <c r="K36" s="1">
        <f>A22</f>
        <v/>
      </c>
      <c r="L36" s="168">
        <f>G22</f>
        <v/>
      </c>
      <c r="M36" s="168">
        <f>H22</f>
        <v/>
      </c>
      <c r="N36" s="168">
        <f>H73</f>
        <v/>
      </c>
      <c r="O36" s="168">
        <f>I22</f>
        <v/>
      </c>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c r="A37" s="1" t="inlineStr">
        <is>
          <t>2024-06</t>
        </is>
      </c>
      <c r="B37" s="160" t="n">
        <v>8.304692058140274</v>
      </c>
      <c r="C37" s="160" t="n">
        <v>8.282053780063976</v>
      </c>
      <c r="D37" s="160" t="n">
        <v>8.260777367585563</v>
      </c>
      <c r="E37" s="160" t="n">
        <v>0.0439146905547112</v>
      </c>
      <c r="F37" s="160" t="n">
        <v>0.02127641247841283</v>
      </c>
      <c r="G37" s="167" t="n">
        <v>4042.797000000001</v>
      </c>
      <c r="H37" s="167" t="n">
        <v>3952.303213798764</v>
      </c>
      <c r="I37" s="167" t="n">
        <v>3869.100645161288</v>
      </c>
      <c r="J37" s="1" t="n"/>
      <c r="K37" s="1">
        <f>A23</f>
        <v/>
      </c>
      <c r="L37" s="168">
        <f>G23</f>
        <v/>
      </c>
      <c r="M37" s="168">
        <f>H23</f>
        <v/>
      </c>
      <c r="N37" s="168">
        <f>H74</f>
        <v/>
      </c>
      <c r="O37" s="168">
        <f>I23</f>
        <v/>
      </c>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c r="A38" s="1" t="inlineStr">
        <is>
          <t>2024-07</t>
        </is>
      </c>
      <c r="B38" s="160" t="n">
        <v>8.30323778340659</v>
      </c>
      <c r="C38" s="160" t="n">
        <v>8.314992262940725</v>
      </c>
      <c r="D38" s="160" t="n">
        <v>8.304692058140274</v>
      </c>
      <c r="E38" s="160" t="n">
        <v>-0.001454274733683647</v>
      </c>
      <c r="F38" s="160" t="n">
        <v>0.0103002048004506</v>
      </c>
      <c r="G38" s="167" t="n">
        <v>4036.92193548387</v>
      </c>
      <c r="H38" s="167" t="n">
        <v>4084.653833984466</v>
      </c>
      <c r="I38" s="167" t="n">
        <v>4042.797000000001</v>
      </c>
      <c r="J38" s="1" t="n"/>
      <c r="K38" s="1">
        <f>A24</f>
        <v/>
      </c>
      <c r="L38" s="168">
        <f>G24</f>
        <v/>
      </c>
      <c r="M38" s="168">
        <f>H24</f>
        <v/>
      </c>
      <c r="N38" s="168">
        <f>H75</f>
        <v/>
      </c>
      <c r="O38" s="168">
        <f>I24</f>
        <v/>
      </c>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1" t="inlineStr">
        <is>
          <t>2024-08</t>
        </is>
      </c>
      <c r="B39" s="160" t="n">
        <v>8.310303441388276</v>
      </c>
      <c r="C39" s="160" t="n">
        <v>8.317046051843066</v>
      </c>
      <c r="D39" s="160" t="n">
        <v>8.30323778340659</v>
      </c>
      <c r="E39" s="160" t="n">
        <v>0.007065657981685902</v>
      </c>
      <c r="F39" s="160" t="n">
        <v>0.01380826843647626</v>
      </c>
      <c r="G39" s="167" t="n">
        <v>4065.546451612903</v>
      </c>
      <c r="H39" s="167" t="n">
        <v>4093.051471233898</v>
      </c>
      <c r="I39" s="167" t="n">
        <v>4036.92193548387</v>
      </c>
      <c r="J39" s="1" t="n"/>
      <c r="K39" s="1">
        <f>A25</f>
        <v/>
      </c>
      <c r="L39" s="168">
        <f>G25</f>
        <v/>
      </c>
      <c r="M39" s="168">
        <f>H25</f>
        <v/>
      </c>
      <c r="N39" s="168">
        <f>H76</f>
        <v/>
      </c>
      <c r="O39" s="168">
        <f>I25</f>
        <v/>
      </c>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1" t="inlineStr">
        <is>
          <t>2024-09</t>
        </is>
      </c>
      <c r="B40" s="160" t="n">
        <v>8.338667381651211</v>
      </c>
      <c r="C40" s="160" t="n">
        <v>8.309955809483355</v>
      </c>
      <c r="D40" s="160" t="n">
        <v>8.310303441388276</v>
      </c>
      <c r="E40" s="160" t="n">
        <v>0.02836394026293476</v>
      </c>
      <c r="F40" s="160" t="n">
        <v>-0.0003476319049209387</v>
      </c>
      <c r="G40" s="167" t="n">
        <v>4182.512333333329</v>
      </c>
      <c r="H40" s="167" t="n">
        <v>4064.133383583381</v>
      </c>
      <c r="I40" s="167" t="n">
        <v>4065.546451612903</v>
      </c>
      <c r="J40" s="1" t="n"/>
      <c r="K40" s="1">
        <f>A26</f>
        <v/>
      </c>
      <c r="L40" s="168">
        <f>G26</f>
        <v/>
      </c>
      <c r="M40" s="168">
        <f>H26</f>
        <v/>
      </c>
      <c r="N40" s="168">
        <f>H77</f>
        <v/>
      </c>
      <c r="O40" s="168">
        <f>I26</f>
        <v/>
      </c>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1" t="inlineStr">
        <is>
          <t>2024-10</t>
        </is>
      </c>
      <c r="B41" s="160" t="n">
        <v>8.354549548259685</v>
      </c>
      <c r="C41" s="160" t="n">
        <v>8.360503885989838</v>
      </c>
      <c r="D41" s="160" t="n">
        <v>8.338667381651211</v>
      </c>
      <c r="E41" s="160" t="n">
        <v>0.01588216660847408</v>
      </c>
      <c r="F41" s="160" t="n">
        <v>0.02183650433862689</v>
      </c>
      <c r="G41" s="167" t="n">
        <v>4249.470000000003</v>
      </c>
      <c r="H41" s="167" t="n">
        <v>4274.848259939178</v>
      </c>
      <c r="I41" s="167" t="n">
        <v>4182.512333333329</v>
      </c>
      <c r="J41" s="1" t="n"/>
      <c r="K41" s="1">
        <f>A27</f>
        <v/>
      </c>
      <c r="L41" s="168">
        <f>G27</f>
        <v/>
      </c>
      <c r="M41" s="168">
        <f>H27</f>
        <v/>
      </c>
      <c r="N41" s="168">
        <f>H78</f>
        <v/>
      </c>
      <c r="O41" s="168">
        <f>I27</f>
        <v/>
      </c>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1" t="inlineStr">
        <is>
          <t>2024-11</t>
        </is>
      </c>
      <c r="B42" s="160" t="n">
        <v>8.391324328389279</v>
      </c>
      <c r="C42" s="160" t="n">
        <v>8.380150156673094</v>
      </c>
      <c r="D42" s="160" t="n">
        <v>8.354549548259685</v>
      </c>
      <c r="E42" s="160" t="n">
        <v>0.03677478012959412</v>
      </c>
      <c r="F42" s="160" t="n">
        <v>0.02560060841340867</v>
      </c>
      <c r="G42" s="167" t="n">
        <v>4408.652333333335</v>
      </c>
      <c r="H42" s="167" t="n">
        <v>4359.663509624138</v>
      </c>
      <c r="I42" s="167" t="n">
        <v>4249.470000000003</v>
      </c>
      <c r="J42" s="1" t="n"/>
      <c r="K42" s="1">
        <f>A28</f>
        <v/>
      </c>
      <c r="L42" s="168">
        <f>G28</f>
        <v/>
      </c>
      <c r="M42" s="168">
        <f>H28</f>
        <v/>
      </c>
      <c r="N42" s="168">
        <f>H79</f>
        <v/>
      </c>
      <c r="O42" s="168">
        <f>I28</f>
        <v/>
      </c>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1" t="inlineStr">
        <is>
          <t>2024-12</t>
        </is>
      </c>
      <c r="B43" s="160" t="n">
        <v>8.385978817498613</v>
      </c>
      <c r="C43" s="160" t="n">
        <v>8.40957150919964</v>
      </c>
      <c r="D43" s="160" t="n">
        <v>8.391324328389279</v>
      </c>
      <c r="E43" s="160" t="n">
        <v>-0.005345510890666816</v>
      </c>
      <c r="F43" s="160" t="n">
        <v>0.01824718081036048</v>
      </c>
      <c r="G43" s="167" t="n">
        <v>4385.148709677422</v>
      </c>
      <c r="H43" s="167" t="n">
        <v>4489.836245786601</v>
      </c>
      <c r="I43" s="167" t="n">
        <v>4408.652333333335</v>
      </c>
      <c r="J43" s="1" t="n"/>
      <c r="K43" s="1">
        <f>A29</f>
        <v/>
      </c>
      <c r="L43" s="168">
        <f>G29</f>
        <v/>
      </c>
      <c r="M43" s="168">
        <f>H29</f>
        <v/>
      </c>
      <c r="N43" s="168">
        <f>H80</f>
        <v/>
      </c>
      <c r="O43" s="168">
        <f>I29</f>
        <v/>
      </c>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1" t="inlineStr">
        <is>
          <t>2025-01</t>
        </is>
      </c>
      <c r="B44" s="160" t="n">
        <v>8.368128619899991</v>
      </c>
      <c r="C44" s="160" t="n">
        <v>8.400728617601439</v>
      </c>
      <c r="D44" s="160" t="n">
        <v>8.385978817498613</v>
      </c>
      <c r="E44" s="160" t="n">
        <v>-0.01785019759862116</v>
      </c>
      <c r="F44" s="160" t="n">
        <v>0.01474980010282594</v>
      </c>
      <c r="G44" s="167" t="n">
        <v>4307.567419354838</v>
      </c>
      <c r="H44" s="167" t="n">
        <v>4450.308139531176</v>
      </c>
      <c r="I44" s="167" t="n">
        <v>4385.148709677422</v>
      </c>
      <c r="J44" s="1" t="n"/>
      <c r="K44" s="1">
        <f>A30</f>
        <v/>
      </c>
      <c r="L44" s="168">
        <f>G30</f>
        <v/>
      </c>
      <c r="M44" s="168">
        <f>H30</f>
        <v/>
      </c>
      <c r="N44" s="168">
        <f>H81</f>
        <v/>
      </c>
      <c r="O44" s="168">
        <f>I30</f>
        <v/>
      </c>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1" t="inlineStr">
        <is>
          <t>2025-02</t>
        </is>
      </c>
      <c r="B45" s="160" t="n">
        <v>8.325537146384832</v>
      </c>
      <c r="C45" s="160" t="n">
        <v>8.362075685296945</v>
      </c>
      <c r="D45" s="160" t="n">
        <v>8.368128619899991</v>
      </c>
      <c r="E45" s="160" t="n">
        <v>-0.04259147351515935</v>
      </c>
      <c r="F45" s="160" t="n">
        <v>-0.006052934603045792</v>
      </c>
      <c r="G45" s="167" t="n">
        <v>4127.95392857143</v>
      </c>
      <c r="H45" s="167" t="n">
        <v>4281.572746859649</v>
      </c>
      <c r="I45" s="167" t="n">
        <v>4307.567419354838</v>
      </c>
      <c r="J45" s="1" t="n"/>
      <c r="K45" s="1">
        <f>A31</f>
        <v/>
      </c>
      <c r="L45" s="168">
        <f>G31</f>
        <v/>
      </c>
      <c r="M45" s="168">
        <f>H31</f>
        <v/>
      </c>
      <c r="N45" s="168">
        <f>H82</f>
        <v/>
      </c>
      <c r="O45" s="168">
        <f>I31</f>
        <v/>
      </c>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1" t="inlineStr">
        <is>
          <t>2025-03</t>
        </is>
      </c>
      <c r="B46" s="160" t="n">
        <v>8.327891614734215</v>
      </c>
      <c r="C46" s="160" t="n">
        <v>8.321748390029096</v>
      </c>
      <c r="D46" s="160" t="n">
        <v>8.325537146384832</v>
      </c>
      <c r="E46" s="160" t="n">
        <v>0.002354468349382799</v>
      </c>
      <c r="F46" s="160" t="n">
        <v>-0.003788756355735008</v>
      </c>
      <c r="G46" s="167" t="n">
        <v>4137.684516129031</v>
      </c>
      <c r="H46" s="167" t="n">
        <v>4112.343707224342</v>
      </c>
      <c r="I46" s="167" t="n">
        <v>4127.95392857143</v>
      </c>
      <c r="J46" s="1" t="n"/>
      <c r="K46" s="1">
        <f>A32</f>
        <v/>
      </c>
      <c r="L46" s="168">
        <f>G32</f>
        <v/>
      </c>
      <c r="M46" s="168">
        <f>H32</f>
        <v/>
      </c>
      <c r="N46" s="168">
        <f>H83</f>
        <v/>
      </c>
      <c r="O46" s="168">
        <f>I32</f>
        <v/>
      </c>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1" t="inlineStr">
        <is>
          <t>2025-04</t>
        </is>
      </c>
      <c r="B47" s="160" t="n">
        <v>8.361768567132886</v>
      </c>
      <c r="C47" s="160" t="n">
        <v>8.326289168306781</v>
      </c>
      <c r="D47" s="160" t="n">
        <v>8.327891614734215</v>
      </c>
      <c r="E47" s="160" t="n">
        <v>0.03387695239867128</v>
      </c>
      <c r="F47" s="160" t="n">
        <v>-0.001602446427433755</v>
      </c>
      <c r="G47" s="167" t="n">
        <v>4280.258000000003</v>
      </c>
      <c r="H47" s="167" t="n">
        <v>4131.059407966447</v>
      </c>
      <c r="I47" s="167" t="n">
        <v>4137.684516129031</v>
      </c>
      <c r="J47" s="1" t="n"/>
      <c r="K47" s="1">
        <f>A33</f>
        <v/>
      </c>
      <c r="L47" s="168">
        <f>G33</f>
        <v/>
      </c>
      <c r="M47" s="168">
        <f>H33</f>
        <v/>
      </c>
      <c r="N47" s="168">
        <f>H84</f>
        <v/>
      </c>
      <c r="O47" s="168">
        <f>I33</f>
        <v/>
      </c>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1" t="inlineStr">
        <is>
          <t>2025-05</t>
        </is>
      </c>
      <c r="B48" s="160" t="n">
        <v>8.34364355184035</v>
      </c>
      <c r="C48" s="160" t="n">
        <v>8.329967479439325</v>
      </c>
      <c r="D48" s="160" t="n">
        <v>8.361768567132886</v>
      </c>
      <c r="E48" s="160" t="n">
        <v>-0.01812501529253652</v>
      </c>
      <c r="F48" s="160" t="n">
        <v>-0.03180108769356009</v>
      </c>
      <c r="G48" s="167" t="n">
        <v>4203.377096774196</v>
      </c>
      <c r="H48" s="167" t="n">
        <v>4146.282710633574</v>
      </c>
      <c r="I48" s="167" t="n">
        <v>4280.258000000003</v>
      </c>
      <c r="J48" s="1" t="n"/>
      <c r="K48" s="1">
        <f>A34</f>
        <v/>
      </c>
      <c r="L48" s="168">
        <f>G34</f>
        <v/>
      </c>
      <c r="M48" s="168">
        <f>H34</f>
        <v/>
      </c>
      <c r="N48" s="168">
        <f>H85</f>
        <v/>
      </c>
      <c r="O48" s="168">
        <f>I34</f>
        <v/>
      </c>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1" t="inlineStr">
        <is>
          <t>2025-06</t>
        </is>
      </c>
      <c r="B49" s="160" t="n">
        <v>8.322025880072617</v>
      </c>
      <c r="C49" s="160" t="n">
        <v>8.322422609530612</v>
      </c>
      <c r="D49" s="160" t="n">
        <v>8.34364355184035</v>
      </c>
      <c r="E49" s="160" t="n">
        <v>-0.02161767176773211</v>
      </c>
      <c r="F49" s="160" t="n">
        <v>-0.02122094230973714</v>
      </c>
      <c r="G49" s="167" t="n">
        <v>4113.485000000001</v>
      </c>
      <c r="H49" s="167" t="n">
        <v>4115.117264436804</v>
      </c>
      <c r="I49" s="167" t="n">
        <v>4203.377096774196</v>
      </c>
      <c r="J49" s="1" t="n"/>
      <c r="K49" s="1">
        <f>A35</f>
        <v/>
      </c>
      <c r="L49" s="168">
        <f>G35</f>
        <v/>
      </c>
      <c r="M49" s="168">
        <f>H35</f>
        <v/>
      </c>
      <c r="N49" s="168">
        <f>H86</f>
        <v/>
      </c>
      <c r="O49" s="168">
        <f>I35</f>
        <v/>
      </c>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1" t="inlineStr">
        <is>
          <t>2025-07</t>
        </is>
      </c>
      <c r="B50" s="160" t="n">
        <v>8.304209945715085</v>
      </c>
      <c r="C50" s="160" t="n">
        <v>8.312485846718188</v>
      </c>
      <c r="D50" s="160" t="n">
        <v>8.322025880072617</v>
      </c>
      <c r="E50" s="160" t="n">
        <v>-0.01781593435753237</v>
      </c>
      <c r="F50" s="160" t="n">
        <v>-0.009540033354430415</v>
      </c>
      <c r="G50" s="167" t="n">
        <v>4040.848387096774</v>
      </c>
      <c r="H50" s="167" t="n">
        <v>4074.428810786429</v>
      </c>
      <c r="I50" s="167" t="n">
        <v>4113.485000000001</v>
      </c>
      <c r="J50" s="1" t="n"/>
      <c r="K50" s="1">
        <f>A36</f>
        <v/>
      </c>
      <c r="L50" s="168">
        <f>G36</f>
        <v/>
      </c>
      <c r="M50" s="168">
        <f>H36</f>
        <v/>
      </c>
      <c r="N50" s="168">
        <f>H87</f>
        <v/>
      </c>
      <c r="O50" s="168">
        <f>I36</f>
        <v/>
      </c>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1" t="inlineStr">
        <is>
          <t>2025-08</t>
        </is>
      </c>
      <c r="B51" s="160" t="n">
        <v>8.305832847858927</v>
      </c>
      <c r="C51" s="160" t="n">
        <v>8.308795371292433</v>
      </c>
      <c r="D51" s="160" t="n">
        <v>8.304209945715085</v>
      </c>
      <c r="E51" s="160" t="n">
        <v>0.001622902143841642</v>
      </c>
      <c r="F51" s="160" t="n">
        <v>0.004585425577347443</v>
      </c>
      <c r="G51" s="167" t="n">
        <v>4047.411612903224</v>
      </c>
      <c r="H51" s="167" t="n">
        <v>4059.419943349031</v>
      </c>
      <c r="I51" s="167" t="n">
        <v>4040.848387096774</v>
      </c>
      <c r="J51" s="1" t="n"/>
      <c r="K51" s="1">
        <f>A37</f>
        <v/>
      </c>
      <c r="L51" s="168">
        <f>G37</f>
        <v/>
      </c>
      <c r="M51" s="168">
        <f>H37</f>
        <v/>
      </c>
      <c r="N51" s="168">
        <f>H88</f>
        <v/>
      </c>
      <c r="O51" s="168">
        <f>I37</f>
        <v/>
      </c>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1" t="inlineStr">
        <is>
          <t>2025-09</t>
        </is>
      </c>
      <c r="B52" s="160" t="n">
        <v>8.274411059349477</v>
      </c>
      <c r="C52" s="160" t="n">
        <v>8.299355006342036</v>
      </c>
      <c r="D52" s="160" t="n">
        <v>8.305832847858927</v>
      </c>
      <c r="E52" s="160" t="n">
        <v>-0.03142178850944966</v>
      </c>
      <c r="F52" s="160" t="n">
        <v>-0.006477841516889451</v>
      </c>
      <c r="G52" s="167" t="n">
        <v>3922.211999999997</v>
      </c>
      <c r="H52" s="167" t="n">
        <v>4021.277858467212</v>
      </c>
      <c r="I52" s="167" t="n">
        <v>4047.411612903224</v>
      </c>
      <c r="J52" s="1" t="n"/>
      <c r="K52" s="1">
        <f>A38</f>
        <v/>
      </c>
      <c r="L52" s="168">
        <f>G38</f>
        <v/>
      </c>
      <c r="M52" s="168">
        <f>H38</f>
        <v/>
      </c>
      <c r="N52" s="168">
        <f>H89</f>
        <v/>
      </c>
      <c r="O52" s="168">
        <f>I38</f>
        <v/>
      </c>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1" t="inlineStr">
        <is>
          <t>2025-10</t>
        </is>
      </c>
      <c r="B53" s="160" t="n">
        <v>8.263034824354826</v>
      </c>
      <c r="C53" s="160" t="n">
        <v>8.29069048448477</v>
      </c>
      <c r="D53" s="160" t="n">
        <v>8.274411059349477</v>
      </c>
      <c r="E53" s="160" t="n">
        <v>-0.01137623499465157</v>
      </c>
      <c r="F53" s="160" t="n">
        <v>0.01627942513529228</v>
      </c>
      <c r="G53" s="167" t="n">
        <v>3877.844838709676</v>
      </c>
      <c r="H53" s="167" t="n">
        <v>3986.585920135456</v>
      </c>
      <c r="I53" s="167" t="n">
        <v>3922.211999999997</v>
      </c>
      <c r="J53" s="1" t="n"/>
      <c r="K53" s="1">
        <f>A39</f>
        <v/>
      </c>
      <c r="L53" s="168">
        <f>G39</f>
        <v/>
      </c>
      <c r="M53" s="168">
        <f>H39</f>
        <v/>
      </c>
      <c r="N53" s="168">
        <f>H90</f>
        <v/>
      </c>
      <c r="O53" s="168">
        <f>I39</f>
        <v/>
      </c>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1" t="inlineStr">
        <is>
          <t>2025-11</t>
        </is>
      </c>
      <c r="B54" s="160" t="n">
        <v>8.239113754615177</v>
      </c>
      <c r="C54" s="160" t="n">
        <v>8.272560845133215</v>
      </c>
      <c r="D54" s="160" t="n">
        <v>8.263034824354826</v>
      </c>
      <c r="E54" s="160" t="n">
        <v>-0.02392106973964836</v>
      </c>
      <c r="F54" s="160" t="n">
        <v>0.009526020778389221</v>
      </c>
      <c r="G54" s="167" t="n">
        <v>3786.183333333337</v>
      </c>
      <c r="H54" s="167" t="n">
        <v>3914.961776899633</v>
      </c>
      <c r="I54" s="167" t="n">
        <v>3877.844838709676</v>
      </c>
      <c r="J54" s="1" t="n"/>
      <c r="K54" s="1">
        <f>A40</f>
        <v/>
      </c>
      <c r="L54" s="168">
        <f>G40</f>
        <v/>
      </c>
      <c r="M54" s="168">
        <f>H40</f>
        <v/>
      </c>
      <c r="N54" s="168">
        <f>H91</f>
        <v/>
      </c>
      <c r="O54" s="168">
        <f>I40</f>
        <v/>
      </c>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1" t="inlineStr">
        <is>
          <t>2025-12</t>
        </is>
      </c>
      <c r="B55" s="160" t="n">
        <v>8.240509596157608</v>
      </c>
      <c r="C55" s="160" t="n">
        <v>8.215700766513118</v>
      </c>
      <c r="D55" s="160" t="n">
        <v>8.239113754615177</v>
      </c>
      <c r="E55" s="160" t="n">
        <v>0.001395841542430887</v>
      </c>
      <c r="F55" s="160" t="n">
        <v>-0.02341298810205856</v>
      </c>
      <c r="G55" s="167" t="n">
        <v>3791.471935483873</v>
      </c>
      <c r="H55" s="167" t="n">
        <v>3698.567148671552</v>
      </c>
      <c r="I55" s="167" t="n">
        <v>3786.183333333337</v>
      </c>
      <c r="J55" s="1" t="n"/>
      <c r="K55" s="1">
        <f>A41</f>
        <v/>
      </c>
      <c r="L55" s="168">
        <f>G41</f>
        <v/>
      </c>
      <c r="M55" s="168">
        <f>H41</f>
        <v/>
      </c>
      <c r="N55" s="168">
        <f>H92</f>
        <v/>
      </c>
      <c r="O55" s="168">
        <f>I41</f>
        <v/>
      </c>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1" t="inlineStr">
        <is>
          <t>2026-01</t>
        </is>
      </c>
      <c r="B56" s="160" t="n">
        <v>8.216898319573602</v>
      </c>
      <c r="C56" s="160" t="n">
        <v>8.229989323260465</v>
      </c>
      <c r="D56" s="160" t="n">
        <v>8.240509596157608</v>
      </c>
      <c r="E56" s="160" t="n">
        <v>-0.02361127658400619</v>
      </c>
      <c r="F56" s="160" t="n">
        <v>-0.01052027289714308</v>
      </c>
      <c r="G56" s="167" t="n">
        <v>3702.999032258066</v>
      </c>
      <c r="H56" s="167" t="n">
        <v>3751.793694952167</v>
      </c>
      <c r="I56" s="167" t="n">
        <v>3791.471935483873</v>
      </c>
      <c r="J56" s="1" t="n"/>
      <c r="K56" s="1">
        <f>A42</f>
        <v/>
      </c>
      <c r="L56" s="168">
        <f>G42</f>
        <v/>
      </c>
      <c r="M56" s="168">
        <f>H42</f>
        <v/>
      </c>
      <c r="N56" s="168">
        <f>H93</f>
        <v/>
      </c>
      <c r="O56" s="168">
        <f>I42</f>
        <v/>
      </c>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1" t="inlineStr">
        <is>
          <t>2026-02</t>
        </is>
      </c>
      <c r="B57" s="160" t="n">
        <v>8.209482934803669</v>
      </c>
      <c r="C57" s="160" t="n">
        <v>8.203156119630828</v>
      </c>
      <c r="D57" s="160" t="n">
        <v>8.216898319573602</v>
      </c>
      <c r="E57" s="160" t="n">
        <v>-0.007415384769933198</v>
      </c>
      <c r="F57" s="160" t="n">
        <v>-0.01374219994277375</v>
      </c>
      <c r="G57" s="167" t="n">
        <v>3675.64142857143</v>
      </c>
      <c r="H57" s="167" t="n">
        <v>3652.459735083758</v>
      </c>
      <c r="I57" s="167" t="n">
        <v>3702.999032258066</v>
      </c>
      <c r="J57" s="1" t="n"/>
      <c r="K57" s="1">
        <f>A43</f>
        <v/>
      </c>
      <c r="L57" s="168">
        <f>G43</f>
        <v/>
      </c>
      <c r="M57" s="168">
        <f>H43</f>
        <v/>
      </c>
      <c r="N57" s="168">
        <f>H94</f>
        <v/>
      </c>
      <c r="O57" s="168">
        <f>I43</f>
        <v/>
      </c>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1" t="inlineStr">
        <is>
          <t>2026-03</t>
        </is>
      </c>
      <c r="B58" s="160" t="n">
        <v>8.220822123905636</v>
      </c>
      <c r="C58" s="160" t="n">
        <v>8.227873725733454</v>
      </c>
      <c r="D58" s="160" t="n">
        <v>8.209482934803669</v>
      </c>
      <c r="E58" s="160" t="n">
        <v>0.01133918910196741</v>
      </c>
      <c r="F58" s="160" t="n">
        <v>0.01839079092978504</v>
      </c>
      <c r="G58" s="167" t="n">
        <v>3717.55741935484</v>
      </c>
      <c r="H58" s="167" t="n">
        <v>3743.864799622262</v>
      </c>
      <c r="I58" s="167" t="n">
        <v>3675.64142857143</v>
      </c>
      <c r="J58" s="1" t="n"/>
      <c r="K58" s="1">
        <f>A44</f>
        <v/>
      </c>
      <c r="L58" s="168">
        <f>G44</f>
        <v/>
      </c>
      <c r="M58" s="168">
        <f>H44</f>
        <v/>
      </c>
      <c r="N58" s="168">
        <f>H95</f>
        <v/>
      </c>
      <c r="O58" s="168">
        <f>I44</f>
        <v/>
      </c>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t="inlineStr">
        <is>
          <t>2026-04</t>
        </is>
      </c>
      <c r="B59" s="160" t="n">
        <v>8.193543618593685</v>
      </c>
      <c r="C59" s="160" t="n">
        <v>8.199560120708655</v>
      </c>
      <c r="D59" s="160" t="n">
        <v>8.220822123905636</v>
      </c>
      <c r="E59" s="160" t="n">
        <v>-0.02727850531195131</v>
      </c>
      <c r="F59" s="160" t="n">
        <v>-0.0212620031969813</v>
      </c>
      <c r="G59" s="167" t="n">
        <v>3617.518666666666</v>
      </c>
      <c r="H59" s="167" t="n">
        <v>3639.34908089034</v>
      </c>
      <c r="I59" s="167" t="n">
        <v>3717.55741935484</v>
      </c>
      <c r="J59" s="1" t="n"/>
      <c r="K59" s="1">
        <f>A45</f>
        <v/>
      </c>
      <c r="L59" s="168">
        <f>G45</f>
        <v/>
      </c>
      <c r="M59" s="168">
        <f>H45</f>
        <v/>
      </c>
      <c r="N59" s="168">
        <f>H96</f>
        <v/>
      </c>
      <c r="O59" s="168">
        <f>I45</f>
        <v/>
      </c>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t="n"/>
      <c r="B60" s="1" t="n"/>
      <c r="C60" s="1" t="n"/>
      <c r="D60" s="1" t="n"/>
      <c r="E60" s="1" t="n"/>
      <c r="F60" s="1" t="n"/>
      <c r="G60" s="1" t="n"/>
      <c r="H60" s="1" t="n"/>
      <c r="I60" s="1" t="n"/>
      <c r="J60" s="1" t="n"/>
      <c r="K60" s="1">
        <f>A46</f>
        <v/>
      </c>
      <c r="L60" s="168">
        <f>G46</f>
        <v/>
      </c>
      <c r="M60" s="168">
        <f>H46</f>
        <v/>
      </c>
      <c r="N60" s="168">
        <f>H97</f>
        <v/>
      </c>
      <c r="O60" s="168">
        <f>I46</f>
        <v/>
      </c>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ht="22" customHeight="1">
      <c r="A61" s="55" t="inlineStr">
        <is>
          <t>Predicciones condicionales del modelo ampliado</t>
        </is>
      </c>
      <c r="J61" s="1" t="n"/>
      <c r="K61" s="1">
        <f>A47</f>
        <v/>
      </c>
      <c r="L61" s="168">
        <f>G47</f>
        <v/>
      </c>
      <c r="M61" s="168">
        <f>H47</f>
        <v/>
      </c>
      <c r="N61" s="168">
        <f>H98</f>
        <v/>
      </c>
      <c r="O61" s="168">
        <f>I47</f>
        <v/>
      </c>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62" t="inlineStr">
        <is>
          <t>Mes</t>
        </is>
      </c>
      <c r="B62" s="62" t="inlineStr">
        <is>
          <t>ln TRM observada</t>
        </is>
      </c>
      <c r="C62" s="62" t="inlineStr">
        <is>
          <t>ln TRM modelo ampliado</t>
        </is>
      </c>
      <c r="D62" s="62" t="inlineStr">
        <is>
          <t>ln TRM caminata</t>
        </is>
      </c>
      <c r="E62" s="62" t="inlineStr">
        <is>
          <t>Δln observado</t>
        </is>
      </c>
      <c r="F62" s="62" t="inlineStr">
        <is>
          <t>Δln modelo ampliado</t>
        </is>
      </c>
      <c r="G62" s="62" t="inlineStr">
        <is>
          <t>TRM observada</t>
        </is>
      </c>
      <c r="H62" s="62" t="inlineStr">
        <is>
          <t>TRM modelo ampliado</t>
        </is>
      </c>
      <c r="I62" s="62" t="inlineStr">
        <is>
          <t>TRM caminata</t>
        </is>
      </c>
      <c r="J62" s="1" t="n"/>
      <c r="K62" s="1">
        <f>A48</f>
        <v/>
      </c>
      <c r="L62" s="168">
        <f>G48</f>
        <v/>
      </c>
      <c r="M62" s="168">
        <f>H48</f>
        <v/>
      </c>
      <c r="N62" s="168">
        <f>H99</f>
        <v/>
      </c>
      <c r="O62" s="168">
        <f>I48</f>
        <v/>
      </c>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t="inlineStr">
        <is>
          <t>2022-05</t>
        </is>
      </c>
      <c r="B63" s="160" t="n">
        <v>8.298808139175573</v>
      </c>
      <c r="C63" s="160" t="n">
        <v>8.289363795166665</v>
      </c>
      <c r="D63" s="160" t="n">
        <v>8.240907796093667</v>
      </c>
      <c r="E63" s="160" t="n">
        <v>0.05790034308190606</v>
      </c>
      <c r="F63" s="160" t="n">
        <v>0.04845599907299811</v>
      </c>
      <c r="G63" s="167" t="n">
        <v>4019.079354838708</v>
      </c>
      <c r="H63" s="167" t="n">
        <v>3981.300466032498</v>
      </c>
      <c r="I63" s="167" t="n">
        <v>3792.981999999997</v>
      </c>
      <c r="J63" s="1" t="n"/>
      <c r="K63" s="1">
        <f>A49</f>
        <v/>
      </c>
      <c r="L63" s="168">
        <f>G49</f>
        <v/>
      </c>
      <c r="M63" s="168">
        <f>H49</f>
        <v/>
      </c>
      <c r="N63" s="168">
        <f>H100</f>
        <v/>
      </c>
      <c r="O63" s="168">
        <f>I49</f>
        <v/>
      </c>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t="inlineStr">
        <is>
          <t>2022-06</t>
        </is>
      </c>
      <c r="B64" s="160" t="n">
        <v>8.276589766414325</v>
      </c>
      <c r="C64" s="160" t="n">
        <v>8.265300229816518</v>
      </c>
      <c r="D64" s="160" t="n">
        <v>8.298808139175573</v>
      </c>
      <c r="E64" s="160" t="n">
        <v>-0.02221837276124816</v>
      </c>
      <c r="F64" s="160" t="n">
        <v>-0.03350790935905591</v>
      </c>
      <c r="G64" s="167" t="n">
        <v>3930.766666666666</v>
      </c>
      <c r="H64" s="167" t="n">
        <v>3886.639687775129</v>
      </c>
      <c r="I64" s="167" t="n">
        <v>4019.079354838708</v>
      </c>
      <c r="J64" s="1" t="n"/>
      <c r="K64" s="1">
        <f>A50</f>
        <v/>
      </c>
      <c r="L64" s="168">
        <f>G50</f>
        <v/>
      </c>
      <c r="M64" s="168">
        <f>H50</f>
        <v/>
      </c>
      <c r="N64" s="168">
        <f>H101</f>
        <v/>
      </c>
      <c r="O64" s="168">
        <f>I50</f>
        <v/>
      </c>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t="inlineStr">
        <is>
          <t>2022-07</t>
        </is>
      </c>
      <c r="B65" s="160" t="n">
        <v>8.382016058206503</v>
      </c>
      <c r="C65" s="160" t="n">
        <v>8.337276043309707</v>
      </c>
      <c r="D65" s="160" t="n">
        <v>8.276589766414325</v>
      </c>
      <c r="E65" s="160" t="n">
        <v>0.1054262917921776</v>
      </c>
      <c r="F65" s="160" t="n">
        <v>0.0606862768953825</v>
      </c>
      <c r="G65" s="167" t="n">
        <v>4367.805806451614</v>
      </c>
      <c r="H65" s="167" t="n">
        <v>4176.697089983775</v>
      </c>
      <c r="I65" s="167" t="n">
        <v>3930.766666666666</v>
      </c>
      <c r="J65" s="1" t="n"/>
      <c r="K65" s="1">
        <f>A51</f>
        <v/>
      </c>
      <c r="L65" s="168">
        <f>G51</f>
        <v/>
      </c>
      <c r="M65" s="168">
        <f>H51</f>
        <v/>
      </c>
      <c r="N65" s="168">
        <f>H102</f>
        <v/>
      </c>
      <c r="O65" s="168">
        <f>I51</f>
        <v/>
      </c>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t="inlineStr">
        <is>
          <t>2022-08</t>
        </is>
      </c>
      <c r="B66" s="160" t="n">
        <v>8.371582127847805</v>
      </c>
      <c r="C66" s="160" t="n">
        <v>8.363960524051665</v>
      </c>
      <c r="D66" s="160" t="n">
        <v>8.382016058206503</v>
      </c>
      <c r="E66" s="160" t="n">
        <v>-0.01043393035869755</v>
      </c>
      <c r="F66" s="160" t="n">
        <v>-0.01805553415483879</v>
      </c>
      <c r="G66" s="167" t="n">
        <v>4322.469354838713</v>
      </c>
      <c r="H66" s="167" t="n">
        <v>4289.650431278992</v>
      </c>
      <c r="I66" s="167" t="n">
        <v>4367.805806451614</v>
      </c>
      <c r="J66" s="1" t="n"/>
      <c r="K66" s="1">
        <f>A52</f>
        <v/>
      </c>
      <c r="L66" s="168">
        <f>G52</f>
        <v/>
      </c>
      <c r="M66" s="168">
        <f>H52</f>
        <v/>
      </c>
      <c r="N66" s="168">
        <f>H103</f>
        <v/>
      </c>
      <c r="O66" s="168">
        <f>I52</f>
        <v/>
      </c>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t="inlineStr">
        <is>
          <t>2022-09</t>
        </is>
      </c>
      <c r="B67" s="160" t="n">
        <v>8.396978677110038</v>
      </c>
      <c r="C67" s="160" t="n">
        <v>8.39038980926348</v>
      </c>
      <c r="D67" s="160" t="n">
        <v>8.371582127847805</v>
      </c>
      <c r="E67" s="160" t="n">
        <v>0.02539654926223278</v>
      </c>
      <c r="F67" s="160" t="n">
        <v>0.0188076814156746</v>
      </c>
      <c r="G67" s="167" t="n">
        <v>4433.650999999996</v>
      </c>
      <c r="H67" s="167" t="n">
        <v>4404.534287904643</v>
      </c>
      <c r="I67" s="167" t="n">
        <v>4322.469354838713</v>
      </c>
      <c r="J67" s="1" t="n"/>
      <c r="K67" s="1">
        <f>A53</f>
        <v/>
      </c>
      <c r="L67" s="168">
        <f>G53</f>
        <v/>
      </c>
      <c r="M67" s="168">
        <f>H53</f>
        <v/>
      </c>
      <c r="N67" s="168">
        <f>H104</f>
        <v/>
      </c>
      <c r="O67" s="168">
        <f>I53</f>
        <v/>
      </c>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t="inlineStr">
        <is>
          <t>2022-10</t>
        </is>
      </c>
      <c r="B68" s="160" t="n">
        <v>8.457831715043978</v>
      </c>
      <c r="C68" s="160" t="n">
        <v>8.414018642457695</v>
      </c>
      <c r="D68" s="160" t="n">
        <v>8.396978677110038</v>
      </c>
      <c r="E68" s="160" t="n">
        <v>0.06085303793394026</v>
      </c>
      <c r="F68" s="160" t="n">
        <v>0.01703996534765699</v>
      </c>
      <c r="G68" s="167" t="n">
        <v>4711.830322580648</v>
      </c>
      <c r="H68" s="167" t="n">
        <v>4509.847609498633</v>
      </c>
      <c r="I68" s="167" t="n">
        <v>4433.650999999996</v>
      </c>
      <c r="J68" s="1" t="n"/>
      <c r="K68" s="1">
        <f>A54</f>
        <v/>
      </c>
      <c r="L68" s="168">
        <f>G54</f>
        <v/>
      </c>
      <c r="M68" s="168">
        <f>H54</f>
        <v/>
      </c>
      <c r="N68" s="168">
        <f>H105</f>
        <v/>
      </c>
      <c r="O68" s="168">
        <f>I54</f>
        <v/>
      </c>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t="inlineStr">
        <is>
          <t>2022-11</t>
        </is>
      </c>
      <c r="B69" s="160" t="n">
        <v>8.502416687971365</v>
      </c>
      <c r="C69" s="160" t="n">
        <v>8.425692485204754</v>
      </c>
      <c r="D69" s="160" t="n">
        <v>8.457831715043978</v>
      </c>
      <c r="E69" s="160" t="n">
        <v>0.04458497292738706</v>
      </c>
      <c r="F69" s="160" t="n">
        <v>-0.03213922983922458</v>
      </c>
      <c r="G69" s="167" t="n">
        <v>4926.660666666665</v>
      </c>
      <c r="H69" s="167" t="n">
        <v>4562.803358454791</v>
      </c>
      <c r="I69" s="167" t="n">
        <v>4711.830322580648</v>
      </c>
      <c r="J69" s="1" t="n"/>
      <c r="K69" s="1">
        <f>A55</f>
        <v/>
      </c>
      <c r="L69" s="168">
        <f>G55</f>
        <v/>
      </c>
      <c r="M69" s="168">
        <f>H55</f>
        <v/>
      </c>
      <c r="N69" s="168">
        <f>H106</f>
        <v/>
      </c>
      <c r="O69" s="168">
        <f>I55</f>
        <v/>
      </c>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t="inlineStr">
        <is>
          <t>2022-12</t>
        </is>
      </c>
      <c r="B70" s="160" t="n">
        <v>8.473970535354521</v>
      </c>
      <c r="C70" s="160" t="n">
        <v>8.480318807712873</v>
      </c>
      <c r="D70" s="160" t="n">
        <v>8.502416687971365</v>
      </c>
      <c r="E70" s="160" t="n">
        <v>-0.02844615261684424</v>
      </c>
      <c r="F70" s="160" t="n">
        <v>-0.02209788025849167</v>
      </c>
      <c r="G70" s="167" t="n">
        <v>4788.490645161287</v>
      </c>
      <c r="H70" s="167" t="n">
        <v>4818.985981898961</v>
      </c>
      <c r="I70" s="167" t="n">
        <v>4926.660666666665</v>
      </c>
      <c r="J70" s="1" t="n"/>
      <c r="K70" s="1">
        <f>A56</f>
        <v/>
      </c>
      <c r="L70" s="168">
        <f>G56</f>
        <v/>
      </c>
      <c r="M70" s="168">
        <f>H56</f>
        <v/>
      </c>
      <c r="N70" s="168">
        <f>H107</f>
        <v/>
      </c>
      <c r="O70" s="168">
        <f>I56</f>
        <v/>
      </c>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t="inlineStr">
        <is>
          <t>2023-01</t>
        </is>
      </c>
      <c r="B71" s="160" t="n">
        <v>8.458547432938246</v>
      </c>
      <c r="C71" s="160" t="n">
        <v>8.45031665906528</v>
      </c>
      <c r="D71" s="160" t="n">
        <v>8.473970535354521</v>
      </c>
      <c r="E71" s="160" t="n">
        <v>-0.01542310241627476</v>
      </c>
      <c r="F71" s="160" t="n">
        <v>-0.02365387628924149</v>
      </c>
      <c r="G71" s="167" t="n">
        <v>4715.203870967738</v>
      </c>
      <c r="H71" s="167" t="n">
        <v>4676.55337409077</v>
      </c>
      <c r="I71" s="167" t="n">
        <v>4788.490645161287</v>
      </c>
      <c r="J71" s="1" t="n"/>
      <c r="K71" s="1">
        <f>A57</f>
        <v/>
      </c>
      <c r="L71" s="168">
        <f>G57</f>
        <v/>
      </c>
      <c r="M71" s="168">
        <f>H57</f>
        <v/>
      </c>
      <c r="N71" s="168">
        <f>H108</f>
        <v/>
      </c>
      <c r="O71" s="168">
        <f>I57</f>
        <v/>
      </c>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t="inlineStr">
        <is>
          <t>2023-02</t>
        </is>
      </c>
      <c r="B72" s="160" t="n">
        <v>8.477019424251225</v>
      </c>
      <c r="C72" s="160" t="n">
        <v>8.456654301632385</v>
      </c>
      <c r="D72" s="160" t="n">
        <v>8.458547432938246</v>
      </c>
      <c r="E72" s="160" t="n">
        <v>0.01847199131297828</v>
      </c>
      <c r="F72" s="160" t="n">
        <v>-0.001893131305862044</v>
      </c>
      <c r="G72" s="167" t="n">
        <v>4803.112499999996</v>
      </c>
      <c r="H72" s="167" t="n">
        <v>4706.285815094957</v>
      </c>
      <c r="I72" s="167" t="n">
        <v>4715.203870967738</v>
      </c>
      <c r="J72" s="1" t="n"/>
      <c r="K72" s="1">
        <f>A58</f>
        <v/>
      </c>
      <c r="L72" s="168">
        <f>G58</f>
        <v/>
      </c>
      <c r="M72" s="168">
        <f>H58</f>
        <v/>
      </c>
      <c r="N72" s="168">
        <f>H109</f>
        <v/>
      </c>
      <c r="O72" s="168">
        <f>I58</f>
        <v/>
      </c>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t="inlineStr">
        <is>
          <t>2023-03</t>
        </is>
      </c>
      <c r="B73" s="160" t="n">
        <v>8.469326819773904</v>
      </c>
      <c r="C73" s="160" t="n">
        <v>8.504637697662993</v>
      </c>
      <c r="D73" s="160" t="n">
        <v>8.477019424251225</v>
      </c>
      <c r="E73" s="160" t="n">
        <v>-0.007692604477320231</v>
      </c>
      <c r="F73" s="160" t="n">
        <v>0.02761827341176852</v>
      </c>
      <c r="G73" s="167" t="n">
        <v>4766.305806451614</v>
      </c>
      <c r="H73" s="167" t="n">
        <v>4937.614988078669</v>
      </c>
      <c r="I73" s="167" t="n">
        <v>4803.112499999996</v>
      </c>
      <c r="J73" s="1" t="n"/>
      <c r="K73" s="1">
        <f>A59</f>
        <v/>
      </c>
      <c r="L73" s="168">
        <f>G59</f>
        <v/>
      </c>
      <c r="M73" s="168">
        <f>H59</f>
        <v/>
      </c>
      <c r="N73" s="168">
        <f>H110</f>
        <v/>
      </c>
      <c r="O73" s="168">
        <f>I59</f>
        <v/>
      </c>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t="inlineStr">
        <is>
          <t>2023-04</t>
        </is>
      </c>
      <c r="B74" s="160" t="n">
        <v>8.421271177813114</v>
      </c>
      <c r="C74" s="160" t="n">
        <v>8.454185451273469</v>
      </c>
      <c r="D74" s="160" t="n">
        <v>8.469326819773904</v>
      </c>
      <c r="E74" s="160" t="n">
        <v>-0.04805564196079004</v>
      </c>
      <c r="F74" s="160" t="n">
        <v>-0.01514136850043598</v>
      </c>
      <c r="G74" s="167" t="n">
        <v>4542.674333333336</v>
      </c>
      <c r="H74" s="167" t="n">
        <v>4694.681030803607</v>
      </c>
      <c r="I74" s="167" t="n">
        <v>4766.305806451614</v>
      </c>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t="inlineStr">
        <is>
          <t>2023-05</t>
        </is>
      </c>
      <c r="B75" s="160" t="n">
        <v>8.420701901472638</v>
      </c>
      <c r="C75" s="160" t="n">
        <v>8.41940418721636</v>
      </c>
      <c r="D75" s="160" t="n">
        <v>8.421271177813114</v>
      </c>
      <c r="E75" s="160" t="n">
        <v>-0.0005692763404763213</v>
      </c>
      <c r="F75" s="160" t="n">
        <v>-0.00186699059675463</v>
      </c>
      <c r="G75" s="167" t="n">
        <v>4540.089032258067</v>
      </c>
      <c r="H75" s="167" t="n">
        <v>4534.201115239362</v>
      </c>
      <c r="I75" s="167" t="n">
        <v>4542.674333333336</v>
      </c>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t="inlineStr">
        <is>
          <t>2023-06</t>
        </is>
      </c>
      <c r="B76" s="160" t="n">
        <v>8.345044039825018</v>
      </c>
      <c r="C76" s="160" t="n">
        <v>8.409509747645197</v>
      </c>
      <c r="D76" s="160" t="n">
        <v>8.420701901472638</v>
      </c>
      <c r="E76" s="160" t="n">
        <v>-0.07565786164762045</v>
      </c>
      <c r="F76" s="160" t="n">
        <v>-0.01119215382744166</v>
      </c>
      <c r="G76" s="167" t="n">
        <v>4209.267999999998</v>
      </c>
      <c r="H76" s="167" t="n">
        <v>4489.558955083906</v>
      </c>
      <c r="I76" s="167" t="n">
        <v>4540.089032258067</v>
      </c>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t="inlineStr">
        <is>
          <t>2023-07</t>
        </is>
      </c>
      <c r="B77" s="160" t="n">
        <v>8.311209943353095</v>
      </c>
      <c r="C77" s="160" t="n">
        <v>8.337261682399268</v>
      </c>
      <c r="D77" s="160" t="n">
        <v>8.345044039825018</v>
      </c>
      <c r="E77" s="160" t="n">
        <v>-0.03383409647192259</v>
      </c>
      <c r="F77" s="160" t="n">
        <v>-0.007782357425749381</v>
      </c>
      <c r="G77" s="167" t="n">
        <v>4069.233548387099</v>
      </c>
      <c r="H77" s="167" t="n">
        <v>4176.637109241623</v>
      </c>
      <c r="I77" s="167" t="n">
        <v>4209.267999999998</v>
      </c>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t="inlineStr">
        <is>
          <t>2023-08</t>
        </is>
      </c>
      <c r="B78" s="160" t="n">
        <v>8.311576434873045</v>
      </c>
      <c r="C78" s="160" t="n">
        <v>8.326919222174324</v>
      </c>
      <c r="D78" s="160" t="n">
        <v>8.311209943353095</v>
      </c>
      <c r="E78" s="160" t="n">
        <v>0.0003664915199497187</v>
      </c>
      <c r="F78" s="160" t="n">
        <v>0.01570927882122937</v>
      </c>
      <c r="G78" s="167" t="n">
        <v>4070.725161290322</v>
      </c>
      <c r="H78" s="167" t="n">
        <v>4133.663018044655</v>
      </c>
      <c r="I78" s="167" t="n">
        <v>4069.233548387099</v>
      </c>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t="inlineStr">
        <is>
          <t>2023-09</t>
        </is>
      </c>
      <c r="B79" s="160" t="n">
        <v>8.295179168611119</v>
      </c>
      <c r="C79" s="160" t="n">
        <v>8.333267083010846</v>
      </c>
      <c r="D79" s="160" t="n">
        <v>8.311576434873045</v>
      </c>
      <c r="E79" s="160" t="n">
        <v>-0.01639726626192584</v>
      </c>
      <c r="F79" s="160" t="n">
        <v>0.0216906481378009</v>
      </c>
      <c r="G79" s="167" t="n">
        <v>4004.52066666667</v>
      </c>
      <c r="H79" s="167" t="n">
        <v>4159.986395805277</v>
      </c>
      <c r="I79" s="167" t="n">
        <v>4070.725161290322</v>
      </c>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t="inlineStr">
        <is>
          <t>2023-10</t>
        </is>
      </c>
      <c r="B80" s="160" t="n">
        <v>8.348166834656725</v>
      </c>
      <c r="C80" s="160" t="n">
        <v>8.331232713929454</v>
      </c>
      <c r="D80" s="160" t="n">
        <v>8.295179168611119</v>
      </c>
      <c r="E80" s="160" t="n">
        <v>0.05298766604560612</v>
      </c>
      <c r="F80" s="160" t="n">
        <v>0.03605354531833523</v>
      </c>
      <c r="G80" s="167" t="n">
        <v>4222.433225806451</v>
      </c>
      <c r="H80" s="167" t="n">
        <v>4151.532050647641</v>
      </c>
      <c r="I80" s="167" t="n">
        <v>4004.52066666667</v>
      </c>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t="inlineStr">
        <is>
          <t>2023-11</t>
        </is>
      </c>
      <c r="B81" s="160" t="n">
        <v>8.303704052588216</v>
      </c>
      <c r="C81" s="160" t="n">
        <v>8.33091988492836</v>
      </c>
      <c r="D81" s="160" t="n">
        <v>8.348166834656725</v>
      </c>
      <c r="E81" s="160" t="n">
        <v>-0.04446278206850884</v>
      </c>
      <c r="F81" s="160" t="n">
        <v>-0.01724694972836567</v>
      </c>
      <c r="G81" s="167" t="n">
        <v>4038.804666666669</v>
      </c>
      <c r="H81" s="167" t="n">
        <v>4150.233534140625</v>
      </c>
      <c r="I81" s="167" t="n">
        <v>4222.433225806451</v>
      </c>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t="inlineStr">
        <is>
          <t>2023-12</t>
        </is>
      </c>
      <c r="B82" s="160" t="n">
        <v>8.281016773597672</v>
      </c>
      <c r="C82" s="160" t="n">
        <v>8.282712853530088</v>
      </c>
      <c r="D82" s="160" t="n">
        <v>8.303704052588216</v>
      </c>
      <c r="E82" s="160" t="n">
        <v>-0.0226872789905439</v>
      </c>
      <c r="F82" s="160" t="n">
        <v>-0.02099119905812936</v>
      </c>
      <c r="G82" s="167" t="n">
        <v>3948.206774193547</v>
      </c>
      <c r="H82" s="167" t="n">
        <v>3954.908930562076</v>
      </c>
      <c r="I82" s="167" t="n">
        <v>4038.804666666669</v>
      </c>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t="inlineStr">
        <is>
          <t>2024-01</t>
        </is>
      </c>
      <c r="B83" s="160" t="n">
        <v>8.272621363120876</v>
      </c>
      <c r="C83" s="160" t="n">
        <v>8.283767820772956</v>
      </c>
      <c r="D83" s="160" t="n">
        <v>8.281016773597672</v>
      </c>
      <c r="E83" s="160" t="n">
        <v>-0.008395410476795817</v>
      </c>
      <c r="F83" s="160" t="n">
        <v>0.002751047175284461</v>
      </c>
      <c r="G83" s="167" t="n">
        <v>3915.198709677416</v>
      </c>
      <c r="H83" s="167" t="n">
        <v>3959.083431526064</v>
      </c>
      <c r="I83" s="167" t="n">
        <v>3948.206774193547</v>
      </c>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t="inlineStr">
        <is>
          <t>2024-02</t>
        </is>
      </c>
      <c r="B84" s="160" t="n">
        <v>8.276760699123423</v>
      </c>
      <c r="C84" s="160" t="n">
        <v>8.307496204241382</v>
      </c>
      <c r="D84" s="160" t="n">
        <v>8.272621363120876</v>
      </c>
      <c r="E84" s="160" t="n">
        <v>0.004139336002547012</v>
      </c>
      <c r="F84" s="160" t="n">
        <v>0.03487484112050493</v>
      </c>
      <c r="G84" s="167" t="n">
        <v>3931.438620689657</v>
      </c>
      <c r="H84" s="167" t="n">
        <v>4054.149503044747</v>
      </c>
      <c r="I84" s="167" t="n">
        <v>3915.198709677416</v>
      </c>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t="inlineStr">
        <is>
          <t>2024-03</t>
        </is>
      </c>
      <c r="B85" s="160" t="n">
        <v>8.268562917935254</v>
      </c>
      <c r="C85" s="160" t="n">
        <v>8.26917785710628</v>
      </c>
      <c r="D85" s="160" t="n">
        <v>8.276760699123423</v>
      </c>
      <c r="E85" s="160" t="n">
        <v>-0.008197781188169273</v>
      </c>
      <c r="F85" s="160" t="n">
        <v>-0.007582842017143304</v>
      </c>
      <c r="G85" s="167" t="n">
        <v>3899.341290322584</v>
      </c>
      <c r="H85" s="167" t="n">
        <v>3901.739885442663</v>
      </c>
      <c r="I85" s="167" t="n">
        <v>3931.438620689657</v>
      </c>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t="inlineStr">
        <is>
          <t>2024-04</t>
        </is>
      </c>
      <c r="B86" s="160" t="n">
        <v>8.260486479441511</v>
      </c>
      <c r="C86" s="160" t="n">
        <v>8.269534084566324</v>
      </c>
      <c r="D86" s="160" t="n">
        <v>8.268562917935254</v>
      </c>
      <c r="E86" s="160" t="n">
        <v>-0.00807643849374351</v>
      </c>
      <c r="F86" s="160" t="n">
        <v>0.000971166631070137</v>
      </c>
      <c r="G86" s="167" t="n">
        <v>3867.975333333336</v>
      </c>
      <c r="H86" s="167" t="n">
        <v>3903.130039922705</v>
      </c>
      <c r="I86" s="167" t="n">
        <v>3899.341290322584</v>
      </c>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t="inlineStr">
        <is>
          <t>2024-05</t>
        </is>
      </c>
      <c r="B87" s="160" t="n">
        <v>8.260777367585563</v>
      </c>
      <c r="C87" s="160" t="n">
        <v>8.273430664560937</v>
      </c>
      <c r="D87" s="160" t="n">
        <v>8.260486479441511</v>
      </c>
      <c r="E87" s="160" t="n">
        <v>0.0002908881440522038</v>
      </c>
      <c r="F87" s="160" t="n">
        <v>0.01294418511942681</v>
      </c>
      <c r="G87" s="167" t="n">
        <v>3869.100645161288</v>
      </c>
      <c r="H87" s="167" t="n">
        <v>3918.36856814378</v>
      </c>
      <c r="I87" s="167" t="n">
        <v>3867.975333333336</v>
      </c>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t="inlineStr">
        <is>
          <t>2024-06</t>
        </is>
      </c>
      <c r="B88" s="160" t="n">
        <v>8.304692058140274</v>
      </c>
      <c r="C88" s="160" t="n">
        <v>8.282741892652043</v>
      </c>
      <c r="D88" s="160" t="n">
        <v>8.260777367585563</v>
      </c>
      <c r="E88" s="160" t="n">
        <v>0.0439146905547112</v>
      </c>
      <c r="F88" s="160" t="n">
        <v>0.02196452506647919</v>
      </c>
      <c r="G88" s="167" t="n">
        <v>4042.797000000001</v>
      </c>
      <c r="H88" s="167" t="n">
        <v>3955.023779312377</v>
      </c>
      <c r="I88" s="167" t="n">
        <v>3869.100645161288</v>
      </c>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t="inlineStr">
        <is>
          <t>2024-07</t>
        </is>
      </c>
      <c r="B89" s="160" t="n">
        <v>8.30323778340659</v>
      </c>
      <c r="C89" s="160" t="n">
        <v>8.317856185366608</v>
      </c>
      <c r="D89" s="160" t="n">
        <v>8.304692058140274</v>
      </c>
      <c r="E89" s="160" t="n">
        <v>-0.001454274733683647</v>
      </c>
      <c r="F89" s="160" t="n">
        <v>0.01316412722633496</v>
      </c>
      <c r="G89" s="167" t="n">
        <v>4036.92193548387</v>
      </c>
      <c r="H89" s="167" t="n">
        <v>4096.368732975368</v>
      </c>
      <c r="I89" s="167" t="n">
        <v>4042.797000000001</v>
      </c>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t="inlineStr">
        <is>
          <t>2024-08</t>
        </is>
      </c>
      <c r="B90" s="160" t="n">
        <v>8.310303441388276</v>
      </c>
      <c r="C90" s="160" t="n">
        <v>8.304193953400095</v>
      </c>
      <c r="D90" s="160" t="n">
        <v>8.30323778340659</v>
      </c>
      <c r="E90" s="160" t="n">
        <v>0.007065657981685902</v>
      </c>
      <c r="F90" s="160" t="n">
        <v>0.0009561699935033835</v>
      </c>
      <c r="G90" s="167" t="n">
        <v>4065.546451612903</v>
      </c>
      <c r="H90" s="167" t="n">
        <v>4040.783765093268</v>
      </c>
      <c r="I90" s="167" t="n">
        <v>4036.92193548387</v>
      </c>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t="inlineStr">
        <is>
          <t>2024-09</t>
        </is>
      </c>
      <c r="B91" s="160" t="n">
        <v>8.338667381651211</v>
      </c>
      <c r="C91" s="160" t="n">
        <v>8.313928256682756</v>
      </c>
      <c r="D91" s="160" t="n">
        <v>8.310303441388276</v>
      </c>
      <c r="E91" s="160" t="n">
        <v>0.02836394026293476</v>
      </c>
      <c r="F91" s="160" t="n">
        <v>0.003624815294479744</v>
      </c>
      <c r="G91" s="167" t="n">
        <v>4182.512333333329</v>
      </c>
      <c r="H91" s="167" t="n">
        <v>4080.310048060973</v>
      </c>
      <c r="I91" s="167" t="n">
        <v>4065.546451612903</v>
      </c>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t="inlineStr">
        <is>
          <t>2024-10</t>
        </is>
      </c>
      <c r="B92" s="160" t="n">
        <v>8.354549548259685</v>
      </c>
      <c r="C92" s="160" t="n">
        <v>8.350144802275041</v>
      </c>
      <c r="D92" s="160" t="n">
        <v>8.338667381651211</v>
      </c>
      <c r="E92" s="160" t="n">
        <v>0.01588216660847408</v>
      </c>
      <c r="F92" s="160" t="n">
        <v>0.01147742062382969</v>
      </c>
      <c r="G92" s="167" t="n">
        <v>4249.470000000003</v>
      </c>
      <c r="H92" s="167" t="n">
        <v>4230.793327276956</v>
      </c>
      <c r="I92" s="167" t="n">
        <v>4182.512333333329</v>
      </c>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t="inlineStr">
        <is>
          <t>2024-11</t>
        </is>
      </c>
      <c r="B93" s="160" t="n">
        <v>8.391324328389279</v>
      </c>
      <c r="C93" s="160" t="n">
        <v>8.386066942183632</v>
      </c>
      <c r="D93" s="160" t="n">
        <v>8.354549548259685</v>
      </c>
      <c r="E93" s="160" t="n">
        <v>0.03677478012959412</v>
      </c>
      <c r="F93" s="160" t="n">
        <v>0.03151739392394751</v>
      </c>
      <c r="G93" s="167" t="n">
        <v>4408.652333333335</v>
      </c>
      <c r="H93" s="167" t="n">
        <v>4385.535166554171</v>
      </c>
      <c r="I93" s="167" t="n">
        <v>4249.470000000003</v>
      </c>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t="inlineStr">
        <is>
          <t>2024-12</t>
        </is>
      </c>
      <c r="B94" s="160" t="n">
        <v>8.385978817498613</v>
      </c>
      <c r="C94" s="160" t="n">
        <v>8.391239156541884</v>
      </c>
      <c r="D94" s="160" t="n">
        <v>8.391324328389279</v>
      </c>
      <c r="E94" s="160" t="n">
        <v>-0.005345510890666816</v>
      </c>
      <c r="F94" s="160" t="n">
        <v>-8.517184739460304e-05</v>
      </c>
      <c r="G94" s="167" t="n">
        <v>4385.148709677422</v>
      </c>
      <c r="H94" s="167" t="n">
        <v>4408.276856259847</v>
      </c>
      <c r="I94" s="167" t="n">
        <v>4408.652333333335</v>
      </c>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t="inlineStr">
        <is>
          <t>2025-01</t>
        </is>
      </c>
      <c r="B95" s="160" t="n">
        <v>8.368128619899991</v>
      </c>
      <c r="C95" s="160" t="n">
        <v>8.386936449499158</v>
      </c>
      <c r="D95" s="160" t="n">
        <v>8.385978817498613</v>
      </c>
      <c r="E95" s="160" t="n">
        <v>-0.01785019759862116</v>
      </c>
      <c r="F95" s="160" t="n">
        <v>0.0009576320005455241</v>
      </c>
      <c r="G95" s="167" t="n">
        <v>4307.567419354838</v>
      </c>
      <c r="H95" s="167" t="n">
        <v>4389.350079771109</v>
      </c>
      <c r="I95" s="167" t="n">
        <v>4385.148709677422</v>
      </c>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t="inlineStr">
        <is>
          <t>2025-02</t>
        </is>
      </c>
      <c r="B96" s="160" t="n">
        <v>8.325537146384832</v>
      </c>
      <c r="C96" s="160" t="n">
        <v>8.348313753231302</v>
      </c>
      <c r="D96" s="160" t="n">
        <v>8.368128619899991</v>
      </c>
      <c r="E96" s="160" t="n">
        <v>-0.04259147351515935</v>
      </c>
      <c r="F96" s="160" t="n">
        <v>-0.01981486666868926</v>
      </c>
      <c r="G96" s="167" t="n">
        <v>4127.95392857143</v>
      </c>
      <c r="H96" s="167" t="n">
        <v>4223.05362525022</v>
      </c>
      <c r="I96" s="167" t="n">
        <v>4307.567419354838</v>
      </c>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t="inlineStr">
        <is>
          <t>2025-03</t>
        </is>
      </c>
      <c r="B97" s="160" t="n">
        <v>8.327891614734215</v>
      </c>
      <c r="C97" s="160" t="n">
        <v>8.330856691363168</v>
      </c>
      <c r="D97" s="160" t="n">
        <v>8.325537146384832</v>
      </c>
      <c r="E97" s="160" t="n">
        <v>0.002354468349382799</v>
      </c>
      <c r="F97" s="160" t="n">
        <v>0.005319544978336328</v>
      </c>
      <c r="G97" s="167" t="n">
        <v>4137.684516129031</v>
      </c>
      <c r="H97" s="167" t="n">
        <v>4149.971274373878</v>
      </c>
      <c r="I97" s="167" t="n">
        <v>4127.95392857143</v>
      </c>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t="inlineStr">
        <is>
          <t>2025-04</t>
        </is>
      </c>
      <c r="B98" s="160" t="n">
        <v>8.361768567132886</v>
      </c>
      <c r="C98" s="160" t="n">
        <v>8.344899702611126</v>
      </c>
      <c r="D98" s="160" t="n">
        <v>8.327891614734215</v>
      </c>
      <c r="E98" s="160" t="n">
        <v>0.03387695239867128</v>
      </c>
      <c r="F98" s="160" t="n">
        <v>0.01700808787691208</v>
      </c>
      <c r="G98" s="167" t="n">
        <v>4280.258000000003</v>
      </c>
      <c r="H98" s="167" t="n">
        <v>4208.660489828574</v>
      </c>
      <c r="I98" s="167" t="n">
        <v>4137.684516129031</v>
      </c>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t="inlineStr">
        <is>
          <t>2025-05</t>
        </is>
      </c>
      <c r="B99" s="160" t="n">
        <v>8.34364355184035</v>
      </c>
      <c r="C99" s="160" t="n">
        <v>8.33237405773505</v>
      </c>
      <c r="D99" s="160" t="n">
        <v>8.361768567132886</v>
      </c>
      <c r="E99" s="160" t="n">
        <v>-0.01812501529253652</v>
      </c>
      <c r="F99" s="160" t="n">
        <v>-0.02939450939783666</v>
      </c>
      <c r="G99" s="167" t="n">
        <v>4203.377096774196</v>
      </c>
      <c r="H99" s="167" t="n">
        <v>4156.273081095584</v>
      </c>
      <c r="I99" s="167" t="n">
        <v>4280.258000000003</v>
      </c>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t="inlineStr">
        <is>
          <t>2025-06</t>
        </is>
      </c>
      <c r="B100" s="160" t="n">
        <v>8.322025880072617</v>
      </c>
      <c r="C100" s="160" t="n">
        <v>8.321022413289089</v>
      </c>
      <c r="D100" s="160" t="n">
        <v>8.34364355184035</v>
      </c>
      <c r="E100" s="160" t="n">
        <v>-0.02161767176773211</v>
      </c>
      <c r="F100" s="160" t="n">
        <v>-0.02262113855125939</v>
      </c>
      <c r="G100" s="167" t="n">
        <v>4113.485000000001</v>
      </c>
      <c r="H100" s="167" t="n">
        <v>4109.359324773179</v>
      </c>
      <c r="I100" s="167" t="n">
        <v>4203.377096774196</v>
      </c>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t="inlineStr">
        <is>
          <t>2025-07</t>
        </is>
      </c>
      <c r="B101" s="160" t="n">
        <v>8.304209945715085</v>
      </c>
      <c r="C101" s="160" t="n">
        <v>8.31205025244785</v>
      </c>
      <c r="D101" s="160" t="n">
        <v>8.322025880072617</v>
      </c>
      <c r="E101" s="160" t="n">
        <v>-0.01781593435753237</v>
      </c>
      <c r="F101" s="160" t="n">
        <v>-0.009975627624767659</v>
      </c>
      <c r="G101" s="167" t="n">
        <v>4040.848387096774</v>
      </c>
      <c r="H101" s="167" t="n">
        <v>4072.65439943132</v>
      </c>
      <c r="I101" s="167" t="n">
        <v>4113.485000000001</v>
      </c>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t="inlineStr">
        <is>
          <t>2025-08</t>
        </is>
      </c>
      <c r="B102" s="160" t="n">
        <v>8.305832847858927</v>
      </c>
      <c r="C102" s="160" t="n">
        <v>8.302850463572677</v>
      </c>
      <c r="D102" s="160" t="n">
        <v>8.304209945715085</v>
      </c>
      <c r="E102" s="160" t="n">
        <v>0.001622902143841642</v>
      </c>
      <c r="F102" s="160" t="n">
        <v>-0.001359482142407875</v>
      </c>
      <c r="G102" s="167" t="n">
        <v>4047.411612903224</v>
      </c>
      <c r="H102" s="167" t="n">
        <v>4035.358658313965</v>
      </c>
      <c r="I102" s="167" t="n">
        <v>4040.848387096774</v>
      </c>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t="inlineStr">
        <is>
          <t>2025-09</t>
        </is>
      </c>
      <c r="B103" s="160" t="n">
        <v>8.274411059349477</v>
      </c>
      <c r="C103" s="160" t="n">
        <v>8.283270810457479</v>
      </c>
      <c r="D103" s="160" t="n">
        <v>8.305832847858927</v>
      </c>
      <c r="E103" s="160" t="n">
        <v>-0.03142178850944966</v>
      </c>
      <c r="F103" s="160" t="n">
        <v>-0.02256203740144841</v>
      </c>
      <c r="G103" s="167" t="n">
        <v>3922.211999999997</v>
      </c>
      <c r="H103" s="167" t="n">
        <v>3957.116215124677</v>
      </c>
      <c r="I103" s="167" t="n">
        <v>4047.411612903224</v>
      </c>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t="inlineStr">
        <is>
          <t>2025-10</t>
        </is>
      </c>
      <c r="B104" s="160" t="n">
        <v>8.263034824354826</v>
      </c>
      <c r="C104" s="160" t="n">
        <v>8.271572161311628</v>
      </c>
      <c r="D104" s="160" t="n">
        <v>8.274411059349477</v>
      </c>
      <c r="E104" s="160" t="n">
        <v>-0.01137623499465157</v>
      </c>
      <c r="F104" s="160" t="n">
        <v>-0.002838898037849683</v>
      </c>
      <c r="G104" s="167" t="n">
        <v>3877.844838709676</v>
      </c>
      <c r="H104" s="167" t="n">
        <v>3911.093030327393</v>
      </c>
      <c r="I104" s="167" t="n">
        <v>3922.211999999997</v>
      </c>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t="inlineStr">
        <is>
          <t>2025-11</t>
        </is>
      </c>
      <c r="B105" s="160" t="n">
        <v>8.239113754615177</v>
      </c>
      <c r="C105" s="160" t="n">
        <v>8.245171881545554</v>
      </c>
      <c r="D105" s="160" t="n">
        <v>8.263034824354826</v>
      </c>
      <c r="E105" s="160" t="n">
        <v>-0.02392106973964836</v>
      </c>
      <c r="F105" s="160" t="n">
        <v>-0.01786294280927211</v>
      </c>
      <c r="G105" s="167" t="n">
        <v>3786.183333333337</v>
      </c>
      <c r="H105" s="167" t="n">
        <v>3809.190131235179</v>
      </c>
      <c r="I105" s="167" t="n">
        <v>3877.844838709676</v>
      </c>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t="inlineStr">
        <is>
          <t>2025-12</t>
        </is>
      </c>
      <c r="B106" s="160" t="n">
        <v>8.240509596157608</v>
      </c>
      <c r="C106" s="160" t="n">
        <v>8.241297576708272</v>
      </c>
      <c r="D106" s="160" t="n">
        <v>8.239113754615177</v>
      </c>
      <c r="E106" s="160" t="n">
        <v>0.001395841542430887</v>
      </c>
      <c r="F106" s="160" t="n">
        <v>0.002183822093093763</v>
      </c>
      <c r="G106" s="167" t="n">
        <v>3791.471935483873</v>
      </c>
      <c r="H106" s="167" t="n">
        <v>3794.460719024424</v>
      </c>
      <c r="I106" s="167" t="n">
        <v>3786.183333333337</v>
      </c>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t="inlineStr">
        <is>
          <t>2026-01</t>
        </is>
      </c>
      <c r="B107" s="160" t="n">
        <v>8.216898319573602</v>
      </c>
      <c r="C107" s="160" t="n">
        <v>8.238560663351326</v>
      </c>
      <c r="D107" s="160" t="n">
        <v>8.240509596157608</v>
      </c>
      <c r="E107" s="160" t="n">
        <v>-0.02361127658400619</v>
      </c>
      <c r="F107" s="160" t="n">
        <v>-0.001948932806283333</v>
      </c>
      <c r="G107" s="167" t="n">
        <v>3702.999032258066</v>
      </c>
      <c r="H107" s="167" t="n">
        <v>3784.089807417146</v>
      </c>
      <c r="I107" s="167" t="n">
        <v>3791.471935483873</v>
      </c>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t="inlineStr">
        <is>
          <t>2026-02</t>
        </is>
      </c>
      <c r="B108" s="160" t="n">
        <v>8.209482934803669</v>
      </c>
      <c r="C108" s="160" t="n">
        <v>8.1964278931673</v>
      </c>
      <c r="D108" s="160" t="n">
        <v>8.216898319573602</v>
      </c>
      <c r="E108" s="160" t="n">
        <v>-0.007415384769933198</v>
      </c>
      <c r="F108" s="160" t="n">
        <v>-0.02047042640630141</v>
      </c>
      <c r="G108" s="167" t="n">
        <v>3675.64142857143</v>
      </c>
      <c r="H108" s="167" t="n">
        <v>3627.967645394556</v>
      </c>
      <c r="I108" s="167" t="n">
        <v>3702.999032258066</v>
      </c>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t="inlineStr">
        <is>
          <t>2026-03</t>
        </is>
      </c>
      <c r="B109" s="160" t="n">
        <v>8.220822123905636</v>
      </c>
      <c r="C109" s="160" t="n">
        <v>8.247624087590864</v>
      </c>
      <c r="D109" s="160" t="n">
        <v>8.209482934803669</v>
      </c>
      <c r="E109" s="160" t="n">
        <v>0.01133918910196741</v>
      </c>
      <c r="F109" s="160" t="n">
        <v>0.03814115278719601</v>
      </c>
      <c r="G109" s="167" t="n">
        <v>3717.55741935484</v>
      </c>
      <c r="H109" s="167" t="n">
        <v>3818.542512599224</v>
      </c>
      <c r="I109" s="167" t="n">
        <v>3675.64142857143</v>
      </c>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t="inlineStr">
        <is>
          <t>2026-04</t>
        </is>
      </c>
      <c r="B110" s="160" t="n">
        <v>8.193543618593685</v>
      </c>
      <c r="C110" s="160" t="n">
        <v>8.197741198030364</v>
      </c>
      <c r="D110" s="160" t="n">
        <v>8.220822123905636</v>
      </c>
      <c r="E110" s="160" t="n">
        <v>-0.02727850531195131</v>
      </c>
      <c r="F110" s="160" t="n">
        <v>-0.02308092587527101</v>
      </c>
      <c r="G110" s="167" t="n">
        <v>3617.518666666666</v>
      </c>
      <c r="H110" s="167" t="n">
        <v>3632.735403020657</v>
      </c>
      <c r="I110" s="167" t="n">
        <v>3717.55741935484</v>
      </c>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3">
    <mergeCell ref="A1:R1"/>
    <mergeCell ref="A61:I61"/>
    <mergeCell ref="A2:R3"/>
  </mergeCells>
  <pageMargins left="0.7" right="0.7" top="0.75" bottom="0.75" header="0.3" footer="0.3"/>
  <drawing xmlns:r="http://schemas.openxmlformats.org/officeDocument/2006/relationships" r:id="rId1"/>
  <tableParts count="3">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0.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38" customWidth="1" min="1" max="1"/>
    <col width="22" customWidth="1" min="2" max="2"/>
    <col width="25" customWidth="1" min="3" max="3"/>
    <col width="25" customWidth="1" min="4" max="4"/>
    <col width="16" customWidth="1" min="5" max="5"/>
    <col width="30" customWidth="1" min="6" max="6"/>
    <col width="14" customWidth="1" min="7" max="7"/>
    <col width="14" customWidth="1" min="8" max="8"/>
    <col width="14" customWidth="1" min="9" max="9"/>
    <col width="14" customWidth="1" min="10" max="10"/>
    <col width="14" customWidth="1" min="11" max="11"/>
    <col width="14" customWidth="1" min="12" max="12"/>
    <col width="3" customWidth="1" min="13" max="13"/>
    <col width="25" customWidth="1" min="14" max="14"/>
    <col width="16" customWidth="1" min="15" max="15"/>
    <col width="16" customWidth="1" min="16" max="16"/>
  </cols>
  <sheetData>
    <row r="1" ht="30" customHeight="1">
      <c r="A1" s="4" t="inlineStr">
        <is>
          <t>Pronóstico mensual con rezagos de publicación</t>
        </is>
      </c>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115" t="inlineStr">
        <is>
          <t>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t>
        </is>
      </c>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ht="22" customHeight="1">
      <c r="A5" s="55" t="inlineStr">
        <is>
          <t>Desempeño en la ventana expansiva de 48 meses</t>
        </is>
      </c>
      <c r="G5" s="1" t="n"/>
      <c r="H5" s="55" t="inlineStr">
        <is>
          <t>Lectura de desempeño</t>
        </is>
      </c>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c r="A6" s="62" t="inlineStr">
        <is>
          <t>Modelo</t>
        </is>
      </c>
      <c r="B6" s="62" t="inlineStr">
        <is>
          <t>Observaciones</t>
        </is>
      </c>
      <c r="C6" s="62" t="inlineStr">
        <is>
          <t>MAE (log)</t>
        </is>
      </c>
      <c r="D6" s="62" t="inlineStr">
        <is>
          <t>RMSE (log)</t>
        </is>
      </c>
      <c r="E6" s="62" t="inlineStr">
        <is>
          <t>MAPE</t>
        </is>
      </c>
      <c r="F6" s="62" t="inlineStr">
        <is>
          <t>Acierto dirección</t>
        </is>
      </c>
      <c r="G6" s="1" t="n"/>
      <c r="H6" s="62" t="inlineStr">
        <is>
          <t>Indicador</t>
        </is>
      </c>
      <c r="I6" s="184" t="n"/>
      <c r="J6" s="62" t="inlineStr">
        <is>
          <t>Valor</t>
        </is>
      </c>
      <c r="K6" s="184" t="n"/>
      <c r="L6" s="62" t="inlineStr">
        <is>
          <t>Lectura</t>
        </is>
      </c>
      <c r="M6" s="185" t="n"/>
      <c r="N6" s="185" t="n"/>
      <c r="O6" s="185" t="n"/>
      <c r="P6" s="184"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ht="34" customHeight="1">
      <c r="A7" s="37" t="inlineStr">
        <is>
          <t>Pronóstico con rezagos de publicación</t>
        </is>
      </c>
      <c r="B7" s="37" t="n">
        <v>48</v>
      </c>
      <c r="C7" s="186" t="n">
        <v>0.0267216490902693</v>
      </c>
      <c r="D7" s="186" t="n">
        <v>0.034303209879967</v>
      </c>
      <c r="E7" s="187" t="n">
        <v>0.02676379765034401</v>
      </c>
      <c r="F7" s="187" t="n">
        <v>0.5833333333333334</v>
      </c>
      <c r="G7" s="1" t="n"/>
      <c r="H7" s="67" t="inlineStr">
        <is>
          <t>Composición regional</t>
        </is>
      </c>
      <c r="I7" s="188" t="n"/>
      <c r="J7" s="67" t="inlineStr">
        <is>
          <t>BRL, CLP y MXN</t>
        </is>
      </c>
      <c r="K7" s="188" t="n"/>
      <c r="L7" s="67" t="inlineStr">
        <is>
          <t>Seleccionada por menor BIC; PEN no mejora BIC ni MAPE del pronóstico.</t>
        </is>
      </c>
      <c r="M7" s="189" t="n"/>
      <c r="N7" s="189" t="n"/>
      <c r="O7" s="189" t="n"/>
      <c r="P7" s="188" t="n"/>
      <c r="Q7" s="1" t="n"/>
      <c r="R7" s="1" t="n"/>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ht="34" customHeight="1">
      <c r="A8" s="1" t="inlineStr">
        <is>
          <t>Caminata aleatoria</t>
        </is>
      </c>
      <c r="B8" s="1" t="n">
        <v>48</v>
      </c>
      <c r="C8" s="161" t="n">
        <v>0.0240287602436026</v>
      </c>
      <c r="D8" s="161" t="n">
        <v>0.0322154550972606</v>
      </c>
      <c r="E8" s="182" t="n">
        <v>0.02394031003568149</v>
      </c>
      <c r="F8" s="182" t="n"/>
      <c r="G8" s="1" t="n"/>
      <c r="H8" s="67" t="inlineStr">
        <is>
          <t>MAPE</t>
        </is>
      </c>
      <c r="I8" s="188" t="n"/>
      <c r="J8" s="164" t="n">
        <v>0.02631217455261154</v>
      </c>
      <c r="K8" s="188" t="n"/>
      <c r="L8" s="67" t="inlineStr">
        <is>
          <t>La caminata obtiene 2.39%; el pronóstico no la mejora.</t>
        </is>
      </c>
      <c r="M8" s="189" t="n"/>
      <c r="N8" s="189" t="n"/>
      <c r="O8" s="189" t="n"/>
      <c r="P8" s="188" t="n"/>
      <c r="Q8" s="1" t="n"/>
      <c r="R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ht="34" customHeight="1">
      <c r="A9" s="1" t="n"/>
      <c r="B9" s="1" t="n"/>
      <c r="C9" s="1" t="n"/>
      <c r="D9" s="1" t="n"/>
      <c r="E9" s="1" t="n"/>
      <c r="F9" s="1" t="n"/>
      <c r="G9" s="1" t="n"/>
      <c r="H9" s="67" t="inlineStr">
        <is>
          <t>R² frente a caminata</t>
        </is>
      </c>
      <c r="I9" s="188" t="n"/>
      <c r="J9" s="164" t="n">
        <v>-0.1098034327778852</v>
      </c>
      <c r="K9" s="188" t="n"/>
      <c r="L9" s="67" t="inlineStr">
        <is>
          <t>Un valor negativo indica mayor error cuadrático que la caminata aleatoria.</t>
        </is>
      </c>
      <c r="M9" s="189" t="n"/>
      <c r="N9" s="189" t="n"/>
      <c r="O9" s="189" t="n"/>
      <c r="P9" s="188" t="n"/>
      <c r="Q9" s="1" t="n"/>
      <c r="R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ht="34" customHeight="1">
      <c r="A10" s="1" t="n"/>
      <c r="B10" s="1" t="n"/>
      <c r="C10" s="1" t="n"/>
      <c r="D10" s="1" t="n"/>
      <c r="E10" s="1" t="n"/>
      <c r="F10" s="1" t="n"/>
      <c r="G10" s="1" t="n"/>
      <c r="H10" s="67" t="inlineStr">
        <is>
          <t>Estado del backtest</t>
        </is>
      </c>
      <c r="I10" s="188" t="n"/>
      <c r="J10" s="67" t="inlineStr">
        <is>
          <t>Pseudo-tiempo-real</t>
        </is>
      </c>
      <c r="K10" s="188" t="n"/>
      <c r="L10" s="67" t="inlineStr">
        <is>
          <t>Respeta rezagos de publicación, pero usa el último vintage disponible.</t>
        </is>
      </c>
      <c r="M10" s="189" t="n"/>
      <c r="N10" s="189" t="n"/>
      <c r="O10" s="189" t="n"/>
      <c r="P10" s="188" t="n"/>
      <c r="Q10" s="1" t="n"/>
      <c r="R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ht="34" customHeight="1">
      <c r="A11" s="1" t="n"/>
      <c r="B11" s="1" t="n"/>
      <c r="C11" s="1" t="n"/>
      <c r="D11" s="1" t="n"/>
      <c r="E11" s="1" t="n"/>
      <c r="F11" s="1" t="n"/>
      <c r="G11" s="1" t="n"/>
      <c r="H11" s="67" t="inlineStr">
        <is>
          <t>Conclusión</t>
        </is>
      </c>
      <c r="I11" s="188" t="n"/>
      <c r="J11" s="67" t="inlineStr">
        <is>
          <t>Benchmark honesto</t>
        </is>
      </c>
      <c r="K11" s="188" t="n"/>
      <c r="L11" s="67" t="inlineStr">
        <is>
          <t>La explicación histórica mejora con PEN; la precisión ex ante sigue siendo limitada.</t>
        </is>
      </c>
      <c r="M11" s="189" t="n"/>
      <c r="N11" s="189" t="n"/>
      <c r="O11" s="189" t="n"/>
      <c r="P11" s="188"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ht="22" customHeight="1">
      <c r="A12" s="55" t="inlineStr">
        <is>
          <t>Comparación del factor regional: tres frente a cuatro monedas</t>
        </is>
      </c>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c r="A13" s="62" t="inlineStr">
        <is>
          <t>Uso</t>
        </is>
      </c>
      <c r="B13" s="62" t="inlineStr">
        <is>
          <t>Monedas</t>
        </is>
      </c>
      <c r="C13" s="62" t="inlineStr">
        <is>
          <t>R² ajustado</t>
        </is>
      </c>
      <c r="D13" s="62" t="inlineStr">
        <is>
          <t>BIC</t>
        </is>
      </c>
      <c r="E13" s="62" t="inlineStr">
        <is>
          <t>MAPE</t>
        </is>
      </c>
      <c r="F13" s="62" t="inlineStr">
        <is>
          <t>Dirección</t>
        </is>
      </c>
      <c r="G13" s="62" t="inlineStr">
        <is>
          <t>R² vs. caminata</t>
        </is>
      </c>
      <c r="H13" s="62" t="inlineStr">
        <is>
          <t>Coef. regional</t>
        </is>
      </c>
      <c r="I13" s="62" t="inlineStr">
        <is>
          <t>p-valor HAC</t>
        </is>
      </c>
      <c r="J13" s="62" t="inlineStr">
        <is>
          <t>Correlación 3–4</t>
        </is>
      </c>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ht="34" customHeight="1">
      <c r="A14" s="1" t="inlineStr">
        <is>
          <t>Explicación histórica</t>
        </is>
      </c>
      <c r="B14" s="1" t="inlineStr">
        <is>
          <t>BRL, CLP y MXN</t>
        </is>
      </c>
      <c r="C14" s="182" t="n">
        <v>0.5635458992372007</v>
      </c>
      <c r="D14" s="190" t="n">
        <v>-1091.26598411098</v>
      </c>
      <c r="E14" s="182" t="n">
        <v>0.01830614867619191</v>
      </c>
      <c r="F14" s="182" t="n">
        <v>0.75</v>
      </c>
      <c r="G14" s="182" t="n">
        <v>0.4205211696353953</v>
      </c>
      <c r="H14" s="161" t="n">
        <v>0.0119658914004995</v>
      </c>
      <c r="I14" s="161" t="n">
        <v>0.002374554384989349</v>
      </c>
      <c r="J14" s="161" t="n">
        <v>0.9581117028398654</v>
      </c>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ht="34" customHeight="1">
      <c r="A15" s="1" t="inlineStr">
        <is>
          <t>Explicación histórica</t>
        </is>
      </c>
      <c r="B15" s="1" t="inlineStr">
        <is>
          <t>BRL, CLP, MXN y PEN</t>
        </is>
      </c>
      <c r="C15" s="182" t="n">
        <v>0.5851585214505299</v>
      </c>
      <c r="D15" s="190" t="n">
        <v>-1103.454803870967</v>
      </c>
      <c r="E15" s="182" t="n">
        <v>0.01700257399880555</v>
      </c>
      <c r="F15" s="182" t="n">
        <v>0.8125</v>
      </c>
      <c r="G15" s="182" t="n">
        <v>0.4742451711579705</v>
      </c>
      <c r="H15" s="161" t="n">
        <v>0.01653101447929981</v>
      </c>
      <c r="I15" s="161" t="n">
        <v>6.794482561747047e-06</v>
      </c>
      <c r="J15" s="161" t="n">
        <v>0.9581117028398654</v>
      </c>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ht="34" customHeight="1">
      <c r="A16" s="1" t="inlineStr">
        <is>
          <t>Pronóstico con rezagos de publicación</t>
        </is>
      </c>
      <c r="B16" s="1" t="inlineStr">
        <is>
          <t>BRL, CLP y MXN</t>
        </is>
      </c>
      <c r="C16" s="182" t="n">
        <v>0.1020059674405992</v>
      </c>
      <c r="D16" s="190" t="n">
        <v>-913.6943990045021</v>
      </c>
      <c r="E16" s="182" t="n">
        <v>0.02631217455261154</v>
      </c>
      <c r="F16" s="182" t="n">
        <v>0.5208333333333334</v>
      </c>
      <c r="G16" s="182" t="n">
        <v>-0.1098034327778852</v>
      </c>
      <c r="H16" s="161" t="n">
        <v>-0.005354331801237002</v>
      </c>
      <c r="I16" s="161" t="n">
        <v>0.2894306335963837</v>
      </c>
      <c r="J16" s="161" t="n">
        <v>0.9581117028398654</v>
      </c>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ht="34" customHeight="1">
      <c r="A17" s="1" t="inlineStr">
        <is>
          <t>Pronóstico con rezagos de publicación</t>
        </is>
      </c>
      <c r="B17" s="1" t="inlineStr">
        <is>
          <t>BRL, CLP, MXN y PEN</t>
        </is>
      </c>
      <c r="C17" s="182" t="n">
        <v>0.09739124037576741</v>
      </c>
      <c r="D17" s="190" t="n">
        <v>-912.4642143960276</v>
      </c>
      <c r="E17" s="182" t="n">
        <v>0.02689459533526817</v>
      </c>
      <c r="F17" s="182" t="n">
        <v>0.4791666666666667</v>
      </c>
      <c r="G17" s="182" t="n">
        <v>-0.1554650811647111</v>
      </c>
      <c r="H17" s="161" t="n">
        <v>0.001257635178960251</v>
      </c>
      <c r="I17" s="161" t="n">
        <v>0.8010491060515714</v>
      </c>
      <c r="J17" s="161" t="n">
        <v>0.9581117028398654</v>
      </c>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ht="22" customHeight="1">
      <c r="A19" s="55" t="inlineStr">
        <is>
          <t>Calendario conservador de disponibilidad al inicio del mes t</t>
        </is>
      </c>
      <c r="E19" s="1" t="n"/>
      <c r="F19" s="55" t="inlineStr">
        <is>
          <t>Coeficientes del modelo de pronóstico seleccionado</t>
        </is>
      </c>
      <c r="M19" s="1" t="n"/>
      <c r="N19" s="55" t="inlineStr">
        <is>
          <t>Diagnósticos</t>
        </is>
      </c>
      <c r="Q19" s="1" t="n"/>
      <c r="R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c r="A20" s="62" t="inlineStr">
        <is>
          <t>Factor</t>
        </is>
      </c>
      <c r="B20" s="62" t="inlineStr">
        <is>
          <t>Rezago (meses)</t>
        </is>
      </c>
      <c r="C20" s="62" t="inlineStr">
        <is>
          <t>Frecuencia/publicación</t>
        </is>
      </c>
      <c r="D20" s="62" t="inlineStr">
        <is>
          <t>Regla utilizada</t>
        </is>
      </c>
      <c r="E20" s="1" t="n"/>
      <c r="F20" s="62" t="inlineStr">
        <is>
          <t>Variable</t>
        </is>
      </c>
      <c r="G20" s="62" t="inlineStr">
        <is>
          <t>Coeficiente</t>
        </is>
      </c>
      <c r="H20" s="62" t="inlineStr">
        <is>
          <t>EE HAC</t>
        </is>
      </c>
      <c r="I20" s="62" t="inlineStr">
        <is>
          <t>t</t>
        </is>
      </c>
      <c r="J20" s="62" t="inlineStr">
        <is>
          <t>p-valor</t>
        </is>
      </c>
      <c r="K20" s="62" t="inlineStr">
        <is>
          <t>IC 95% inferior</t>
        </is>
      </c>
      <c r="L20" s="62" t="inlineStr">
        <is>
          <t>IC 95% superior</t>
        </is>
      </c>
      <c r="M20" s="1" t="n"/>
      <c r="N20" s="62" t="inlineStr">
        <is>
          <t>Prueba</t>
        </is>
      </c>
      <c r="O20" s="62" t="inlineStr">
        <is>
          <t>Estadístico</t>
        </is>
      </c>
      <c r="P20" s="62" t="inlineStr">
        <is>
          <t>p-valor</t>
        </is>
      </c>
      <c r="Q20" s="1" t="n"/>
      <c r="R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ht="34" customHeight="1">
      <c r="A21" s="64" t="inlineStr">
        <is>
          <t>Términos de intercambio</t>
        </is>
      </c>
      <c r="B21" s="64" t="n">
        <v>3</v>
      </c>
      <c r="C21" s="64" t="inlineStr">
        <is>
          <t>Mensual; publicación aproximada t+2</t>
        </is>
      </c>
      <c r="D21" s="64" t="inlineStr">
        <is>
          <t>Último cambio utilizable al inicio de t: t-3</t>
        </is>
      </c>
      <c r="E21" s="1" t="n"/>
      <c r="F21" s="1" t="inlineStr">
        <is>
          <t>Intercepto</t>
        </is>
      </c>
      <c r="G21" s="160" t="n">
        <v>-0.00019009707212492</v>
      </c>
      <c r="H21" s="160" t="n">
        <v>0.003201642684355116</v>
      </c>
      <c r="I21" s="160" t="n">
        <v>-0.05937485561828394</v>
      </c>
      <c r="J21" s="160" t="n">
        <v>0.9527062411302791</v>
      </c>
      <c r="K21" s="160" t="n">
        <v>-0.006499136934713552</v>
      </c>
      <c r="L21" s="160" t="n">
        <v>0.006118942790463712</v>
      </c>
      <c r="M21" s="1" t="n"/>
      <c r="N21" s="1" t="inlineStr">
        <is>
          <t>Ljung-Box (6)</t>
        </is>
      </c>
      <c r="O21" s="161" t="n">
        <v>4.55242369090705</v>
      </c>
      <c r="P21" s="161" t="n">
        <v>0.6023566493101442</v>
      </c>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ht="34" customHeight="1">
      <c r="A22" s="64" t="inlineStr">
        <is>
          <t>Remesas</t>
        </is>
      </c>
      <c r="B22" s="64" t="n">
        <v>2</v>
      </c>
      <c r="C22" s="64" t="inlineStr">
        <is>
          <t>Mensual; publicación posterior al mes de referencia</t>
        </is>
      </c>
      <c r="D22" s="64" t="inlineStr">
        <is>
          <t>Supuesto conservador: t-2</t>
        </is>
      </c>
      <c r="E22" s="1" t="n"/>
      <c r="F22" s="1" t="inlineStr">
        <is>
          <t>Δ ln trm (t−1)</t>
        </is>
      </c>
      <c r="G22" s="160" t="n">
        <v>0.3304681540378052</v>
      </c>
      <c r="H22" s="160" t="n">
        <v>0.09729740147973528</v>
      </c>
      <c r="I22" s="160" t="n">
        <v>3.396474613010439</v>
      </c>
      <c r="J22" s="160" t="n">
        <v>0.0008069525482597838</v>
      </c>
      <c r="K22" s="160" t="n">
        <v>0.1387374567112283</v>
      </c>
      <c r="L22" s="160" t="n">
        <v>0.5221988513643822</v>
      </c>
      <c r="M22" s="1" t="n"/>
      <c r="N22" s="1" t="inlineStr">
        <is>
          <t>Ljung-Box (12)</t>
        </is>
      </c>
      <c r="O22" s="161" t="n">
        <v>11.81649882921512</v>
      </c>
      <c r="P22" s="161" t="n">
        <v>0.4605272377179179</v>
      </c>
      <c r="Q22" s="1"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ht="34" customHeight="1">
      <c r="A23" s="64" t="inlineStr">
        <is>
          <t>Diferencial de tasas</t>
        </is>
      </c>
      <c r="B23" s="64" t="n">
        <v>1</v>
      </c>
      <c r="C23" s="64" t="inlineStr">
        <is>
          <t>Tasas observables durante el mes</t>
        </is>
      </c>
      <c r="D23" s="64" t="inlineStr">
        <is>
          <t>Promedios completos conocidos para t-1</t>
        </is>
      </c>
      <c r="E23" s="1" t="n"/>
      <c r="F23" s="1" t="inlineStr">
        <is>
          <t>Δ ln terminos intercambio (t−3)</t>
        </is>
      </c>
      <c r="G23" s="160" t="n">
        <v>0.04254008301869189</v>
      </c>
      <c r="H23" s="160" t="n">
        <v>0.05448694442583995</v>
      </c>
      <c r="I23" s="160" t="n">
        <v>0.780739009444575</v>
      </c>
      <c r="J23" s="160" t="n">
        <v>0.43577664121347</v>
      </c>
      <c r="K23" s="160" t="n">
        <v>-0.0648298949157811</v>
      </c>
      <c r="L23" s="160" t="n">
        <v>0.1499100609531649</v>
      </c>
      <c r="M23" s="1" t="n"/>
      <c r="N23" s="1" t="inlineStr">
        <is>
          <t>Breusch-Godfrey (12)</t>
        </is>
      </c>
      <c r="O23" s="161" t="n">
        <v>11.94679568588755</v>
      </c>
      <c r="P23" s="161" t="n">
        <v>0.4499619794317778</v>
      </c>
      <c r="Q23" s="1"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ht="34" customHeight="1">
      <c r="A24" s="64" t="inlineStr">
        <is>
          <t>Déficit fiscal</t>
        </is>
      </c>
      <c r="B24" s="64" t="n">
        <v>3</v>
      </c>
      <c r="C24" s="64" t="inlineStr">
        <is>
          <t>Mensual con rezago y posibles revisiones</t>
        </is>
      </c>
      <c r="D24" s="64" t="inlineStr">
        <is>
          <t>Supuesto conservador: t-3</t>
        </is>
      </c>
      <c r="E24" s="1" t="n"/>
      <c r="F24" s="1" t="inlineStr">
        <is>
          <t>Δ ln remesas 12m (t−2)</t>
        </is>
      </c>
      <c r="G24" s="160" t="n">
        <v>-0.1552126887321177</v>
      </c>
      <c r="H24" s="160" t="n">
        <v>0.1496265809681955</v>
      </c>
      <c r="I24" s="160" t="n">
        <v>-1.03733365908501</v>
      </c>
      <c r="J24" s="160" t="n">
        <v>0.3006939043605562</v>
      </c>
      <c r="K24" s="160" t="n">
        <v>-0.4500613514027099</v>
      </c>
      <c r="L24" s="160" t="n">
        <v>0.1396359739384745</v>
      </c>
      <c r="M24" s="1" t="n"/>
      <c r="N24" s="1" t="inlineStr">
        <is>
          <t>ARCH-LM (12)</t>
        </is>
      </c>
      <c r="O24" s="161" t="n">
        <v>18.49139502460699</v>
      </c>
      <c r="P24" s="161" t="n">
        <v>0.1015642859912561</v>
      </c>
      <c r="Q24" s="1"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ht="34" customHeight="1">
      <c r="A25" s="64" t="inlineStr">
        <is>
          <t>Dólar amplio</t>
        </is>
      </c>
      <c r="B25" s="64" t="n">
        <v>1</v>
      </c>
      <c r="C25" s="64" t="inlineStr">
        <is>
          <t>Diaria</t>
        </is>
      </c>
      <c r="D25" s="64" t="inlineStr">
        <is>
          <t>Promedio completo conocido para t-1</t>
        </is>
      </c>
      <c r="E25" s="1" t="n"/>
      <c r="F25" s="1" t="inlineStr">
        <is>
          <t>Δ diferencial tasas (t−1)</t>
        </is>
      </c>
      <c r="G25" s="160" t="n">
        <v>-0.0005430523504656335</v>
      </c>
      <c r="H25" s="160" t="n">
        <v>0.007366896746522683</v>
      </c>
      <c r="I25" s="160" t="n">
        <v>-0.07371521132313477</v>
      </c>
      <c r="J25" s="160" t="n">
        <v>0.9413024862958</v>
      </c>
      <c r="K25" s="160" t="n">
        <v>-0.01505998937922962</v>
      </c>
      <c r="L25" s="160" t="n">
        <v>0.01397388467829835</v>
      </c>
      <c r="M25" s="1" t="n"/>
      <c r="N25" s="1" t="inlineStr">
        <is>
          <t>Jarque-Bera</t>
        </is>
      </c>
      <c r="O25" s="161" t="n">
        <v>9.002044086811406</v>
      </c>
      <c r="P25" s="161" t="n">
        <v>0.01109764846168765</v>
      </c>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ht="34" customHeight="1">
      <c r="A26" s="64" t="inlineStr">
        <is>
          <t>VIX</t>
        </is>
      </c>
      <c r="B26" s="64" t="n">
        <v>1</v>
      </c>
      <c r="C26" s="64" t="inlineStr">
        <is>
          <t>Diaria</t>
        </is>
      </c>
      <c r="D26" s="64" t="inlineStr">
        <is>
          <t>Promedio completo conocido para t-1</t>
        </is>
      </c>
      <c r="E26" s="1" t="n"/>
      <c r="F26" s="1" t="inlineStr">
        <is>
          <t>Δ deficit fiscal 12m pct pib (t−3)</t>
        </is>
      </c>
      <c r="G26" s="160" t="n">
        <v>-0.00520128877976371</v>
      </c>
      <c r="H26" s="160" t="n">
        <v>0.004305188374892712</v>
      </c>
      <c r="I26" s="160" t="n">
        <v>-1.208144296332522</v>
      </c>
      <c r="J26" s="160" t="n">
        <v>0.2282600355517857</v>
      </c>
      <c r="K26" s="160" t="n">
        <v>-0.013684935379641</v>
      </c>
      <c r="L26" s="160" t="n">
        <v>0.003282357820113583</v>
      </c>
      <c r="M26" s="1" t="n"/>
      <c r="N26" s="1" t="inlineStr">
        <is>
          <t>Ramsey RESET</t>
        </is>
      </c>
      <c r="O26" s="161" t="n">
        <v>1.286449924236161</v>
      </c>
      <c r="P26" s="161" t="n">
        <v>0.2579155545506353</v>
      </c>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ht="34" customHeight="1">
      <c r="A27" s="64" t="inlineStr">
        <is>
          <t>Riesgo soberano EMBIG Colombia</t>
        </is>
      </c>
      <c r="B27" s="64" t="n">
        <v>1</v>
      </c>
      <c r="C27" s="64" t="inlineStr">
        <is>
          <t>Diaria</t>
        </is>
      </c>
      <c r="D27" s="64" t="inlineStr">
        <is>
          <t>Promedio completo conocido para t-1</t>
        </is>
      </c>
      <c r="E27" s="1" t="n"/>
      <c r="F27" s="1" t="inlineStr">
        <is>
          <t>Δ ln dolar amplio (t−1)</t>
        </is>
      </c>
      <c r="G27" s="160" t="n">
        <v>0.6261996630515188</v>
      </c>
      <c r="H27" s="160" t="n">
        <v>0.3291681525243418</v>
      </c>
      <c r="I27" s="160" t="n">
        <v>1.902370135899498</v>
      </c>
      <c r="J27" s="160" t="n">
        <v>0.05839976394691216</v>
      </c>
      <c r="K27" s="160" t="n">
        <v>-0.02244704756323213</v>
      </c>
      <c r="L27" s="160" t="n">
        <v>1.27484637366627</v>
      </c>
      <c r="M27" s="1" t="n"/>
      <c r="N27" s="1" t="inlineStr">
        <is>
          <t>CUSUM estabilidad</t>
        </is>
      </c>
      <c r="O27" s="161" t="n">
        <v>0.8141495979666675</v>
      </c>
      <c r="P27" s="161" t="n">
        <v>0.5213020668668708</v>
      </c>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ht="34" customHeight="1">
      <c r="A28" s="64" t="inlineStr">
        <is>
          <t>Reservas internacionales</t>
        </is>
      </c>
      <c r="B28" s="64" t="n">
        <v>2</v>
      </c>
      <c r="C28" s="64" t="inlineStr">
        <is>
          <t>Mensual; publicación posterior al cierre</t>
        </is>
      </c>
      <c r="D28" s="64" t="inlineStr">
        <is>
          <t>Supuesto conservador: t-2</t>
        </is>
      </c>
      <c r="E28" s="1" t="n"/>
      <c r="F28" s="1" t="inlineStr">
        <is>
          <t>Δ ln vix (t−1)</t>
        </is>
      </c>
      <c r="G28" s="160" t="n">
        <v>0.0008453283198702191</v>
      </c>
      <c r="H28" s="160" t="n">
        <v>0.01456774670458257</v>
      </c>
      <c r="I28" s="160" t="n">
        <v>0.05802739002898125</v>
      </c>
      <c r="J28" s="160" t="n">
        <v>0.9537783122419027</v>
      </c>
      <c r="K28" s="160" t="n">
        <v>-0.02786134001523729</v>
      </c>
      <c r="L28" s="160" t="n">
        <v>0.02955199665497773</v>
      </c>
      <c r="M28" s="1" t="n"/>
      <c r="N28" s="1" t="inlineStr">
        <is>
          <t>Durbin-Watson</t>
        </is>
      </c>
      <c r="O28" s="161" t="n">
        <v>1.899319445916023</v>
      </c>
      <c r="P28" s="161" t="n"/>
      <c r="Q28" s="1"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ht="34" customHeight="1">
      <c r="A29" s="64" t="inlineStr">
        <is>
          <t>Balanza comercial cambiaria</t>
        </is>
      </c>
      <c r="B29" s="64" t="n">
        <v>2</v>
      </c>
      <c r="C29" s="64" t="inlineStr">
        <is>
          <t>Mensual; publicación posterior al cierre</t>
        </is>
      </c>
      <c r="D29" s="64" t="inlineStr">
        <is>
          <t>Supuesto conservador: t-2</t>
        </is>
      </c>
      <c r="E29" s="1" t="n"/>
      <c r="F29" s="1" t="inlineStr">
        <is>
          <t>Δ embig colombia pp (t−1)</t>
        </is>
      </c>
      <c r="G29" s="160" t="n">
        <v>-0.0007492160500764467</v>
      </c>
      <c r="H29" s="160" t="n">
        <v>0.0115107760890719</v>
      </c>
      <c r="I29" s="160" t="n">
        <v>-0.06508823073951871</v>
      </c>
      <c r="J29" s="160" t="n">
        <v>0.948161543734531</v>
      </c>
      <c r="K29" s="160" t="n">
        <v>-0.0234319300050581</v>
      </c>
      <c r="L29" s="160" t="n">
        <v>0.02193349790490521</v>
      </c>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ht="34" customHeight="1">
      <c r="A30" s="64" t="inlineStr">
        <is>
          <t>Flujos netos de capital</t>
        </is>
      </c>
      <c r="B30" s="64" t="n">
        <v>2</v>
      </c>
      <c r="C30" s="64" t="inlineStr">
        <is>
          <t>Mensual; publicación posterior al cierre</t>
        </is>
      </c>
      <c r="D30" s="64" t="inlineStr">
        <is>
          <t>Supuesto conservador: t-2</t>
        </is>
      </c>
      <c r="E30" s="1" t="n"/>
      <c r="F30" s="1" t="inlineStr">
        <is>
          <t>Δ ln reservas netas sin flar (t−2)</t>
        </is>
      </c>
      <c r="G30" s="160" t="n">
        <v>0.2518642165192075</v>
      </c>
      <c r="H30" s="160" t="n">
        <v>0.377021219554192</v>
      </c>
      <c r="I30" s="160" t="n">
        <v>0.6680372442087579</v>
      </c>
      <c r="J30" s="160" t="n">
        <v>0.5047944977384841</v>
      </c>
      <c r="K30" s="160" t="n">
        <v>-0.4910799960977887</v>
      </c>
      <c r="L30" s="160" t="n">
        <v>0.9948084291362036</v>
      </c>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ht="34" customHeight="1">
      <c r="A31" s="64" t="inlineStr">
        <is>
          <t>Diferencial de compensación inflacionaria 5 años</t>
        </is>
      </c>
      <c r="B31" s="64" t="n">
        <v>1</v>
      </c>
      <c r="C31" s="64" t="inlineStr">
        <is>
          <t>Curvas diarias</t>
        </is>
      </c>
      <c r="D31" s="64" t="inlineStr">
        <is>
          <t>Promedios completos conocidos para t-1</t>
        </is>
      </c>
      <c r="E31" s="1" t="n"/>
      <c r="F31" s="1" t="inlineStr">
        <is>
          <t>Δ asinh balanza comercial (t−2)</t>
        </is>
      </c>
      <c r="G31" s="160" t="n">
        <v>-0.05032013229642267</v>
      </c>
      <c r="H31" s="160" t="n">
        <v>0.0217127085103647</v>
      </c>
      <c r="I31" s="160" t="n">
        <v>-2.31754284696458</v>
      </c>
      <c r="J31" s="160" t="n">
        <v>0.02137271105438341</v>
      </c>
      <c r="K31" s="160" t="n">
        <v>-0.09310640079104404</v>
      </c>
      <c r="L31" s="160" t="n">
        <v>-0.007533863801801287</v>
      </c>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ht="34" customHeight="1">
      <c r="A32" s="64" t="inlineStr">
        <is>
          <t>Monedas regionales</t>
        </is>
      </c>
      <c r="B32" s="64" t="n">
        <v>1</v>
      </c>
      <c r="C32" s="64" t="inlineStr">
        <is>
          <t>Tipos de cambio mensuales</t>
        </is>
      </c>
      <c r="D32" s="64" t="inlineStr">
        <is>
          <t>Promedios completos conocidos para t-1</t>
        </is>
      </c>
      <c r="E32" s="1" t="n"/>
      <c r="F32" s="1" t="inlineStr">
        <is>
          <t>Δ asinh flujos capital (t−2)</t>
        </is>
      </c>
      <c r="G32" s="160" t="n">
        <v>0.001060043681506936</v>
      </c>
      <c r="H32" s="160" t="n">
        <v>0.0068605258719273</v>
      </c>
      <c r="I32" s="160" t="n">
        <v>0.1545134733540685</v>
      </c>
      <c r="J32" s="160" t="n">
        <v>0.8773433981081094</v>
      </c>
      <c r="K32" s="160" t="n">
        <v>-0.01245905743986889</v>
      </c>
      <c r="L32" s="160" t="n">
        <v>0.01457914480288276</v>
      </c>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1" t="n"/>
      <c r="B33" s="1" t="n"/>
      <c r="C33" s="1" t="n"/>
      <c r="D33" s="1" t="n"/>
      <c r="E33" s="1" t="n"/>
      <c r="F33" s="1" t="inlineStr">
        <is>
          <t>Δ diferencial BEI 5 años (t−1)</t>
        </is>
      </c>
      <c r="G33" s="160" t="n">
        <v>-0.009158751513434036</v>
      </c>
      <c r="H33" s="160" t="n">
        <v>0.006418704269116408</v>
      </c>
      <c r="I33" s="160" t="n">
        <v>-1.426884793166335</v>
      </c>
      <c r="J33" s="160" t="n">
        <v>0.1549993120210725</v>
      </c>
      <c r="K33" s="160" t="n">
        <v>-0.02180721515927028</v>
      </c>
      <c r="L33" s="160" t="n">
        <v>0.003489712132402206</v>
      </c>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1" t="n"/>
      <c r="B34" s="1" t="n"/>
      <c r="C34" s="1" t="n"/>
      <c r="D34" s="1" t="n"/>
      <c r="E34" s="1" t="n"/>
      <c r="F34" s="1" t="inlineStr">
        <is>
          <t>Factor regional BRL, CLP y MXN (t−1)</t>
        </is>
      </c>
      <c r="G34" s="160" t="n">
        <v>-0.005354331801237002</v>
      </c>
      <c r="H34" s="160" t="n">
        <v>0.005042334789155071</v>
      </c>
      <c r="I34" s="160" t="n">
        <v>-1.061875505123731</v>
      </c>
      <c r="J34" s="160" t="n">
        <v>0.2894306335963837</v>
      </c>
      <c r="K34" s="160" t="n">
        <v>-0.01529057213834523</v>
      </c>
      <c r="L34" s="160" t="n">
        <v>0.004581908535871231</v>
      </c>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1" t="n"/>
      <c r="B35" s="1" t="n"/>
      <c r="C35" s="1" t="n"/>
      <c r="D35" s="1" t="n"/>
      <c r="E35" s="1" t="n"/>
      <c r="F35" s="1" t="inlineStr">
        <is>
          <t>Dummy pandemia 2020</t>
        </is>
      </c>
      <c r="G35" s="160" t="n">
        <v>0.03255254425391212</v>
      </c>
      <c r="H35" s="160" t="n">
        <v>0.0224225354201571</v>
      </c>
      <c r="I35" s="160" t="n">
        <v>1.451778027949885</v>
      </c>
      <c r="J35" s="160" t="n">
        <v>0.1479562650005861</v>
      </c>
      <c r="K35" s="160" t="n">
        <v>-0.01163248316259077</v>
      </c>
      <c r="L35" s="160" t="n">
        <v>0.07673757167041501</v>
      </c>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ht="22" customHeight="1">
      <c r="A37" s="55" t="inlineStr">
        <is>
          <t>Predicciones de un mes con información disponible al origen</t>
        </is>
      </c>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c r="A38" s="62" t="inlineStr">
        <is>
          <t>Mes</t>
        </is>
      </c>
      <c r="B38" s="62" t="inlineStr">
        <is>
          <t>ln TRM observada</t>
        </is>
      </c>
      <c r="C38" s="62" t="inlineStr">
        <is>
          <t>ln TRM pronóstico</t>
        </is>
      </c>
      <c r="D38" s="62" t="inlineStr">
        <is>
          <t>ln TRM caminata</t>
        </is>
      </c>
      <c r="E38" s="62" t="inlineStr">
        <is>
          <t>Δln observado</t>
        </is>
      </c>
      <c r="F38" s="62" t="inlineStr">
        <is>
          <t>Δln pronóstico</t>
        </is>
      </c>
      <c r="G38" s="62" t="inlineStr">
        <is>
          <t>TRM observada</t>
        </is>
      </c>
      <c r="H38" s="62" t="inlineStr">
        <is>
          <t>TRM pronóstico</t>
        </is>
      </c>
      <c r="I38" s="62" t="inlineStr">
        <is>
          <t>TRM caminata</t>
        </is>
      </c>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1" t="inlineStr">
        <is>
          <t>2022-05</t>
        </is>
      </c>
      <c r="B39" s="160" t="n">
        <v>8.298808139175573</v>
      </c>
      <c r="C39" s="160" t="n">
        <v>8.249294400173596</v>
      </c>
      <c r="D39" s="160" t="n">
        <v>8.240907796093667</v>
      </c>
      <c r="E39" s="160" t="n">
        <v>0.05790034308190606</v>
      </c>
      <c r="F39" s="160" t="n">
        <v>0.008386604079928191</v>
      </c>
      <c r="G39" s="167" t="n">
        <v>4019.079354838708</v>
      </c>
      <c r="H39" s="167" t="n">
        <v>3824.926001932862</v>
      </c>
      <c r="I39" s="167" t="n">
        <v>3792.981999999997</v>
      </c>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1" t="inlineStr">
        <is>
          <t>2022-06</t>
        </is>
      </c>
      <c r="B40" s="160" t="n">
        <v>8.276589766414325</v>
      </c>
      <c r="C40" s="160" t="n">
        <v>8.302551251873885</v>
      </c>
      <c r="D40" s="160" t="n">
        <v>8.298808139175573</v>
      </c>
      <c r="E40" s="160" t="n">
        <v>-0.02221837276124816</v>
      </c>
      <c r="F40" s="160" t="n">
        <v>0.003743112698311928</v>
      </c>
      <c r="G40" s="167" t="n">
        <v>3930.766666666666</v>
      </c>
      <c r="H40" s="167" t="n">
        <v>4034.151412414632</v>
      </c>
      <c r="I40" s="167" t="n">
        <v>4019.079354838708</v>
      </c>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1" t="inlineStr">
        <is>
          <t>2022-07</t>
        </is>
      </c>
      <c r="B41" s="160" t="n">
        <v>8.382016058206503</v>
      </c>
      <c r="C41" s="160" t="n">
        <v>8.28574745314806</v>
      </c>
      <c r="D41" s="160" t="n">
        <v>8.276589766414325</v>
      </c>
      <c r="E41" s="160" t="n">
        <v>0.1054262917921776</v>
      </c>
      <c r="F41" s="160" t="n">
        <v>0.009157686733734606</v>
      </c>
      <c r="G41" s="167" t="n">
        <v>4367.805806451614</v>
      </c>
      <c r="H41" s="167" t="n">
        <v>3966.928724098329</v>
      </c>
      <c r="I41" s="167" t="n">
        <v>3930.766666666666</v>
      </c>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1" t="inlineStr">
        <is>
          <t>2022-08</t>
        </is>
      </c>
      <c r="B42" s="160" t="n">
        <v>8.371582127847805</v>
      </c>
      <c r="C42" s="160" t="n">
        <v>8.414536216470653</v>
      </c>
      <c r="D42" s="160" t="n">
        <v>8.382016058206503</v>
      </c>
      <c r="E42" s="160" t="n">
        <v>-0.01043393035869755</v>
      </c>
      <c r="F42" s="160" t="n">
        <v>0.03252015826415029</v>
      </c>
      <c r="G42" s="167" t="n">
        <v>4322.469354838713</v>
      </c>
      <c r="H42" s="167" t="n">
        <v>4512.182393583375</v>
      </c>
      <c r="I42" s="167" t="n">
        <v>4367.805806451614</v>
      </c>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1" t="inlineStr">
        <is>
          <t>2022-09</t>
        </is>
      </c>
      <c r="B43" s="160" t="n">
        <v>8.396978677110038</v>
      </c>
      <c r="C43" s="160" t="n">
        <v>8.387993955959496</v>
      </c>
      <c r="D43" s="160" t="n">
        <v>8.371582127847805</v>
      </c>
      <c r="E43" s="160" t="n">
        <v>0.02539654926223278</v>
      </c>
      <c r="F43" s="160" t="n">
        <v>0.01641182811169141</v>
      </c>
      <c r="G43" s="167" t="n">
        <v>4433.650999999996</v>
      </c>
      <c r="H43" s="167" t="n">
        <v>4393.994301051345</v>
      </c>
      <c r="I43" s="167" t="n">
        <v>4322.469354838713</v>
      </c>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1" t="inlineStr">
        <is>
          <t>2022-10</t>
        </is>
      </c>
      <c r="B44" s="160" t="n">
        <v>8.457831715043978</v>
      </c>
      <c r="C44" s="160" t="n">
        <v>8.402253506507666</v>
      </c>
      <c r="D44" s="160" t="n">
        <v>8.396978677110038</v>
      </c>
      <c r="E44" s="160" t="n">
        <v>0.06085303793394026</v>
      </c>
      <c r="F44" s="160" t="n">
        <v>0.005274829397628317</v>
      </c>
      <c r="G44" s="167" t="n">
        <v>4711.830322580648</v>
      </c>
      <c r="H44" s="167" t="n">
        <v>4457.099541793425</v>
      </c>
      <c r="I44" s="167" t="n">
        <v>4433.650999999996</v>
      </c>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1" t="inlineStr">
        <is>
          <t>2022-11</t>
        </is>
      </c>
      <c r="B45" s="160" t="n">
        <v>8.502416687971365</v>
      </c>
      <c r="C45" s="160" t="n">
        <v>8.46120399255833</v>
      </c>
      <c r="D45" s="160" t="n">
        <v>8.457831715043978</v>
      </c>
      <c r="E45" s="160" t="n">
        <v>0.04458497292738706</v>
      </c>
      <c r="F45" s="160" t="n">
        <v>0.003372277514350936</v>
      </c>
      <c r="G45" s="167" t="n">
        <v>4926.660666666665</v>
      </c>
      <c r="H45" s="167" t="n">
        <v>4727.746744240564</v>
      </c>
      <c r="I45" s="167" t="n">
        <v>4711.830322580648</v>
      </c>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1" t="inlineStr">
        <is>
          <t>2022-12</t>
        </is>
      </c>
      <c r="B46" s="160" t="n">
        <v>8.473970535354521</v>
      </c>
      <c r="C46" s="160" t="n">
        <v>8.507956382280442</v>
      </c>
      <c r="D46" s="160" t="n">
        <v>8.502416687971365</v>
      </c>
      <c r="E46" s="160" t="n">
        <v>-0.02844615261684424</v>
      </c>
      <c r="F46" s="160" t="n">
        <v>0.005539694309076273</v>
      </c>
      <c r="G46" s="167" t="n">
        <v>4788.490645161287</v>
      </c>
      <c r="H46" s="167" t="n">
        <v>4954.028595715584</v>
      </c>
      <c r="I46" s="167" t="n">
        <v>4926.660666666665</v>
      </c>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1" t="inlineStr">
        <is>
          <t>2023-01</t>
        </is>
      </c>
      <c r="B47" s="160" t="n">
        <v>8.458547432938246</v>
      </c>
      <c r="C47" s="160" t="n">
        <v>8.467888100770525</v>
      </c>
      <c r="D47" s="160" t="n">
        <v>8.473970535354521</v>
      </c>
      <c r="E47" s="160" t="n">
        <v>-0.01542310241627476</v>
      </c>
      <c r="F47" s="160" t="n">
        <v>-0.006082434583997123</v>
      </c>
      <c r="G47" s="167" t="n">
        <v>4715.203870967738</v>
      </c>
      <c r="H47" s="167" t="n">
        <v>4759.453362264785</v>
      </c>
      <c r="I47" s="167" t="n">
        <v>4788.490645161287</v>
      </c>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1" t="inlineStr">
        <is>
          <t>2023-02</t>
        </is>
      </c>
      <c r="B48" s="160" t="n">
        <v>8.477019424251225</v>
      </c>
      <c r="C48" s="160" t="n">
        <v>8.454557874859054</v>
      </c>
      <c r="D48" s="160" t="n">
        <v>8.458547432938246</v>
      </c>
      <c r="E48" s="160" t="n">
        <v>0.01847199131297828</v>
      </c>
      <c r="F48" s="160" t="n">
        <v>-0.003989558079193155</v>
      </c>
      <c r="G48" s="167" t="n">
        <v>4803.112499999996</v>
      </c>
      <c r="H48" s="167" t="n">
        <v>4696.429766361247</v>
      </c>
      <c r="I48" s="167" t="n">
        <v>4715.203870967738</v>
      </c>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1" t="inlineStr">
        <is>
          <t>2023-03</t>
        </is>
      </c>
      <c r="B49" s="160" t="n">
        <v>8.469326819773904</v>
      </c>
      <c r="C49" s="160" t="n">
        <v>8.485921769328357</v>
      </c>
      <c r="D49" s="160" t="n">
        <v>8.477019424251225</v>
      </c>
      <c r="E49" s="160" t="n">
        <v>-0.007692604477320231</v>
      </c>
      <c r="F49" s="160" t="n">
        <v>0.008902345077131587</v>
      </c>
      <c r="G49" s="167" t="n">
        <v>4766.305806451614</v>
      </c>
      <c r="H49" s="167" t="n">
        <v>4846.06235849605</v>
      </c>
      <c r="I49" s="167" t="n">
        <v>4803.112499999996</v>
      </c>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1" t="inlineStr">
        <is>
          <t>2023-04</t>
        </is>
      </c>
      <c r="B50" s="160" t="n">
        <v>8.421271177813114</v>
      </c>
      <c r="C50" s="160" t="n">
        <v>8.454078984683321</v>
      </c>
      <c r="D50" s="160" t="n">
        <v>8.469326819773904</v>
      </c>
      <c r="E50" s="160" t="n">
        <v>-0.04805564196079004</v>
      </c>
      <c r="F50" s="160" t="n">
        <v>-0.01524783509058292</v>
      </c>
      <c r="G50" s="167" t="n">
        <v>4542.674333333336</v>
      </c>
      <c r="H50" s="167" t="n">
        <v>4694.181230728899</v>
      </c>
      <c r="I50" s="167" t="n">
        <v>4766.305806451614</v>
      </c>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1" t="inlineStr">
        <is>
          <t>2023-05</t>
        </is>
      </c>
      <c r="B51" s="160" t="n">
        <v>8.420701901472638</v>
      </c>
      <c r="C51" s="160" t="n">
        <v>8.40598637332547</v>
      </c>
      <c r="D51" s="160" t="n">
        <v>8.421271177813114</v>
      </c>
      <c r="E51" s="160" t="n">
        <v>-0.0005692763404763213</v>
      </c>
      <c r="F51" s="160" t="n">
        <v>-0.01528480448764465</v>
      </c>
      <c r="G51" s="167" t="n">
        <v>4540.089032258067</v>
      </c>
      <c r="H51" s="167" t="n">
        <v>4473.768392721178</v>
      </c>
      <c r="I51" s="167" t="n">
        <v>4542.674333333336</v>
      </c>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1" t="inlineStr">
        <is>
          <t>2023-06</t>
        </is>
      </c>
      <c r="B52" s="160" t="n">
        <v>8.345044039825018</v>
      </c>
      <c r="C52" s="160" t="n">
        <v>8.426250213158408</v>
      </c>
      <c r="D52" s="160" t="n">
        <v>8.420701901472638</v>
      </c>
      <c r="E52" s="160" t="n">
        <v>-0.07565786164762045</v>
      </c>
      <c r="F52" s="160" t="n">
        <v>0.005548311685769448</v>
      </c>
      <c r="G52" s="167" t="n">
        <v>4209.267999999998</v>
      </c>
      <c r="H52" s="167" t="n">
        <v>4565.348871220654</v>
      </c>
      <c r="I52" s="167" t="n">
        <v>4540.089032258067</v>
      </c>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1" t="inlineStr">
        <is>
          <t>2023-07</t>
        </is>
      </c>
      <c r="B53" s="160" t="n">
        <v>8.311209943353095</v>
      </c>
      <c r="C53" s="160" t="n">
        <v>8.328505858934266</v>
      </c>
      <c r="D53" s="160" t="n">
        <v>8.345044039825018</v>
      </c>
      <c r="E53" s="160" t="n">
        <v>-0.03383409647192259</v>
      </c>
      <c r="F53" s="160" t="n">
        <v>-0.01653818089075259</v>
      </c>
      <c r="G53" s="167" t="n">
        <v>4069.233548387099</v>
      </c>
      <c r="H53" s="167" t="n">
        <v>4140.226845570327</v>
      </c>
      <c r="I53" s="167" t="n">
        <v>4209.267999999998</v>
      </c>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1" t="inlineStr">
        <is>
          <t>2023-08</t>
        </is>
      </c>
      <c r="B54" s="160" t="n">
        <v>8.311576434873045</v>
      </c>
      <c r="C54" s="160" t="n">
        <v>8.300759369404407</v>
      </c>
      <c r="D54" s="160" t="n">
        <v>8.311209943353095</v>
      </c>
      <c r="E54" s="160" t="n">
        <v>0.0003664915199497187</v>
      </c>
      <c r="F54" s="160" t="n">
        <v>-0.01045057394868865</v>
      </c>
      <c r="G54" s="167" t="n">
        <v>4070.725161290322</v>
      </c>
      <c r="H54" s="167" t="n">
        <v>4026.929159865832</v>
      </c>
      <c r="I54" s="167" t="n">
        <v>4069.233548387099</v>
      </c>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1" t="inlineStr">
        <is>
          <t>2023-09</t>
        </is>
      </c>
      <c r="B55" s="160" t="n">
        <v>8.295179168611119</v>
      </c>
      <c r="C55" s="160" t="n">
        <v>8.331664919124798</v>
      </c>
      <c r="D55" s="160" t="n">
        <v>8.311576434873045</v>
      </c>
      <c r="E55" s="160" t="n">
        <v>-0.01639726626192584</v>
      </c>
      <c r="F55" s="160" t="n">
        <v>0.02008848425175228</v>
      </c>
      <c r="G55" s="167" t="n">
        <v>4004.52066666667</v>
      </c>
      <c r="H55" s="167" t="n">
        <v>4153.326752180291</v>
      </c>
      <c r="I55" s="167" t="n">
        <v>4070.725161290322</v>
      </c>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1" t="inlineStr">
        <is>
          <t>2023-10</t>
        </is>
      </c>
      <c r="B56" s="160" t="n">
        <v>8.348166834656725</v>
      </c>
      <c r="C56" s="160" t="n">
        <v>8.291637838421977</v>
      </c>
      <c r="D56" s="160" t="n">
        <v>8.295179168611119</v>
      </c>
      <c r="E56" s="160" t="n">
        <v>0.05298766604560612</v>
      </c>
      <c r="F56" s="160" t="n">
        <v>-0.003541330189142699</v>
      </c>
      <c r="G56" s="167" t="n">
        <v>4222.433225806451</v>
      </c>
      <c r="H56" s="167" t="n">
        <v>3990.364417507496</v>
      </c>
      <c r="I56" s="167" t="n">
        <v>4004.52066666667</v>
      </c>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1" t="inlineStr">
        <is>
          <t>2023-11</t>
        </is>
      </c>
      <c r="B57" s="160" t="n">
        <v>8.303704052588216</v>
      </c>
      <c r="C57" s="160" t="n">
        <v>8.373984014593065</v>
      </c>
      <c r="D57" s="160" t="n">
        <v>8.348166834656725</v>
      </c>
      <c r="E57" s="160" t="n">
        <v>-0.04446278206850884</v>
      </c>
      <c r="F57" s="160" t="n">
        <v>0.0258171799363391</v>
      </c>
      <c r="G57" s="167" t="n">
        <v>4038.804666666669</v>
      </c>
      <c r="H57" s="167" t="n">
        <v>4332.863914969754</v>
      </c>
      <c r="I57" s="167" t="n">
        <v>4222.433225806451</v>
      </c>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1" t="inlineStr">
        <is>
          <t>2023-12</t>
        </is>
      </c>
      <c r="B58" s="160" t="n">
        <v>8.281016773597672</v>
      </c>
      <c r="C58" s="160" t="n">
        <v>8.274398105002785</v>
      </c>
      <c r="D58" s="160" t="n">
        <v>8.303704052588216</v>
      </c>
      <c r="E58" s="160" t="n">
        <v>-0.0226872789905439</v>
      </c>
      <c r="F58" s="160" t="n">
        <v>-0.02930594758543102</v>
      </c>
      <c r="G58" s="167" t="n">
        <v>3948.206774193547</v>
      </c>
      <c r="H58" s="167" t="n">
        <v>3922.16119063505</v>
      </c>
      <c r="I58" s="167" t="n">
        <v>4038.804666666669</v>
      </c>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t="inlineStr">
        <is>
          <t>2024-01</t>
        </is>
      </c>
      <c r="B59" s="160" t="n">
        <v>8.272621363120876</v>
      </c>
      <c r="C59" s="160" t="n">
        <v>8.276761659912177</v>
      </c>
      <c r="D59" s="160" t="n">
        <v>8.281016773597672</v>
      </c>
      <c r="E59" s="160" t="n">
        <v>-0.008395410476795817</v>
      </c>
      <c r="F59" s="160" t="n">
        <v>-0.004255113685495545</v>
      </c>
      <c r="G59" s="167" t="n">
        <v>3915.198709677416</v>
      </c>
      <c r="H59" s="167" t="n">
        <v>3931.442397973483</v>
      </c>
      <c r="I59" s="167" t="n">
        <v>3948.206774193547</v>
      </c>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t="inlineStr">
        <is>
          <t>2024-02</t>
        </is>
      </c>
      <c r="B60" s="160" t="n">
        <v>8.276760699123423</v>
      </c>
      <c r="C60" s="160" t="n">
        <v>8.273714477829641</v>
      </c>
      <c r="D60" s="160" t="n">
        <v>8.272621363120876</v>
      </c>
      <c r="E60" s="160" t="n">
        <v>0.004139336002547012</v>
      </c>
      <c r="F60" s="160" t="n">
        <v>0.001093114708763622</v>
      </c>
      <c r="G60" s="167" t="n">
        <v>3931.438620689657</v>
      </c>
      <c r="H60" s="167" t="n">
        <v>3919.480810962259</v>
      </c>
      <c r="I60" s="167" t="n">
        <v>3915.198709677416</v>
      </c>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1" t="inlineStr">
        <is>
          <t>2024-03</t>
        </is>
      </c>
      <c r="B61" s="160" t="n">
        <v>8.268562917935254</v>
      </c>
      <c r="C61" s="160" t="n">
        <v>8.272005815598138</v>
      </c>
      <c r="D61" s="160" t="n">
        <v>8.276760699123423</v>
      </c>
      <c r="E61" s="160" t="n">
        <v>-0.008197781188169273</v>
      </c>
      <c r="F61" s="160" t="n">
        <v>-0.004754883525285061</v>
      </c>
      <c r="G61" s="167" t="n">
        <v>3899.341290322584</v>
      </c>
      <c r="H61" s="167" t="n">
        <v>3912.789460390434</v>
      </c>
      <c r="I61" s="167" t="n">
        <v>3931.438620689657</v>
      </c>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1" t="inlineStr">
        <is>
          <t>2024-04</t>
        </is>
      </c>
      <c r="B62" s="160" t="n">
        <v>8.260486479441511</v>
      </c>
      <c r="C62" s="160" t="n">
        <v>8.264394489273812</v>
      </c>
      <c r="D62" s="160" t="n">
        <v>8.268562917935254</v>
      </c>
      <c r="E62" s="160" t="n">
        <v>-0.00807643849374351</v>
      </c>
      <c r="F62" s="160" t="n">
        <v>-0.004168428661442718</v>
      </c>
      <c r="G62" s="167" t="n">
        <v>3867.975333333336</v>
      </c>
      <c r="H62" s="167" t="n">
        <v>3883.120994387203</v>
      </c>
      <c r="I62" s="167" t="n">
        <v>3899.341290322584</v>
      </c>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t="inlineStr">
        <is>
          <t>2024-05</t>
        </is>
      </c>
      <c r="B63" s="160" t="n">
        <v>8.260777367585563</v>
      </c>
      <c r="C63" s="160" t="n">
        <v>8.275129639908524</v>
      </c>
      <c r="D63" s="160" t="n">
        <v>8.260486479441511</v>
      </c>
      <c r="E63" s="160" t="n">
        <v>0.0002908881440522038</v>
      </c>
      <c r="F63" s="160" t="n">
        <v>0.01464316046701284</v>
      </c>
      <c r="G63" s="167" t="n">
        <v>3869.100645161288</v>
      </c>
      <c r="H63" s="167" t="n">
        <v>3925.031438167065</v>
      </c>
      <c r="I63" s="167" t="n">
        <v>3867.975333333336</v>
      </c>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t="inlineStr">
        <is>
          <t>2024-06</t>
        </is>
      </c>
      <c r="B64" s="160" t="n">
        <v>8.304692058140274</v>
      </c>
      <c r="C64" s="160" t="n">
        <v>8.246809420350615</v>
      </c>
      <c r="D64" s="160" t="n">
        <v>8.260777367585563</v>
      </c>
      <c r="E64" s="160" t="n">
        <v>0.0439146905547112</v>
      </c>
      <c r="F64" s="160" t="n">
        <v>-0.01396794723494798</v>
      </c>
      <c r="G64" s="167" t="n">
        <v>4042.797000000001</v>
      </c>
      <c r="H64" s="167" t="n">
        <v>3815.432937915005</v>
      </c>
      <c r="I64" s="167" t="n">
        <v>3869.100645161288</v>
      </c>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t="inlineStr">
        <is>
          <t>2024-07</t>
        </is>
      </c>
      <c r="B65" s="160" t="n">
        <v>8.30323778340659</v>
      </c>
      <c r="C65" s="160" t="n">
        <v>8.322618160971624</v>
      </c>
      <c r="D65" s="160" t="n">
        <v>8.304692058140274</v>
      </c>
      <c r="E65" s="160" t="n">
        <v>-0.001454274733683647</v>
      </c>
      <c r="F65" s="160" t="n">
        <v>0.01792610283134972</v>
      </c>
      <c r="G65" s="167" t="n">
        <v>4036.92193548387</v>
      </c>
      <c r="H65" s="167" t="n">
        <v>4115.922060234721</v>
      </c>
      <c r="I65" s="167" t="n">
        <v>4042.797000000001</v>
      </c>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t="inlineStr">
        <is>
          <t>2024-08</t>
        </is>
      </c>
      <c r="B66" s="160" t="n">
        <v>8.310303441388276</v>
      </c>
      <c r="C66" s="160" t="n">
        <v>8.284191807178022</v>
      </c>
      <c r="D66" s="160" t="n">
        <v>8.30323778340659</v>
      </c>
      <c r="E66" s="160" t="n">
        <v>0.007065657981685902</v>
      </c>
      <c r="F66" s="160" t="n">
        <v>-0.01904597622856876</v>
      </c>
      <c r="G66" s="167" t="n">
        <v>4065.546451612903</v>
      </c>
      <c r="H66" s="167" t="n">
        <v>3960.76238497912</v>
      </c>
      <c r="I66" s="167" t="n">
        <v>4036.92193548387</v>
      </c>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t="inlineStr">
        <is>
          <t>2024-09</t>
        </is>
      </c>
      <c r="B67" s="160" t="n">
        <v>8.338667381651211</v>
      </c>
      <c r="C67" s="160" t="n">
        <v>8.316571032304358</v>
      </c>
      <c r="D67" s="160" t="n">
        <v>8.310303441388276</v>
      </c>
      <c r="E67" s="160" t="n">
        <v>0.02836394026293476</v>
      </c>
      <c r="F67" s="160" t="n">
        <v>0.006267590916082014</v>
      </c>
      <c r="G67" s="167" t="n">
        <v>4182.512333333329</v>
      </c>
      <c r="H67" s="167" t="n">
        <v>4091.107653524371</v>
      </c>
      <c r="I67" s="167" t="n">
        <v>4065.546451612903</v>
      </c>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t="inlineStr">
        <is>
          <t>2024-10</t>
        </is>
      </c>
      <c r="B68" s="160" t="n">
        <v>8.354549548259685</v>
      </c>
      <c r="C68" s="160" t="n">
        <v>8.346128211383444</v>
      </c>
      <c r="D68" s="160" t="n">
        <v>8.338667381651211</v>
      </c>
      <c r="E68" s="160" t="n">
        <v>0.01588216660847408</v>
      </c>
      <c r="F68" s="160" t="n">
        <v>0.007460829732233926</v>
      </c>
      <c r="G68" s="167" t="n">
        <v>4249.470000000003</v>
      </c>
      <c r="H68" s="167" t="n">
        <v>4213.834043387326</v>
      </c>
      <c r="I68" s="167" t="n">
        <v>4182.512333333329</v>
      </c>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t="inlineStr">
        <is>
          <t>2024-11</t>
        </is>
      </c>
      <c r="B69" s="160" t="n">
        <v>8.391324328389279</v>
      </c>
      <c r="C69" s="160" t="n">
        <v>8.360744292002074</v>
      </c>
      <c r="D69" s="160" t="n">
        <v>8.354549548259685</v>
      </c>
      <c r="E69" s="160" t="n">
        <v>0.03677478012959412</v>
      </c>
      <c r="F69" s="160" t="n">
        <v>0.006194743742388689</v>
      </c>
      <c r="G69" s="167" t="n">
        <v>4408.652333333335</v>
      </c>
      <c r="H69" s="167" t="n">
        <v>4275.876082704704</v>
      </c>
      <c r="I69" s="167" t="n">
        <v>4249.470000000003</v>
      </c>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t="inlineStr">
        <is>
          <t>2024-12</t>
        </is>
      </c>
      <c r="B70" s="160" t="n">
        <v>8.385978817498613</v>
      </c>
      <c r="C70" s="160" t="n">
        <v>8.404685456468313</v>
      </c>
      <c r="D70" s="160" t="n">
        <v>8.391324328389279</v>
      </c>
      <c r="E70" s="160" t="n">
        <v>-0.005345510890666816</v>
      </c>
      <c r="F70" s="160" t="n">
        <v>0.01336112807903296</v>
      </c>
      <c r="G70" s="167" t="n">
        <v>4385.148709677422</v>
      </c>
      <c r="H70" s="167" t="n">
        <v>4467.952176031508</v>
      </c>
      <c r="I70" s="167" t="n">
        <v>4408.652333333335</v>
      </c>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t="inlineStr">
        <is>
          <t>2025-01</t>
        </is>
      </c>
      <c r="B71" s="160" t="n">
        <v>8.368128619899991</v>
      </c>
      <c r="C71" s="160" t="n">
        <v>8.395052988452687</v>
      </c>
      <c r="D71" s="160" t="n">
        <v>8.385978817498613</v>
      </c>
      <c r="E71" s="160" t="n">
        <v>-0.01785019759862116</v>
      </c>
      <c r="F71" s="160" t="n">
        <v>0.009074170954074886</v>
      </c>
      <c r="G71" s="167" t="n">
        <v>4307.567419354838</v>
      </c>
      <c r="H71" s="167" t="n">
        <v>4425.12138388699</v>
      </c>
      <c r="I71" s="167" t="n">
        <v>4385.148709677422</v>
      </c>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t="inlineStr">
        <is>
          <t>2025-02</t>
        </is>
      </c>
      <c r="B72" s="160" t="n">
        <v>8.325537146384832</v>
      </c>
      <c r="C72" s="160" t="n">
        <v>8.370221106220658</v>
      </c>
      <c r="D72" s="160" t="n">
        <v>8.368128619899991</v>
      </c>
      <c r="E72" s="160" t="n">
        <v>-0.04259147351515935</v>
      </c>
      <c r="F72" s="160" t="n">
        <v>0.002092486320666087</v>
      </c>
      <c r="G72" s="167" t="n">
        <v>4127.95392857143</v>
      </c>
      <c r="H72" s="167" t="n">
        <v>4316.590382176073</v>
      </c>
      <c r="I72" s="167" t="n">
        <v>4307.567419354838</v>
      </c>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t="inlineStr">
        <is>
          <t>2025-03</t>
        </is>
      </c>
      <c r="B73" s="160" t="n">
        <v>8.327891614734215</v>
      </c>
      <c r="C73" s="160" t="n">
        <v>8.320421438466974</v>
      </c>
      <c r="D73" s="160" t="n">
        <v>8.325537146384832</v>
      </c>
      <c r="E73" s="160" t="n">
        <v>0.002354468349382799</v>
      </c>
      <c r="F73" s="160" t="n">
        <v>-0.005115707917857552</v>
      </c>
      <c r="G73" s="167" t="n">
        <v>4137.684516129031</v>
      </c>
      <c r="H73" s="167" t="n">
        <v>4106.890445225497</v>
      </c>
      <c r="I73" s="167" t="n">
        <v>4127.95392857143</v>
      </c>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t="inlineStr">
        <is>
          <t>2025-04</t>
        </is>
      </c>
      <c r="B74" s="160" t="n">
        <v>8.361768567132886</v>
      </c>
      <c r="C74" s="160" t="n">
        <v>8.310500271677585</v>
      </c>
      <c r="D74" s="160" t="n">
        <v>8.327891614734215</v>
      </c>
      <c r="E74" s="160" t="n">
        <v>0.03387695239867128</v>
      </c>
      <c r="F74" s="160" t="n">
        <v>-0.01739134305663036</v>
      </c>
      <c r="G74" s="167" t="n">
        <v>4280.258000000003</v>
      </c>
      <c r="H74" s="167" t="n">
        <v>4066.346753056369</v>
      </c>
      <c r="I74" s="167" t="n">
        <v>4137.684516129031</v>
      </c>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t="inlineStr">
        <is>
          <t>2025-05</t>
        </is>
      </c>
      <c r="B75" s="160" t="n">
        <v>8.34364355184035</v>
      </c>
      <c r="C75" s="160" t="n">
        <v>8.360453586113938</v>
      </c>
      <c r="D75" s="160" t="n">
        <v>8.361768567132886</v>
      </c>
      <c r="E75" s="160" t="n">
        <v>-0.01812501529253652</v>
      </c>
      <c r="F75" s="160" t="n">
        <v>-0.001314981018948655</v>
      </c>
      <c r="G75" s="167" t="n">
        <v>4203.377096774196</v>
      </c>
      <c r="H75" s="167" t="n">
        <v>4274.633241009969</v>
      </c>
      <c r="I75" s="167" t="n">
        <v>4280.258000000003</v>
      </c>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t="inlineStr">
        <is>
          <t>2025-06</t>
        </is>
      </c>
      <c r="B76" s="160" t="n">
        <v>8.322025880072617</v>
      </c>
      <c r="C76" s="160" t="n">
        <v>8.33675943354686</v>
      </c>
      <c r="D76" s="160" t="n">
        <v>8.34364355184035</v>
      </c>
      <c r="E76" s="160" t="n">
        <v>-0.02161767176773211</v>
      </c>
      <c r="F76" s="160" t="n">
        <v>-0.006884118293489849</v>
      </c>
      <c r="G76" s="167" t="n">
        <v>4113.485000000001</v>
      </c>
      <c r="H76" s="167" t="n">
        <v>4174.53992474492</v>
      </c>
      <c r="I76" s="167" t="n">
        <v>4203.377096774196</v>
      </c>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t="inlineStr">
        <is>
          <t>2025-07</t>
        </is>
      </c>
      <c r="B77" s="160" t="n">
        <v>8.304209945715085</v>
      </c>
      <c r="C77" s="160" t="n">
        <v>8.310850113116306</v>
      </c>
      <c r="D77" s="160" t="n">
        <v>8.322025880072617</v>
      </c>
      <c r="E77" s="160" t="n">
        <v>-0.01781593435753237</v>
      </c>
      <c r="F77" s="160" t="n">
        <v>-0.01117576695631191</v>
      </c>
      <c r="G77" s="167" t="n">
        <v>4040.848387096774</v>
      </c>
      <c r="H77" s="167" t="n">
        <v>4067.76957852194</v>
      </c>
      <c r="I77" s="167" t="n">
        <v>4113.485000000001</v>
      </c>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t="inlineStr">
        <is>
          <t>2025-08</t>
        </is>
      </c>
      <c r="B78" s="160" t="n">
        <v>8.305832847858927</v>
      </c>
      <c r="C78" s="160" t="n">
        <v>8.296550004880627</v>
      </c>
      <c r="D78" s="160" t="n">
        <v>8.304209945715085</v>
      </c>
      <c r="E78" s="160" t="n">
        <v>0.001622902143841642</v>
      </c>
      <c r="F78" s="160" t="n">
        <v>-0.007659940834457533</v>
      </c>
      <c r="G78" s="167" t="n">
        <v>4047.411612903224</v>
      </c>
      <c r="H78" s="167" t="n">
        <v>4010.013973190195</v>
      </c>
      <c r="I78" s="167" t="n">
        <v>4040.848387096774</v>
      </c>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t="inlineStr">
        <is>
          <t>2025-09</t>
        </is>
      </c>
      <c r="B79" s="160" t="n">
        <v>8.274411059349477</v>
      </c>
      <c r="C79" s="160" t="n">
        <v>8.313341331786344</v>
      </c>
      <c r="D79" s="160" t="n">
        <v>8.305832847858927</v>
      </c>
      <c r="E79" s="160" t="n">
        <v>-0.03142178850944966</v>
      </c>
      <c r="F79" s="160" t="n">
        <v>0.007508483927417108</v>
      </c>
      <c r="G79" s="167" t="n">
        <v>3922.211999999997</v>
      </c>
      <c r="H79" s="167" t="n">
        <v>4077.915915165514</v>
      </c>
      <c r="I79" s="167" t="n">
        <v>4047.411612903224</v>
      </c>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t="inlineStr">
        <is>
          <t>2025-10</t>
        </is>
      </c>
      <c r="B80" s="160" t="n">
        <v>8.263034824354826</v>
      </c>
      <c r="C80" s="160" t="n">
        <v>8.274446449797164</v>
      </c>
      <c r="D80" s="160" t="n">
        <v>8.274411059349477</v>
      </c>
      <c r="E80" s="160" t="n">
        <v>-0.01137623499465157</v>
      </c>
      <c r="F80" s="160" t="n">
        <v>3.539044768756817e-05</v>
      </c>
      <c r="G80" s="167" t="n">
        <v>3877.844838709676</v>
      </c>
      <c r="H80" s="167" t="n">
        <v>3922.350811294883</v>
      </c>
      <c r="I80" s="167" t="n">
        <v>3922.211999999997</v>
      </c>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t="inlineStr">
        <is>
          <t>2025-11</t>
        </is>
      </c>
      <c r="B81" s="160" t="n">
        <v>8.239113754615177</v>
      </c>
      <c r="C81" s="160" t="n">
        <v>8.263534170706736</v>
      </c>
      <c r="D81" s="160" t="n">
        <v>8.263034824354826</v>
      </c>
      <c r="E81" s="160" t="n">
        <v>-0.02392106973964836</v>
      </c>
      <c r="F81" s="160" t="n">
        <v>0.0004993463519105974</v>
      </c>
      <c r="G81" s="167" t="n">
        <v>3786.183333333337</v>
      </c>
      <c r="H81" s="167" t="n">
        <v>3879.781709927703</v>
      </c>
      <c r="I81" s="167" t="n">
        <v>3877.844838709676</v>
      </c>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t="inlineStr">
        <is>
          <t>2025-12</t>
        </is>
      </c>
      <c r="B82" s="160" t="n">
        <v>8.240509596157608</v>
      </c>
      <c r="C82" s="160" t="n">
        <v>8.24241652349386</v>
      </c>
      <c r="D82" s="160" t="n">
        <v>8.239113754615177</v>
      </c>
      <c r="E82" s="160" t="n">
        <v>0.001395841542430887</v>
      </c>
      <c r="F82" s="160" t="n">
        <v>0.003302768878683526</v>
      </c>
      <c r="G82" s="167" t="n">
        <v>3791.471935483873</v>
      </c>
      <c r="H82" s="167" t="n">
        <v>3798.708894947174</v>
      </c>
      <c r="I82" s="167" t="n">
        <v>3786.183333333337</v>
      </c>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t="inlineStr">
        <is>
          <t>2026-01</t>
        </is>
      </c>
      <c r="B83" s="160" t="n">
        <v>8.216898319573602</v>
      </c>
      <c r="C83" s="160" t="n">
        <v>8.221728181470819</v>
      </c>
      <c r="D83" s="160" t="n">
        <v>8.240509596157608</v>
      </c>
      <c r="E83" s="160" t="n">
        <v>-0.02361127658400619</v>
      </c>
      <c r="F83" s="160" t="n">
        <v>-0.01878141468678841</v>
      </c>
      <c r="G83" s="167" t="n">
        <v>3702.999032258066</v>
      </c>
      <c r="H83" s="167" t="n">
        <v>3720.927266785993</v>
      </c>
      <c r="I83" s="167" t="n">
        <v>3791.471935483873</v>
      </c>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t="inlineStr">
        <is>
          <t>2026-02</t>
        </is>
      </c>
      <c r="B84" s="160" t="n">
        <v>8.209482934803669</v>
      </c>
      <c r="C84" s="160" t="n">
        <v>8.186894143684363</v>
      </c>
      <c r="D84" s="160" t="n">
        <v>8.216898319573602</v>
      </c>
      <c r="E84" s="160" t="n">
        <v>-0.007415384769933198</v>
      </c>
      <c r="F84" s="160" t="n">
        <v>-0.03000417588923911</v>
      </c>
      <c r="G84" s="167" t="n">
        <v>3675.64142857143</v>
      </c>
      <c r="H84" s="167" t="n">
        <v>3593.543865316799</v>
      </c>
      <c r="I84" s="167" t="n">
        <v>3702.999032258066</v>
      </c>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t="inlineStr">
        <is>
          <t>2026-03</t>
        </is>
      </c>
      <c r="B85" s="160" t="n">
        <v>8.220822123905636</v>
      </c>
      <c r="C85" s="160" t="n">
        <v>8.210002486249801</v>
      </c>
      <c r="D85" s="160" t="n">
        <v>8.209482934803669</v>
      </c>
      <c r="E85" s="160" t="n">
        <v>0.01133918910196741</v>
      </c>
      <c r="F85" s="160" t="n">
        <v>0.0005195514461323898</v>
      </c>
      <c r="G85" s="167" t="n">
        <v>3717.55741935484</v>
      </c>
      <c r="H85" s="167" t="n">
        <v>3677.551609566788</v>
      </c>
      <c r="I85" s="167" t="n">
        <v>3675.64142857143</v>
      </c>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t="inlineStr">
        <is>
          <t>2026-04</t>
        </is>
      </c>
      <c r="B86" s="160" t="n">
        <v>8.193543618593685</v>
      </c>
      <c r="C86" s="160" t="n">
        <v>8.223549460805431</v>
      </c>
      <c r="D86" s="160" t="n">
        <v>8.220822123905636</v>
      </c>
      <c r="E86" s="160" t="n">
        <v>-0.02727850531195131</v>
      </c>
      <c r="F86" s="160" t="n">
        <v>0.002727336899795561</v>
      </c>
      <c r="G86" s="167" t="n">
        <v>3617.518666666666</v>
      </c>
      <c r="H86" s="167" t="n">
        <v>3727.710289737374</v>
      </c>
      <c r="I86" s="167" t="n">
        <v>3717.55741935484</v>
      </c>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27">
    <mergeCell ref="L7:P7"/>
    <mergeCell ref="H10:I10"/>
    <mergeCell ref="A37:I37"/>
    <mergeCell ref="J10:K10"/>
    <mergeCell ref="A19:D19"/>
    <mergeCell ref="H9:I9"/>
    <mergeCell ref="J9:K9"/>
    <mergeCell ref="H6:I6"/>
    <mergeCell ref="N19:P19"/>
    <mergeCell ref="J6:K6"/>
    <mergeCell ref="A5:F5"/>
    <mergeCell ref="F19:L19"/>
    <mergeCell ref="L8:P8"/>
    <mergeCell ref="A2:P3"/>
    <mergeCell ref="H11:I11"/>
    <mergeCell ref="J11:K11"/>
    <mergeCell ref="A1:P1"/>
    <mergeCell ref="H7:I7"/>
    <mergeCell ref="H5:P5"/>
    <mergeCell ref="J7:K7"/>
    <mergeCell ref="L10:P10"/>
    <mergeCell ref="L9:P9"/>
    <mergeCell ref="L6:P6"/>
    <mergeCell ref="A12:J12"/>
    <mergeCell ref="L11:P11"/>
    <mergeCell ref="H8:I8"/>
    <mergeCell ref="J8:K8"/>
  </mergeCells>
  <conditionalFormatting sqref="J21:J35">
    <cfRule type="cellIs" priority="1" operator="lessThan" dxfId="0">
      <formula>0.05</formula>
    </cfRule>
  </conditionalFormatting>
  <pageMargins left="0.7" right="0.7" top="0.75" bottom="0.75" header="0.3" footer="0.3"/>
  <tableParts count="6">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s>
</worksheet>
</file>

<file path=xl/worksheets/sheet11.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 width="18" customWidth="1" min="6" max="6"/>
    <col width="18" customWidth="1" min="7" max="7"/>
    <col width="34" customWidth="1" min="8" max="8"/>
  </cols>
  <sheetData>
    <row r="1" ht="30" customHeight="1">
      <c r="A1" s="4" t="inlineStr">
        <is>
          <t>ARDL–ECM exploratorio</t>
        </is>
      </c>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115" t="inlineStr">
        <is>
          <t>La prueba bounds no confirma cointegración al 5%: F = 3.402, límite superior = 3.627 y p-valor I(1) = 7,46%. Los coeficientes de largo plazo son exploratorios.</t>
        </is>
      </c>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ht="22" customHeight="1">
      <c r="A5" s="55" t="inlineStr">
        <is>
          <t>Prueba bounds</t>
        </is>
      </c>
      <c r="E5" s="1" t="n"/>
      <c r="F5" s="55" t="inlineStr">
        <is>
          <t>Dinámica de ajuste</t>
        </is>
      </c>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c r="A6" s="66" t="inlineStr">
        <is>
          <t>F</t>
        </is>
      </c>
      <c r="B6" s="66" t="inlineStr">
        <is>
          <t>p-valor I(0)</t>
        </is>
      </c>
      <c r="C6" s="66" t="inlineStr">
        <is>
          <t>p-valor I(1)</t>
        </is>
      </c>
      <c r="D6" s="66" t="inlineStr">
        <is>
          <t>Decisión al 5%</t>
        </is>
      </c>
      <c r="E6" s="1" t="n"/>
      <c r="F6" s="66" t="inlineStr">
        <is>
          <t>Parámetro</t>
        </is>
      </c>
      <c r="G6" s="66" t="inlineStr">
        <is>
          <t>Valor</t>
        </is>
      </c>
      <c r="H6" s="66" t="inlineStr">
        <is>
          <t>Lectura</t>
        </is>
      </c>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c r="A7" s="191" t="n">
        <v>3.402337018520937</v>
      </c>
      <c r="B7" s="191" t="n">
        <v>0.005477863835970709</v>
      </c>
      <c r="C7" s="191" t="n">
        <v>0.07457585870273797</v>
      </c>
      <c r="D7" s="133" t="inlineStr">
        <is>
          <t>No concluyente</t>
        </is>
      </c>
      <c r="E7" s="1" t="n"/>
      <c r="F7" s="67" t="inlineStr">
        <is>
          <t>Velocidad de ajuste</t>
        </is>
      </c>
      <c r="G7" s="192" t="n">
        <v>-0.09008642519372144</v>
      </c>
      <c r="H7" s="67" t="inlineStr">
        <is>
          <t>Negativa y significativa en la ecuación auxiliar</t>
        </is>
      </c>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c r="A8" s="1" t="n"/>
      <c r="B8" s="1" t="n"/>
      <c r="C8" s="1" t="n"/>
      <c r="D8" s="1" t="n"/>
      <c r="E8" s="1" t="n"/>
      <c r="F8" s="67" t="inlineStr">
        <is>
          <t>ARDL seleccionado</t>
        </is>
      </c>
      <c r="G8" s="67" t="inlineStr">
        <is>
          <t>(1,1)</t>
        </is>
      </c>
      <c r="H8" s="67" t="inlineStr">
        <is>
          <t>Un rezago común</t>
        </is>
      </c>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c r="A9" s="1" t="n"/>
      <c r="B9" s="1" t="n"/>
      <c r="C9" s="1" t="n"/>
      <c r="D9" s="1" t="n"/>
      <c r="E9" s="1" t="n"/>
      <c r="F9" s="67" t="inlineStr">
        <is>
          <t>Uso recomendado</t>
        </is>
      </c>
      <c r="G9" s="67" t="inlineStr">
        <is>
          <t>Robustez</t>
        </is>
      </c>
      <c r="H9" s="67" t="inlineStr">
        <is>
          <t>No usar sus coeficientes como elasticidades firmes</t>
        </is>
      </c>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ht="22" customHeight="1">
      <c r="A10" s="55" t="inlineStr">
        <is>
          <t>Valores críticos bounds</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c r="A11" s="62" t="inlineStr">
        <is>
          <t>Percentil</t>
        </is>
      </c>
      <c r="B11" s="62" t="inlineStr">
        <is>
          <t>Límite inferior I(0)</t>
        </is>
      </c>
      <c r="C11" s="62" t="inlineStr">
        <is>
          <t>Límite superior I(1)</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c r="A12" s="182" t="n">
        <v>0.9</v>
      </c>
      <c r="B12" s="193" t="n">
        <v>2.1343676</v>
      </c>
      <c r="C12" s="193" t="n">
        <v>3.2311014</v>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c r="A13" s="182" t="n">
        <v>0.95</v>
      </c>
      <c r="B13" s="193" t="n">
        <v>2.4620175</v>
      </c>
      <c r="C13" s="193" t="n">
        <v>3.6271964</v>
      </c>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c r="A14" s="182" t="n">
        <v>0.99</v>
      </c>
      <c r="B14" s="193" t="n">
        <v>3.1585901</v>
      </c>
      <c r="C14" s="193" t="n">
        <v>4.4502999</v>
      </c>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c r="A15" s="182" t="n">
        <v>0.9990000000000001</v>
      </c>
      <c r="B15" s="193" t="n">
        <v>4.0720179</v>
      </c>
      <c r="C15" s="193" t="n">
        <v>5.5018575</v>
      </c>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ht="22" customHeight="1">
      <c r="A18" s="55" t="inlineStr">
        <is>
          <t>Vector cointegrante normalizado (largo plazo exploratorio; invertir signo para efecto sobre ln TRM)</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c r="A19" s="62" t="inlineStr">
        <is>
          <t>Variable</t>
        </is>
      </c>
      <c r="B19" s="62" t="inlineStr">
        <is>
          <t>Coeficiente</t>
        </is>
      </c>
      <c r="C19" s="62" t="inlineStr">
        <is>
          <t>EE</t>
        </is>
      </c>
      <c r="D19" s="62" t="inlineStr">
        <is>
          <t>t</t>
        </is>
      </c>
      <c r="E19" s="62" t="inlineStr">
        <is>
          <t>p-valor</t>
        </is>
      </c>
      <c r="F19" s="62" t="inlineStr">
        <is>
          <t>IC 95% inferior</t>
        </is>
      </c>
      <c r="G19" s="62" t="inlineStr">
        <is>
          <t>IC 95% superior</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c r="A20" s="1" t="inlineStr">
        <is>
          <t>Intercepto</t>
        </is>
      </c>
      <c r="B20" s="160" t="n">
        <v>3.279529126045124</v>
      </c>
      <c r="C20" s="160" t="n">
        <v>3.127234173056725</v>
      </c>
      <c r="D20" s="160" t="n">
        <v>1.048699567912286</v>
      </c>
      <c r="E20" s="160" t="n">
        <v>0.2943164131903044</v>
      </c>
      <c r="F20" s="160" t="n">
        <v>-2.882302048187098</v>
      </c>
      <c r="G20" s="160" t="n">
        <v>9.441360300277346</v>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c r="A21" s="1" t="inlineStr">
        <is>
          <t>ln TRM (normalizado = 1)</t>
        </is>
      </c>
      <c r="B21" s="160" t="n">
        <v>1</v>
      </c>
      <c r="C21" s="160" t="n">
        <v>0</v>
      </c>
      <c r="D21" s="160" t="n"/>
      <c r="E21" s="160" t="n"/>
      <c r="F21" s="160" t="n">
        <v>1</v>
      </c>
      <c r="G21" s="160" t="n">
        <v>1</v>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c r="A22" s="1" t="inlineStr">
        <is>
          <t>ln términos de intercambio</t>
        </is>
      </c>
      <c r="B22" s="160" t="n">
        <v>-0.05375250528561829</v>
      </c>
      <c r="C22" s="160" t="n">
        <v>0.2921220022812623</v>
      </c>
      <c r="D22" s="160" t="n">
        <v>-0.1840070411192925</v>
      </c>
      <c r="E22" s="160" t="n">
        <v>0.8540079312263997</v>
      </c>
      <c r="F22" s="160" t="n">
        <v>-0.6293430625403684</v>
      </c>
      <c r="G22" s="160" t="n">
        <v>0.5218380519691319</v>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c r="A23" s="1" t="inlineStr">
        <is>
          <t>ln remesas 12m</t>
        </is>
      </c>
      <c r="B23" s="160" t="n">
        <v>0.05684520855940408</v>
      </c>
      <c r="C23" s="160" t="n">
        <v>0.2450568183406671</v>
      </c>
      <c r="D23" s="160" t="n">
        <v>0.2319674634817971</v>
      </c>
      <c r="E23" s="160" t="n">
        <v>0.8165632849541655</v>
      </c>
      <c r="F23" s="160" t="n">
        <v>-0.4260091794232305</v>
      </c>
      <c r="G23" s="160" t="n">
        <v>0.5396995965420387</v>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c r="A24" s="1" t="inlineStr">
        <is>
          <t>Diferencial de tasas (pp)</t>
        </is>
      </c>
      <c r="B24" s="160" t="n">
        <v>-0.003615477585619545</v>
      </c>
      <c r="C24" s="160" t="n">
        <v>0.01226000702316628</v>
      </c>
      <c r="D24" s="160" t="n">
        <v>-0.2949001235307457</v>
      </c>
      <c r="E24" s="160" t="n">
        <v>0.7680701775748289</v>
      </c>
      <c r="F24" s="160" t="n">
        <v>-0.02777231691748549</v>
      </c>
      <c r="G24" s="160" t="n">
        <v>0.0205413617462464</v>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c r="A25" s="1" t="inlineStr">
        <is>
          <t>Déficit fiscal 12m/PIB (pp)</t>
        </is>
      </c>
      <c r="B25" s="160" t="n">
        <v>-0.02442787920017356</v>
      </c>
      <c r="C25" s="160" t="n">
        <v>0.01516910461108314</v>
      </c>
      <c r="D25" s="160" t="n">
        <v>-1.610370541075022</v>
      </c>
      <c r="E25" s="160" t="n">
        <v>0.1073169877738034</v>
      </c>
      <c r="F25" s="160" t="n">
        <v>-0.05431673833424979</v>
      </c>
      <c r="G25" s="160" t="n">
        <v>0.005460979933902668</v>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c r="A26" s="1" t="inlineStr">
        <is>
          <t>ln índice dólar amplio</t>
        </is>
      </c>
      <c r="B26" s="160" t="n">
        <v>-2.417382311501565</v>
      </c>
      <c r="C26" s="160" t="n">
        <v>0.7910248097559311</v>
      </c>
      <c r="D26" s="160" t="n">
        <v>-3.056013264928369</v>
      </c>
      <c r="E26" s="160" t="n">
        <v>0.002243013323397491</v>
      </c>
      <c r="F26" s="160" t="n">
        <v>-3.975999627192044</v>
      </c>
      <c r="G26" s="160" t="n">
        <v>-0.8587649958110855</v>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6">
    <mergeCell ref="A10:C10"/>
    <mergeCell ref="A5:D5"/>
    <mergeCell ref="F5:H5"/>
    <mergeCell ref="A18:G18"/>
    <mergeCell ref="A2:H3"/>
    <mergeCell ref="A1:H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24" customWidth="1" min="1" max="1"/>
    <col width="2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8" customWidth="1" min="10" max="10"/>
    <col width="18" customWidth="1" min="11" max="11"/>
    <col width="18" customWidth="1" min="12" max="12"/>
    <col width="18" customWidth="1" min="13" max="13"/>
    <col width="18" customWidth="1" min="14" max="14"/>
  </cols>
  <sheetData>
    <row r="1" ht="30" customHeight="1">
      <c r="A1" s="4" t="inlineStr">
        <is>
          <t>Diagnósticos y selección del modelo</t>
        </is>
      </c>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7" t="inlineStr">
        <is>
          <t>Las pruebas se interpretan al 5%. No se detecta autocorrelación residual. El ampliado presenta ARCH y residuos no normales, mientras RESET no rechaza la forma funcional. HAC fortalece la inferencia de la media, pero no modela la volatilidad condicional.</t>
        </is>
      </c>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ht="22" customHeight="1">
      <c r="A5" s="55" t="inlineStr">
        <is>
          <t>Diagnósticos del modelo principal</t>
        </is>
      </c>
      <c r="E5" s="1" t="n"/>
      <c r="F5" s="55" t="inlineStr">
        <is>
          <t>Selección de rezagos de Δln(TRM)</t>
        </is>
      </c>
      <c r="J5" s="55" t="inlineStr">
        <is>
          <t>Criterios de decisión</t>
        </is>
      </c>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c r="A6" s="62" t="inlineStr">
        <is>
          <t>Prueba</t>
        </is>
      </c>
      <c r="B6" s="62" t="inlineStr">
        <is>
          <t>Estadístico</t>
        </is>
      </c>
      <c r="C6" s="62" t="inlineStr">
        <is>
          <t>p-valor</t>
        </is>
      </c>
      <c r="D6" s="62" t="inlineStr">
        <is>
          <t>Lectura</t>
        </is>
      </c>
      <c r="E6" s="1" t="n"/>
      <c r="F6" s="62" t="inlineStr">
        <is>
          <t>p</t>
        </is>
      </c>
      <c r="G6" s="62" t="inlineStr">
        <is>
          <t>AIC</t>
        </is>
      </c>
      <c r="H6" s="62" t="inlineStr">
        <is>
          <t>BIC</t>
        </is>
      </c>
      <c r="I6" s="62" t="inlineStr">
        <is>
          <t>R² ajustado</t>
        </is>
      </c>
      <c r="J6" s="66" t="inlineStr">
        <is>
          <t>Elemento</t>
        </is>
      </c>
      <c r="K6" s="66" t="inlineStr">
        <is>
          <t>Criterio</t>
        </is>
      </c>
      <c r="L6" s="66" t="inlineStr">
        <is>
          <t>Resultado</t>
        </is>
      </c>
      <c r="M6" s="66" t="inlineStr">
        <is>
          <t>Implicación</t>
        </is>
      </c>
      <c r="N6" s="66" t="inlineStr">
        <is>
          <t>Acción</t>
        </is>
      </c>
      <c r="O6" s="1" t="n"/>
      <c r="P6" s="1"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ht="38" customHeight="1">
      <c r="A7" s="1" t="inlineStr">
        <is>
          <t>Ljung-Box (6)</t>
        </is>
      </c>
      <c r="B7" s="161" t="n">
        <v>2.577445559636761</v>
      </c>
      <c r="C7" s="161" t="n">
        <v>0.8597015787568743</v>
      </c>
      <c r="D7" s="1" t="inlineStr">
        <is>
          <t>Sin autocorrelación detectada</t>
        </is>
      </c>
      <c r="E7" s="1" t="n"/>
      <c r="F7" s="29" t="n">
        <v>0</v>
      </c>
      <c r="G7" s="194" t="n">
        <v>-1103.307429112625</v>
      </c>
      <c r="H7" s="194" t="n">
        <v>-1075.462317725889</v>
      </c>
      <c r="I7" s="181" t="n">
        <v>0.4792107613916473</v>
      </c>
      <c r="J7" s="67" t="inlineStr">
        <is>
          <t>BIC</t>
        </is>
      </c>
      <c r="K7" s="67" t="inlineStr">
        <is>
          <t>Mínimo</t>
        </is>
      </c>
      <c r="L7" s="67" t="inlineStr">
        <is>
          <t>p=0</t>
        </is>
      </c>
      <c r="M7" s="67" t="inlineStr">
        <is>
          <t>Modelo parsimonioso</t>
        </is>
      </c>
      <c r="N7" s="67" t="inlineStr">
        <is>
          <t>No agregar rezagos de TRM</t>
        </is>
      </c>
      <c r="O7" s="1" t="n"/>
      <c r="P7" s="1" t="n"/>
      <c r="Q7" s="1" t="n"/>
      <c r="R7" s="1" t="n"/>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ht="38" customHeight="1">
      <c r="A8" s="1" t="inlineStr">
        <is>
          <t>Ljung-Box (12)</t>
        </is>
      </c>
      <c r="B8" s="161" t="n">
        <v>5.001117093519676</v>
      </c>
      <c r="C8" s="161" t="n">
        <v>0.9579416399340056</v>
      </c>
      <c r="D8" s="1" t="inlineStr">
        <is>
          <t>Sin autocorrelación detectada</t>
        </is>
      </c>
      <c r="E8" s="1" t="n"/>
      <c r="F8" s="1" t="n">
        <v>1</v>
      </c>
      <c r="G8" s="190" t="n">
        <v>-1102.428592188504</v>
      </c>
      <c r="H8" s="190" t="n">
        <v>-1071.102841878426</v>
      </c>
      <c r="I8" s="182" t="n">
        <v>0.4793939697228567</v>
      </c>
      <c r="J8" s="67" t="inlineStr">
        <is>
          <t>Autocorrelación</t>
        </is>
      </c>
      <c r="K8" s="67" t="inlineStr">
        <is>
          <t>p&gt;0,05</t>
        </is>
      </c>
      <c r="L8" s="67" t="inlineStr">
        <is>
          <t>Cumple</t>
        </is>
      </c>
      <c r="M8" s="67" t="inlineStr">
        <is>
          <t>Dinámica adecuada</t>
        </is>
      </c>
      <c r="N8" s="67" t="inlineStr">
        <is>
          <t>Mantener especificación</t>
        </is>
      </c>
      <c r="O8" s="1" t="n"/>
      <c r="P8" s="1" t="n"/>
      <c r="Q8" s="1" t="n"/>
      <c r="R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ht="38" customHeight="1">
      <c r="A9" s="1" t="inlineStr">
        <is>
          <t>Breusch-Godfrey (12)</t>
        </is>
      </c>
      <c r="B9" s="161" t="n">
        <v>5.17056771108324</v>
      </c>
      <c r="C9" s="161" t="n">
        <v>0.9520377178544845</v>
      </c>
      <c r="D9" s="1" t="inlineStr">
        <is>
          <t>Sin autocorrelación detectada</t>
        </is>
      </c>
      <c r="E9" s="1" t="n"/>
      <c r="F9" s="1" t="n">
        <v>2</v>
      </c>
      <c r="G9" s="190" t="n">
        <v>-1100.462948572275</v>
      </c>
      <c r="H9" s="190" t="n">
        <v>-1065.656559338855</v>
      </c>
      <c r="I9" s="182" t="n">
        <v>0.4772053094962182</v>
      </c>
      <c r="J9" s="67" t="inlineStr">
        <is>
          <t>ARCH</t>
        </is>
      </c>
      <c r="K9" s="67" t="inlineStr">
        <is>
          <t>p&gt;0,05</t>
        </is>
      </c>
      <c r="L9" s="67" t="inlineStr">
        <is>
          <t>Cumple</t>
        </is>
      </c>
      <c r="M9" s="67" t="inlineStr">
        <is>
          <t>Sin ARCH detectado</t>
        </is>
      </c>
      <c r="N9" s="67" t="inlineStr">
        <is>
          <t>Mantener HAC</t>
        </is>
      </c>
      <c r="O9" s="1" t="n"/>
      <c r="P9" s="1" t="n"/>
      <c r="Q9" s="1" t="n"/>
      <c r="R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ht="38" customHeight="1">
      <c r="A10" s="1" t="inlineStr">
        <is>
          <t>ARCH-LM (12)</t>
        </is>
      </c>
      <c r="B10" s="161" t="n">
        <v>19.35556084828727</v>
      </c>
      <c r="C10" s="161" t="n">
        <v>0.08030143533798173</v>
      </c>
      <c r="D10" s="1" t="inlineStr">
        <is>
          <t>Sin ARCH detectado</t>
        </is>
      </c>
      <c r="E10" s="1" t="n"/>
      <c r="F10" s="1" t="n">
        <v>3</v>
      </c>
      <c r="G10" s="190" t="n">
        <v>-1098.505926205641</v>
      </c>
      <c r="H10" s="190" t="n">
        <v>-1060.218898048879</v>
      </c>
      <c r="I10" s="182" t="n">
        <v>0.4750163823067373</v>
      </c>
      <c r="J10" s="136" t="inlineStr">
        <is>
          <t>Normalidad</t>
        </is>
      </c>
      <c r="K10" s="136" t="inlineStr">
        <is>
          <t>p&gt;0,05</t>
        </is>
      </c>
      <c r="L10" s="136" t="inlineStr">
        <is>
          <t>No cumple</t>
        </is>
      </c>
      <c r="M10" s="136" t="inlineStr">
        <is>
          <t>Colas extremas</t>
        </is>
      </c>
      <c r="N10" s="136" t="inlineStr">
        <is>
          <t>No basar conclusiones en normalidad</t>
        </is>
      </c>
      <c r="O10" s="1" t="n"/>
      <c r="P10" s="1" t="n"/>
      <c r="Q10" s="1" t="n"/>
      <c r="R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ht="38" customHeight="1">
      <c r="A11" s="45" t="inlineStr">
        <is>
          <t>Jarque-Bera</t>
        </is>
      </c>
      <c r="B11" s="195" t="n">
        <v>23.61452710218837</v>
      </c>
      <c r="C11" s="195" t="n">
        <v>7.450245663916035e-06</v>
      </c>
      <c r="D11" s="45" t="inlineStr">
        <is>
          <t>Residuos no normales</t>
        </is>
      </c>
      <c r="E11" s="1" t="n"/>
      <c r="F11" s="1" t="n"/>
      <c r="G11" s="1" t="n"/>
      <c r="H11" s="1" t="n"/>
      <c r="I11" s="1" t="n"/>
      <c r="J11" s="136" t="inlineStr">
        <is>
          <t>Bounds</t>
        </is>
      </c>
      <c r="K11" s="136" t="inlineStr">
        <is>
          <t>p I(1)&lt;0,05</t>
        </is>
      </c>
      <c r="L11" s="136" t="inlineStr">
        <is>
          <t>No cumple</t>
        </is>
      </c>
      <c r="M11" s="136" t="inlineStr">
        <is>
          <t>Sin cointegración firme</t>
        </is>
      </c>
      <c r="N11" s="136" t="inlineStr">
        <is>
          <t>Usar diferencias como modelo principal</t>
        </is>
      </c>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c r="A12" s="1" t="inlineStr">
        <is>
          <t>Ramsey RESET</t>
        </is>
      </c>
      <c r="B12" s="161" t="n">
        <v>0.001689905593077811</v>
      </c>
      <c r="C12" s="161" t="n">
        <v>0.9672449373713803</v>
      </c>
      <c r="D12" s="1" t="inlineStr">
        <is>
          <t>Sin evidencia de mala forma funcional</t>
        </is>
      </c>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c r="A13" s="1" t="inlineStr">
        <is>
          <t>CUSUM estabilidad</t>
        </is>
      </c>
      <c r="B13" s="161" t="n">
        <v>0.9210252664013541</v>
      </c>
      <c r="C13" s="161" t="n">
        <v>0.3643627357974383</v>
      </c>
      <c r="D13" s="1" t="inlineStr">
        <is>
          <t>Sin inestabilidad detectada</t>
        </is>
      </c>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ht="22" customHeight="1">
      <c r="A14" s="1" t="inlineStr">
        <is>
          <t>Durbin-Watson</t>
        </is>
      </c>
      <c r="B14" s="161" t="n">
        <v>1.926470798253057</v>
      </c>
      <c r="C14" s="161" t="n"/>
      <c r="D14" s="1" t="inlineStr">
        <is>
          <t>Cercano a 2</t>
        </is>
      </c>
      <c r="E14" s="1" t="n"/>
      <c r="F14" s="1" t="n"/>
      <c r="G14" s="1" t="n"/>
      <c r="H14" s="1" t="n"/>
      <c r="I14" s="1" t="n"/>
      <c r="J14" s="55" t="inlineStr">
        <is>
          <t>Diagnósticos del modelo ampliado</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c r="A15" s="1" t="n"/>
      <c r="B15" s="1" t="n"/>
      <c r="C15" s="1" t="n"/>
      <c r="D15" s="1" t="n"/>
      <c r="E15" s="1" t="n"/>
      <c r="F15" s="1" t="n"/>
      <c r="G15" s="1" t="n"/>
      <c r="H15" s="1" t="n"/>
      <c r="I15" s="1" t="n"/>
      <c r="J15" s="62" t="inlineStr">
        <is>
          <t>Prueba</t>
        </is>
      </c>
      <c r="K15" s="62" t="inlineStr">
        <is>
          <t>Estadístico</t>
        </is>
      </c>
      <c r="L15" s="62" t="inlineStr">
        <is>
          <t>p-valor</t>
        </is>
      </c>
      <c r="M15" s="62" t="inlineStr">
        <is>
          <t>Lectura</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c r="A16" s="1" t="n"/>
      <c r="B16" s="1" t="n"/>
      <c r="C16" s="1" t="n"/>
      <c r="D16" s="1" t="n"/>
      <c r="E16" s="1" t="n"/>
      <c r="F16" s="1" t="n"/>
      <c r="G16" s="1" t="n"/>
      <c r="H16" s="1" t="n"/>
      <c r="I16" s="1" t="n"/>
      <c r="J16" s="1" t="inlineStr">
        <is>
          <t>Ljung-Box (6)</t>
        </is>
      </c>
      <c r="K16" s="161" t="n">
        <v>4.344009993030405</v>
      </c>
      <c r="L16" s="161" t="n">
        <v>0.6302295840540659</v>
      </c>
      <c r="M16" s="1" t="inlineStr">
        <is>
          <t>Sin autocorrelación detectada</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ht="22" customHeight="1">
      <c r="A17" s="55" t="inlineStr">
        <is>
          <t>Pruebas de integración</t>
        </is>
      </c>
      <c r="I17" s="1" t="n"/>
      <c r="J17" s="1" t="inlineStr">
        <is>
          <t>Ljung-Box (12)</t>
        </is>
      </c>
      <c r="K17" s="161" t="n">
        <v>7.545392430306235</v>
      </c>
      <c r="L17" s="161" t="n">
        <v>0.8195718602186132</v>
      </c>
      <c r="M17" s="1" t="inlineStr">
        <is>
          <t>Sin autocorrelación detectada</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c r="A18" s="62" t="inlineStr">
        <is>
          <t>Variable</t>
        </is>
      </c>
      <c r="B18" s="62" t="inlineStr">
        <is>
          <t>Transformación</t>
        </is>
      </c>
      <c r="C18" s="62" t="inlineStr">
        <is>
          <t>n</t>
        </is>
      </c>
      <c r="D18" s="62" t="inlineStr">
        <is>
          <t>ADF</t>
        </is>
      </c>
      <c r="E18" s="62" t="inlineStr">
        <is>
          <t>p ADF</t>
        </is>
      </c>
      <c r="F18" s="62" t="inlineStr">
        <is>
          <t>Rezagos ADF</t>
        </is>
      </c>
      <c r="G18" s="62" t="inlineStr">
        <is>
          <t>KPSS</t>
        </is>
      </c>
      <c r="H18" s="62" t="inlineStr">
        <is>
          <t>p KPSS</t>
        </is>
      </c>
      <c r="I18" s="1" t="n"/>
      <c r="J18" s="1" t="inlineStr">
        <is>
          <t>Breusch-Godfrey (12)</t>
        </is>
      </c>
      <c r="K18" s="161" t="n">
        <v>8.565786402439484</v>
      </c>
      <c r="L18" s="161" t="n">
        <v>0.7395020759248623</v>
      </c>
      <c r="M18" s="1" t="inlineStr">
        <is>
          <t>Sin autocorrelación detectada</t>
        </is>
      </c>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c r="A19" s="1" t="inlineStr">
        <is>
          <t>ln_trm</t>
        </is>
      </c>
      <c r="B19" s="1" t="inlineStr">
        <is>
          <t>nivel</t>
        </is>
      </c>
      <c r="C19" s="1" t="n">
        <v>244</v>
      </c>
      <c r="D19" s="161" t="n">
        <v>-0.9830678205378037</v>
      </c>
      <c r="E19" s="161" t="n">
        <v>0.7593897217357208</v>
      </c>
      <c r="F19" s="161" t="n">
        <v>1</v>
      </c>
      <c r="G19" s="161" t="n">
        <v>1.974229356626593</v>
      </c>
      <c r="H19" s="161" t="n">
        <v>0.01</v>
      </c>
      <c r="I19" s="1" t="n"/>
      <c r="J19" s="45" t="inlineStr">
        <is>
          <t>ARCH-LM (12)</t>
        </is>
      </c>
      <c r="K19" s="195" t="n">
        <v>31.63607035221656</v>
      </c>
      <c r="L19" s="195" t="n">
        <v>0.00157437247627409</v>
      </c>
      <c r="M19" s="45" t="inlineStr">
        <is>
          <t>Volatilidad condicional pendiente</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c r="A20" s="1" t="inlineStr">
        <is>
          <t>ln_trm</t>
        </is>
      </c>
      <c r="B20" s="1" t="inlineStr">
        <is>
          <t>primera_diferencia</t>
        </is>
      </c>
      <c r="C20" s="1" t="n">
        <v>243</v>
      </c>
      <c r="D20" s="161" t="n">
        <v>-11.74530099877616</v>
      </c>
      <c r="E20" s="161" t="n">
        <v>1.245614971037777e-21</v>
      </c>
      <c r="F20" s="161" t="n">
        <v>0</v>
      </c>
      <c r="G20" s="161" t="n">
        <v>0.129921498750035</v>
      </c>
      <c r="H20" s="161" t="n">
        <v>0.1</v>
      </c>
      <c r="I20" s="1" t="n"/>
      <c r="J20" s="45" t="inlineStr">
        <is>
          <t>Jarque-Bera</t>
        </is>
      </c>
      <c r="K20" s="195" t="n">
        <v>12.48032855499101</v>
      </c>
      <c r="L20" s="195" t="n">
        <v>0.001949535231772257</v>
      </c>
      <c r="M20" s="45" t="inlineStr">
        <is>
          <t>Residuos no normales</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c r="A21" s="1" t="inlineStr">
        <is>
          <t>ln_terminos_intercambio</t>
        </is>
      </c>
      <c r="B21" s="1" t="inlineStr">
        <is>
          <t>nivel</t>
        </is>
      </c>
      <c r="C21" s="1" t="n">
        <v>244</v>
      </c>
      <c r="D21" s="161" t="n">
        <v>-2.076491445420829</v>
      </c>
      <c r="E21" s="161" t="n">
        <v>0.2540719588424747</v>
      </c>
      <c r="F21" s="161" t="n">
        <v>0</v>
      </c>
      <c r="G21" s="161" t="n">
        <v>0.2107598906252458</v>
      </c>
      <c r="H21" s="161" t="n">
        <v>0.1</v>
      </c>
      <c r="I21" s="1" t="n"/>
      <c r="J21" s="1" t="inlineStr">
        <is>
          <t>Ramsey RESET</t>
        </is>
      </c>
      <c r="K21" s="161" t="n">
        <v>3.132491188857761</v>
      </c>
      <c r="L21" s="161" t="n">
        <v>0.07810073138624381</v>
      </c>
      <c r="M21" s="1" t="inlineStr">
        <is>
          <t>Forma funcional aceptable</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c r="A22" s="1" t="inlineStr">
        <is>
          <t>ln_terminos_intercambio</t>
        </is>
      </c>
      <c r="B22" s="1" t="inlineStr">
        <is>
          <t>primera_diferencia</t>
        </is>
      </c>
      <c r="C22" s="1" t="n">
        <v>243</v>
      </c>
      <c r="D22" s="161" t="n">
        <v>-14.4791831599024</v>
      </c>
      <c r="E22" s="161" t="n">
        <v>6.414520627780299e-27</v>
      </c>
      <c r="F22" s="161" t="n">
        <v>0</v>
      </c>
      <c r="G22" s="161" t="n">
        <v>0.06679702113236356</v>
      </c>
      <c r="H22" s="161" t="n">
        <v>0.1</v>
      </c>
      <c r="I22" s="1" t="n"/>
      <c r="J22" s="1" t="inlineStr">
        <is>
          <t>CUSUM estabilidad</t>
        </is>
      </c>
      <c r="K22" s="161" t="n">
        <v>0.91045055206151</v>
      </c>
      <c r="L22" s="161" t="n">
        <v>0.3784640189957469</v>
      </c>
      <c r="M22" s="1" t="inlineStr">
        <is>
          <t>Sin inestabilidad detectada</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c r="A23" s="1" t="inlineStr">
        <is>
          <t>ln_remesas_12m</t>
        </is>
      </c>
      <c r="B23" s="1" t="inlineStr">
        <is>
          <t>nivel</t>
        </is>
      </c>
      <c r="C23" s="1" t="n">
        <v>244</v>
      </c>
      <c r="D23" s="161" t="n">
        <v>1.644898971787</v>
      </c>
      <c r="E23" s="161" t="n">
        <v>0.99798621626656</v>
      </c>
      <c r="F23" s="161" t="n">
        <v>13</v>
      </c>
      <c r="G23" s="161" t="n">
        <v>2.078890294373042</v>
      </c>
      <c r="H23" s="161" t="n">
        <v>0.01</v>
      </c>
      <c r="I23" s="1" t="n"/>
      <c r="J23" s="1" t="inlineStr">
        <is>
          <t>Durbin-Watson</t>
        </is>
      </c>
      <c r="K23" s="161" t="n">
        <v>1.790245741992393</v>
      </c>
      <c r="L23" s="161" t="n"/>
      <c r="M23" s="1" t="inlineStr">
        <is>
          <t>Cercano a 2</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c r="A24" s="1" t="inlineStr">
        <is>
          <t>ln_remesas_12m</t>
        </is>
      </c>
      <c r="B24" s="1" t="inlineStr">
        <is>
          <t>primera_diferencia</t>
        </is>
      </c>
      <c r="C24" s="1" t="n">
        <v>243</v>
      </c>
      <c r="D24" s="161" t="n">
        <v>-4.631700848954859</v>
      </c>
      <c r="E24" s="161" t="n">
        <v>0.0001128628575445813</v>
      </c>
      <c r="F24" s="161" t="n">
        <v>2</v>
      </c>
      <c r="G24" s="161" t="n">
        <v>0.3213722223498939</v>
      </c>
      <c r="H24" s="161" t="n">
        <v>0.1</v>
      </c>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ht="36" customHeight="1">
      <c r="A25" s="1" t="inlineStr">
        <is>
          <t>diferencial_tasas_pp</t>
        </is>
      </c>
      <c r="B25" s="1" t="inlineStr">
        <is>
          <t>nivel</t>
        </is>
      </c>
      <c r="C25" s="1" t="n">
        <v>244</v>
      </c>
      <c r="D25" s="161" t="n">
        <v>-2.932782232352109</v>
      </c>
      <c r="E25" s="161" t="n">
        <v>0.04166652507524612</v>
      </c>
      <c r="F25" s="161" t="n">
        <v>4</v>
      </c>
      <c r="G25" s="161" t="n">
        <v>0.1499946175857981</v>
      </c>
      <c r="H25" s="161" t="n">
        <v>0.1</v>
      </c>
      <c r="I25" s="1" t="n"/>
      <c r="J25" s="115" t="inlineStr">
        <is>
          <t>HAC protege la inferencia sobre la ecuación de media frente a heterocedasticidad y autocorrelación moderadas; no modela la dinámica de volatilidad detectada por ARCH-LM.</t>
        </is>
      </c>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ht="36" customHeight="1">
      <c r="A26" s="1" t="inlineStr">
        <is>
          <t>diferencial_tasas_pp</t>
        </is>
      </c>
      <c r="B26" s="1" t="inlineStr">
        <is>
          <t>primera_diferencia</t>
        </is>
      </c>
      <c r="C26" s="1" t="n">
        <v>243</v>
      </c>
      <c r="D26" s="161" t="n">
        <v>-4.394716711033061</v>
      </c>
      <c r="E26" s="161" t="n">
        <v>0.0003032888512009237</v>
      </c>
      <c r="F26" s="161" t="n">
        <v>3</v>
      </c>
      <c r="G26" s="161" t="n">
        <v>0.05838852614610807</v>
      </c>
      <c r="H26" s="161" t="n">
        <v>0.1</v>
      </c>
      <c r="I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ht="36" customHeight="1">
      <c r="A27" s="1" t="inlineStr">
        <is>
          <t>deficit_fiscal_12m_pct_pib</t>
        </is>
      </c>
      <c r="B27" s="1" t="inlineStr">
        <is>
          <t>nivel</t>
        </is>
      </c>
      <c r="C27" s="1" t="n">
        <v>244</v>
      </c>
      <c r="D27" s="161" t="n">
        <v>-1.955309330310248</v>
      </c>
      <c r="E27" s="161" t="n">
        <v>0.3065053946526129</v>
      </c>
      <c r="F27" s="161" t="n">
        <v>0</v>
      </c>
      <c r="G27" s="161" t="n">
        <v>1.341892250122795</v>
      </c>
      <c r="H27" s="161" t="n">
        <v>0.01</v>
      </c>
      <c r="I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c r="A28" s="1" t="inlineStr">
        <is>
          <t>deficit_fiscal_12m_pct_pib</t>
        </is>
      </c>
      <c r="B28" s="1" t="inlineStr">
        <is>
          <t>primera_diferencia</t>
        </is>
      </c>
      <c r="C28" s="1" t="n">
        <v>243</v>
      </c>
      <c r="D28" s="161" t="n">
        <v>-15.88095545788715</v>
      </c>
      <c r="E28" s="161" t="n">
        <v>8.759313860264154e-29</v>
      </c>
      <c r="F28" s="161" t="n">
        <v>0</v>
      </c>
      <c r="G28" s="161" t="n">
        <v>0.0525732780697349</v>
      </c>
      <c r="H28" s="161" t="n">
        <v>0.1</v>
      </c>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c r="A29" s="1" t="inlineStr">
        <is>
          <t>ln_dolar_amplio</t>
        </is>
      </c>
      <c r="B29" s="1" t="inlineStr">
        <is>
          <t>nivel</t>
        </is>
      </c>
      <c r="C29" s="1" t="n">
        <v>244</v>
      </c>
      <c r="D29" s="161" t="n">
        <v>-1.200063175314611</v>
      </c>
      <c r="E29" s="161" t="n">
        <v>0.6735685349165561</v>
      </c>
      <c r="F29" s="161" t="n">
        <v>1</v>
      </c>
      <c r="G29" s="161" t="n">
        <v>1.969019643962784</v>
      </c>
      <c r="H29" s="161" t="n">
        <v>0.01</v>
      </c>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c r="A30" s="1" t="inlineStr">
        <is>
          <t>ln_dolar_amplio</t>
        </is>
      </c>
      <c r="B30" s="1" t="inlineStr">
        <is>
          <t>primera_diferencia</t>
        </is>
      </c>
      <c r="C30" s="1" t="n">
        <v>243</v>
      </c>
      <c r="D30" s="161" t="n">
        <v>-10.16632284164768</v>
      </c>
      <c r="E30" s="161" t="n">
        <v>7.282951599038886e-18</v>
      </c>
      <c r="F30" s="161" t="n">
        <v>0</v>
      </c>
      <c r="G30" s="161" t="n">
        <v>0.09611315770471171</v>
      </c>
      <c r="H30" s="161" t="n">
        <v>0.1</v>
      </c>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c r="A31" s="1" t="inlineStr">
        <is>
          <t>ln_vix</t>
        </is>
      </c>
      <c r="B31" s="1" t="inlineStr">
        <is>
          <t>nivel</t>
        </is>
      </c>
      <c r="C31" s="1" t="n">
        <v>244</v>
      </c>
      <c r="D31" s="161" t="n">
        <v>-4.478194746429898</v>
      </c>
      <c r="E31" s="161" t="n">
        <v>0.0002152703697225215</v>
      </c>
      <c r="F31" s="161" t="n">
        <v>0</v>
      </c>
      <c r="G31" s="161" t="n">
        <v>0.1720089947470517</v>
      </c>
      <c r="H31" s="161" t="n">
        <v>0.1</v>
      </c>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c r="A32" s="1" t="inlineStr">
        <is>
          <t>ln_vix</t>
        </is>
      </c>
      <c r="B32" s="1" t="inlineStr">
        <is>
          <t>primera_diferencia</t>
        </is>
      </c>
      <c r="C32" s="1" t="n">
        <v>243</v>
      </c>
      <c r="D32" s="161" t="n">
        <v>-12.98983843276525</v>
      </c>
      <c r="E32" s="161" t="n">
        <v>2.827622901866679e-24</v>
      </c>
      <c r="F32" s="161" t="n">
        <v>1</v>
      </c>
      <c r="G32" s="161" t="n">
        <v>0.05050536286365415</v>
      </c>
      <c r="H32" s="161" t="n">
        <v>0.1</v>
      </c>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1" t="inlineStr">
        <is>
          <t>embig_colombia_pp</t>
        </is>
      </c>
      <c r="B33" s="1" t="inlineStr">
        <is>
          <t>nivel</t>
        </is>
      </c>
      <c r="C33" s="1" t="n">
        <v>244</v>
      </c>
      <c r="D33" s="161" t="n">
        <v>-3.407023691402668</v>
      </c>
      <c r="E33" s="161" t="n">
        <v>0.01072175211899083</v>
      </c>
      <c r="F33" s="161" t="n">
        <v>1</v>
      </c>
      <c r="G33" s="161" t="n">
        <v>0.6910865472533331</v>
      </c>
      <c r="H33" s="161" t="n">
        <v>0.01435576843151517</v>
      </c>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1" t="inlineStr">
        <is>
          <t>embig_colombia_pp</t>
        </is>
      </c>
      <c r="B34" s="1" t="inlineStr">
        <is>
          <t>primera_diferencia</t>
        </is>
      </c>
      <c r="C34" s="1" t="n">
        <v>243</v>
      </c>
      <c r="D34" s="161" t="n">
        <v>-12.79267099379678</v>
      </c>
      <c r="E34" s="161" t="n">
        <v>7.022409543207317e-24</v>
      </c>
      <c r="F34" s="161" t="n">
        <v>0</v>
      </c>
      <c r="G34" s="161" t="n">
        <v>0.02744301407724029</v>
      </c>
      <c r="H34" s="161" t="n">
        <v>0.1</v>
      </c>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1" t="inlineStr">
        <is>
          <t>ln_reservas_netas_sin_flar</t>
        </is>
      </c>
      <c r="B35" s="1" t="inlineStr">
        <is>
          <t>nivel</t>
        </is>
      </c>
      <c r="C35" s="1" t="n">
        <v>244</v>
      </c>
      <c r="D35" s="161" t="n">
        <v>-3.275473245529521</v>
      </c>
      <c r="E35" s="161" t="n">
        <v>0.01601105711707531</v>
      </c>
      <c r="F35" s="161" t="n">
        <v>1</v>
      </c>
      <c r="G35" s="161" t="n">
        <v>2.103662394457461</v>
      </c>
      <c r="H35" s="161" t="n">
        <v>0.01</v>
      </c>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1" t="inlineStr">
        <is>
          <t>ln_reservas_netas_sin_flar</t>
        </is>
      </c>
      <c r="B36" s="1" t="inlineStr">
        <is>
          <t>primera_diferencia</t>
        </is>
      </c>
      <c r="C36" s="1" t="n">
        <v>243</v>
      </c>
      <c r="D36" s="161" t="n">
        <v>-10.03838957727374</v>
      </c>
      <c r="E36" s="161" t="n">
        <v>1.519081917348034e-17</v>
      </c>
      <c r="F36" s="161" t="n">
        <v>0</v>
      </c>
      <c r="G36" s="161" t="n">
        <v>0.8278384681596641</v>
      </c>
      <c r="H36" s="161" t="n">
        <v>0.01</v>
      </c>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c r="A37" s="1" t="inlineStr">
        <is>
          <t>asinh_balanza_comercial</t>
        </is>
      </c>
      <c r="B37" s="1" t="inlineStr">
        <is>
          <t>nivel</t>
        </is>
      </c>
      <c r="C37" s="1" t="n">
        <v>244</v>
      </c>
      <c r="D37" s="161" t="n">
        <v>-0.826333786735681</v>
      </c>
      <c r="E37" s="161" t="n">
        <v>0.811264081613728</v>
      </c>
      <c r="F37" s="161" t="n">
        <v>4</v>
      </c>
      <c r="G37" s="161" t="n">
        <v>2.029481510290614</v>
      </c>
      <c r="H37" s="161" t="n">
        <v>0.01</v>
      </c>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c r="A38" s="1" t="inlineStr">
        <is>
          <t>asinh_balanza_comercial</t>
        </is>
      </c>
      <c r="B38" s="1" t="inlineStr">
        <is>
          <t>primera_diferencia</t>
        </is>
      </c>
      <c r="C38" s="1" t="n">
        <v>243</v>
      </c>
      <c r="D38" s="161" t="n">
        <v>-12.23667233815718</v>
      </c>
      <c r="E38" s="161" t="n">
        <v>1.024408826545367e-22</v>
      </c>
      <c r="F38" s="161" t="n">
        <v>3</v>
      </c>
      <c r="G38" s="161" t="n">
        <v>0.1383143019076817</v>
      </c>
      <c r="H38" s="161" t="n">
        <v>0.1</v>
      </c>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1" t="inlineStr">
        <is>
          <t>asinh_flujos_capital</t>
        </is>
      </c>
      <c r="B39" s="1" t="inlineStr">
        <is>
          <t>nivel</t>
        </is>
      </c>
      <c r="C39" s="1" t="n">
        <v>244</v>
      </c>
      <c r="D39" s="161" t="n">
        <v>-0.5111787624352627</v>
      </c>
      <c r="E39" s="161" t="n">
        <v>0.8898165130942963</v>
      </c>
      <c r="F39" s="161" t="n">
        <v>5</v>
      </c>
      <c r="G39" s="161" t="n">
        <v>2.180823721122012</v>
      </c>
      <c r="H39" s="161" t="n">
        <v>0.01</v>
      </c>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1" t="inlineStr">
        <is>
          <t>asinh_flujos_capital</t>
        </is>
      </c>
      <c r="B40" s="1" t="inlineStr">
        <is>
          <t>primera_diferencia</t>
        </is>
      </c>
      <c r="C40" s="1" t="n">
        <v>243</v>
      </c>
      <c r="D40" s="161" t="n">
        <v>-11.98940681234833</v>
      </c>
      <c r="E40" s="161" t="n">
        <v>3.549993086260052e-22</v>
      </c>
      <c r="F40" s="161" t="n">
        <v>4</v>
      </c>
      <c r="G40" s="161" t="n">
        <v>0.5000000000000011</v>
      </c>
      <c r="H40" s="161" t="n">
        <v>0.04166666666666642</v>
      </c>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1" t="inlineStr">
        <is>
          <t>diferencial_bei_5y_pp</t>
        </is>
      </c>
      <c r="B41" s="1" t="inlineStr">
        <is>
          <t>nivel</t>
        </is>
      </c>
      <c r="C41" s="1" t="n">
        <v>244</v>
      </c>
      <c r="D41" s="161" t="n">
        <v>-3.341150215276797</v>
      </c>
      <c r="E41" s="161" t="n">
        <v>0.01313631669766349</v>
      </c>
      <c r="F41" s="161" t="n">
        <v>1</v>
      </c>
      <c r="G41" s="161" t="n">
        <v>0.3040335176448475</v>
      </c>
      <c r="H41" s="161" t="n">
        <v>0.1</v>
      </c>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1" t="inlineStr">
        <is>
          <t>diferencial_bei_5y_pp</t>
        </is>
      </c>
      <c r="B42" s="1" t="inlineStr">
        <is>
          <t>primera_diferencia</t>
        </is>
      </c>
      <c r="C42" s="1" t="n">
        <v>243</v>
      </c>
      <c r="D42" s="161" t="n">
        <v>-11.27020455269189</v>
      </c>
      <c r="E42" s="161" t="n">
        <v>1.543594923867477e-20</v>
      </c>
      <c r="F42" s="161" t="n">
        <v>1</v>
      </c>
      <c r="G42" s="161" t="n">
        <v>0.05972588778441204</v>
      </c>
      <c r="H42" s="161" t="n">
        <v>0.1</v>
      </c>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1" t="inlineStr">
        <is>
          <t>diferencial_bei_5y_comun_pp</t>
        </is>
      </c>
      <c r="B43" s="1" t="inlineStr">
        <is>
          <t>nivel</t>
        </is>
      </c>
      <c r="C43" s="1" t="n">
        <v>244</v>
      </c>
      <c r="D43" s="161" t="n">
        <v>-3.299255735684394</v>
      </c>
      <c r="E43" s="161" t="n">
        <v>0.01491177592434478</v>
      </c>
      <c r="F43" s="161" t="n">
        <v>1</v>
      </c>
      <c r="G43" s="161" t="n">
        <v>0.3038202074951382</v>
      </c>
      <c r="H43" s="161" t="n">
        <v>0.1</v>
      </c>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1" t="inlineStr">
        <is>
          <t>diferencial_bei_5y_comun_pp</t>
        </is>
      </c>
      <c r="B44" s="1" t="inlineStr">
        <is>
          <t>primera_diferencia</t>
        </is>
      </c>
      <c r="C44" s="1" t="n">
        <v>243</v>
      </c>
      <c r="D44" s="161" t="n">
        <v>-11.7692983799474</v>
      </c>
      <c r="E44" s="161" t="n">
        <v>1.099691156971934e-21</v>
      </c>
      <c r="F44" s="161" t="n">
        <v>0</v>
      </c>
      <c r="G44" s="161" t="n">
        <v>0.05745705189095292</v>
      </c>
      <c r="H44" s="161" t="n">
        <v>0.1</v>
      </c>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8">
    <mergeCell ref="A5:D5"/>
    <mergeCell ref="J25:N27"/>
    <mergeCell ref="J5:N5"/>
    <mergeCell ref="A2:N3"/>
    <mergeCell ref="A17:H17"/>
    <mergeCell ref="J14:M14"/>
    <mergeCell ref="F5:I5"/>
    <mergeCell ref="A1:N1"/>
  </mergeCell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3.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14" customWidth="1" min="1" max="1"/>
    <col width="25" customWidth="1" min="2" max="2"/>
    <col width="16" customWidth="1" min="3" max="3"/>
    <col width="21" customWidth="1" min="4" max="4"/>
    <col width="21" customWidth="1" min="5" max="5"/>
    <col width="21" customWidth="1" min="6" max="6"/>
    <col width="21" customWidth="1" min="7" max="7"/>
    <col width="31" customWidth="1" min="8" max="8"/>
    <col width="31" customWidth="1" min="9" max="9"/>
  </cols>
  <sheetData>
    <row r="1" ht="30" customHeight="1">
      <c r="A1" s="4" t="inlineStr">
        <is>
          <t>Mapa de variables: núcleo y extensiones</t>
        </is>
      </c>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7" t="inlineStr">
        <is>
          <t>El modelo principal conserva el núcleo parsimonioso; el ampliado integra seis canales adicionales. La comparación y los pesos Shapley permiten evaluar cuánto añaden sin confundir asociación con causalidad.</t>
        </is>
      </c>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ht="40" customHeight="1">
      <c r="A5" s="62" t="inlineStr">
        <is>
          <t>Bloque</t>
        </is>
      </c>
      <c r="B5" s="62" t="inlineStr">
        <is>
          <t>Variable</t>
        </is>
      </c>
      <c r="C5" s="62" t="inlineStr">
        <is>
          <t>Estatus</t>
        </is>
      </c>
      <c r="D5" s="62" t="inlineStr">
        <is>
          <t>Proxy/medición</t>
        </is>
      </c>
      <c r="E5" s="62" t="inlineStr">
        <is>
          <t>Transformación</t>
        </is>
      </c>
      <c r="F5" s="62" t="inlineStr">
        <is>
          <t>Signo sobre COP/USD</t>
        </is>
      </c>
      <c r="G5" s="62" t="inlineStr">
        <is>
          <t>Canal</t>
        </is>
      </c>
      <c r="H5" s="62" t="inlineStr">
        <is>
          <t>Justificación</t>
        </is>
      </c>
      <c r="I5" s="62" t="inlineStr">
        <is>
          <t>Cautela</t>
        </is>
      </c>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ht="38" customHeight="1">
      <c r="A6" s="64" t="inlineStr">
        <is>
          <t>Objetivo</t>
        </is>
      </c>
      <c r="B6" s="64" t="inlineStr">
        <is>
          <t>TRM promedio mensual</t>
        </is>
      </c>
      <c r="C6" s="137" t="inlineStr">
        <is>
          <t>Modelo principal</t>
        </is>
      </c>
      <c r="D6" s="64" t="inlineStr">
        <is>
          <t>COP por USD</t>
        </is>
      </c>
      <c r="E6" s="64" t="inlineStr">
        <is>
          <t>Δln</t>
        </is>
      </c>
      <c r="F6" s="64" t="inlineStr">
        <is>
          <t>+ = depreciación</t>
        </is>
      </c>
      <c r="G6" s="64" t="inlineStr">
        <is>
          <t>Variable dependiente</t>
        </is>
      </c>
      <c r="H6" s="64" t="inlineStr">
        <is>
          <t>Precio del dólar en Colombia</t>
        </is>
      </c>
      <c r="I6" s="64" t="inlineStr">
        <is>
          <t>Promedios mensuales ocultan movimientos diarios</t>
        </is>
      </c>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ht="38" customHeight="1">
      <c r="A7" s="64" t="inlineStr">
        <is>
          <t>Externo</t>
        </is>
      </c>
      <c r="B7" s="64" t="inlineStr">
        <is>
          <t>Términos de intercambio</t>
        </is>
      </c>
      <c r="C7" s="137" t="inlineStr">
        <is>
          <t>Modelo principal</t>
        </is>
      </c>
      <c r="D7" s="64" t="inlineStr">
        <is>
          <t>BanRep 15360</t>
        </is>
      </c>
      <c r="E7" s="64" t="inlineStr">
        <is>
          <t>Δln contemporáneo</t>
        </is>
      </c>
      <c r="F7" s="64" t="inlineStr">
        <is>
          <t>−</t>
        </is>
      </c>
      <c r="G7" s="64" t="inlineStr">
        <is>
          <t>Poder de compra externo</t>
        </is>
      </c>
      <c r="H7" s="64" t="inlineStr">
        <is>
          <t>Precios relativos de exportaciones e importaciones</t>
        </is>
      </c>
      <c r="I7" s="64" t="inlineStr">
        <is>
          <t>Su publicación tiene rezago; el uso contemporáneo es explicativo ex post</t>
        </is>
      </c>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ht="38" customHeight="1">
      <c r="A8" s="64" t="inlineStr">
        <is>
          <t>Divisas</t>
        </is>
      </c>
      <c r="B8" s="64" t="inlineStr">
        <is>
          <t>Remesas recibidas</t>
        </is>
      </c>
      <c r="C8" s="137" t="inlineStr">
        <is>
          <t>Modelo principal</t>
        </is>
      </c>
      <c r="D8" s="64" t="inlineStr">
        <is>
          <t>Acumulado 12m en USD</t>
        </is>
      </c>
      <c r="E8" s="64" t="inlineStr">
        <is>
          <t>Δln, rezago 1</t>
        </is>
      </c>
      <c r="F8" s="64" t="inlineStr">
        <is>
          <t>− esperado</t>
        </is>
      </c>
      <c r="G8" s="64" t="inlineStr">
        <is>
          <t>Oferta de divisas</t>
        </is>
      </c>
      <c r="H8" s="64" t="inlineStr">
        <is>
          <t>Flujo estable de dólares</t>
        </is>
      </c>
      <c r="I8" s="64" t="inlineStr">
        <is>
          <t>Puede responder a la propia depreciación</t>
        </is>
      </c>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ht="38" customHeight="1">
      <c r="A9" s="64" t="inlineStr">
        <is>
          <t>Monetario</t>
        </is>
      </c>
      <c r="B9" s="64" t="inlineStr">
        <is>
          <t>Diferencial tasas CO−EE. UU.</t>
        </is>
      </c>
      <c r="C9" s="137" t="inlineStr">
        <is>
          <t>Modelo principal</t>
        </is>
      </c>
      <c r="D9" s="64" t="inlineStr">
        <is>
          <t>Tasa política − Fed funds</t>
        </is>
      </c>
      <c r="E9" s="64" t="inlineStr">
        <is>
          <t>Δ pp, rezago 1</t>
        </is>
      </c>
      <c r="F9" s="64" t="inlineStr">
        <is>
          <t>−</t>
        </is>
      </c>
      <c r="G9" s="64" t="inlineStr">
        <is>
          <t>Retorno relativo</t>
        </is>
      </c>
      <c r="H9" s="64" t="inlineStr">
        <is>
          <t>Carry e ingreso de capital</t>
        </is>
      </c>
      <c r="I9" s="64" t="inlineStr">
        <is>
          <t>Tasas nominales; endógenas a inflación y TRM</t>
        </is>
      </c>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ht="38" customHeight="1">
      <c r="A10" s="64" t="inlineStr">
        <is>
          <t>Fiscal</t>
        </is>
      </c>
      <c r="B10" s="64" t="inlineStr">
        <is>
          <t>Déficit GNC</t>
        </is>
      </c>
      <c r="C10" s="137" t="inlineStr">
        <is>
          <t>Modelo principal</t>
        </is>
      </c>
      <c r="D10" s="64" t="inlineStr">
        <is>
          <t>Acumulado 12m / PIB</t>
        </is>
      </c>
      <c r="E10" s="64" t="inlineStr">
        <is>
          <t>Δ pp, rezago 1</t>
        </is>
      </c>
      <c r="F10" s="64" t="inlineStr">
        <is>
          <t>+</t>
        </is>
      </c>
      <c r="G10" s="64" t="inlineStr">
        <is>
          <t>Riesgo fiscal</t>
        </is>
      </c>
      <c r="H10" s="64" t="inlineStr">
        <is>
          <t>Financiación y prima de riesgo</t>
        </is>
      </c>
      <c r="I10" s="64" t="inlineStr">
        <is>
          <t>Dato observado no es un shock fiscal exógeno</t>
        </is>
      </c>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ht="38" customHeight="1">
      <c r="A11" s="64" t="inlineStr">
        <is>
          <t>Global</t>
        </is>
      </c>
      <c r="B11" s="64" t="inlineStr">
        <is>
          <t>Índice amplio del dólar</t>
        </is>
      </c>
      <c r="C11" s="137" t="inlineStr">
        <is>
          <t>Modelo principal</t>
        </is>
      </c>
      <c r="D11" s="64" t="inlineStr">
        <is>
          <t>Fed DTWEXBGS</t>
        </is>
      </c>
      <c r="E11" s="64" t="inlineStr">
        <is>
          <t>Δln contemporáneo</t>
        </is>
      </c>
      <c r="F11" s="64" t="inlineStr">
        <is>
          <t>+</t>
        </is>
      </c>
      <c r="G11" s="64" t="inlineStr">
        <is>
          <t>Fortaleza global USD</t>
        </is>
      </c>
      <c r="H11" s="64" t="inlineStr">
        <is>
          <t>Factor global común</t>
        </is>
      </c>
      <c r="I11" s="64" t="inlineStr">
        <is>
          <t>No es el DXY comercial de ICE</t>
        </is>
      </c>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ht="38" customHeight="1">
      <c r="A12" s="64" t="inlineStr">
        <is>
          <t>Global</t>
        </is>
      </c>
      <c r="B12" s="64" t="inlineStr">
        <is>
          <t>VIX</t>
        </is>
      </c>
      <c r="C12" s="137" t="inlineStr">
        <is>
          <t>Modelo principal</t>
        </is>
      </c>
      <c r="D12" s="64" t="inlineStr">
        <is>
          <t>Promedio mensual</t>
        </is>
      </c>
      <c r="E12" s="64" t="inlineStr">
        <is>
          <t>Δln contemporáneo</t>
        </is>
      </c>
      <c r="F12" s="64" t="inlineStr">
        <is>
          <t>+</t>
        </is>
      </c>
      <c r="G12" s="64" t="inlineStr">
        <is>
          <t>Aversión al riesgo</t>
        </is>
      </c>
      <c r="H12" s="64" t="inlineStr">
        <is>
          <t>Risk-off y salida de emergentes</t>
        </is>
      </c>
      <c r="I12" s="64" t="inlineStr">
        <is>
          <t>Correlacionado con dólar global</t>
        </is>
      </c>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ht="38" customHeight="1">
      <c r="A13" s="64" t="inlineStr">
        <is>
          <t>Riesgo</t>
        </is>
      </c>
      <c r="B13" s="64" t="inlineStr">
        <is>
          <t>EMBIG Colombia</t>
        </is>
      </c>
      <c r="C13" s="6" t="inlineStr">
        <is>
          <t>Modelo ampliado</t>
        </is>
      </c>
      <c r="D13" s="64" t="inlineStr">
        <is>
          <t>BCRPData PD04715XD</t>
        </is>
      </c>
      <c r="E13" s="64" t="inlineStr">
        <is>
          <t>Δ pp, contemporáneo</t>
        </is>
      </c>
      <c r="F13" s="64" t="inlineStr">
        <is>
          <t>+</t>
        </is>
      </c>
      <c r="G13" s="64" t="inlineStr">
        <is>
          <t>Riesgo soberano externo</t>
        </is>
      </c>
      <c r="H13" s="64" t="inlineStr">
        <is>
          <t>Prima de bonos soberanos frente a Treasuries</t>
        </is>
      </c>
      <c r="I13" s="64" t="inlineStr">
        <is>
          <t>Canasta con duración y composición variables; no es CDS a 5 años</t>
        </is>
      </c>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ht="38" customHeight="1">
      <c r="A14" s="64" t="inlineStr">
        <is>
          <t>Reservas</t>
        </is>
      </c>
      <c r="B14" s="64" t="inlineStr">
        <is>
          <t>Reservas internacionales netas sin FLAR</t>
        </is>
      </c>
      <c r="C14" s="6" t="inlineStr">
        <is>
          <t>Modelo ampliado</t>
        </is>
      </c>
      <c r="D14" s="64" t="inlineStr">
        <is>
          <t>BanRep 15053</t>
        </is>
      </c>
      <c r="E14" s="64" t="inlineStr">
        <is>
          <t>Δln, rezago 1</t>
        </is>
      </c>
      <c r="F14" s="64" t="inlineStr">
        <is>
          <t>−</t>
        </is>
      </c>
      <c r="G14" s="64" t="inlineStr">
        <is>
          <t>Colchón externo</t>
        </is>
      </c>
      <c r="H14" s="64" t="inlineStr">
        <is>
          <t>Capacidad de intervención y liquidez</t>
        </is>
      </c>
      <c r="I14" s="64" t="inlineStr">
        <is>
          <t>La acumulación de reservas puede responder a la TRM</t>
        </is>
      </c>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ht="38" customHeight="1">
      <c r="A15" s="64" t="inlineStr">
        <is>
          <t>Comercio</t>
        </is>
      </c>
      <c r="B15" s="64" t="inlineStr">
        <is>
          <t>Balanza comercial cambiaria</t>
        </is>
      </c>
      <c r="C15" s="6" t="inlineStr">
        <is>
          <t>Modelo ampliado</t>
        </is>
      </c>
      <c r="D15" s="64" t="inlineStr">
        <is>
          <t>BanRep 16702</t>
        </is>
      </c>
      <c r="E15" s="64" t="inlineStr">
        <is>
          <t>Δ asinh, rezago 1</t>
        </is>
      </c>
      <c r="F15" s="64" t="inlineStr">
        <is>
          <t>−</t>
        </is>
      </c>
      <c r="G15" s="64" t="inlineStr">
        <is>
          <t>Oferta neta de divisas</t>
        </is>
      </c>
      <c r="H15" s="64" t="inlineStr">
        <is>
          <t>Exportaciones menos importaciones canalizadas</t>
        </is>
      </c>
      <c r="I15" s="64" t="inlineStr">
        <is>
          <t>Es simultánea con la depreciación</t>
        </is>
      </c>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ht="38" customHeight="1">
      <c r="A16" s="64" t="inlineStr">
        <is>
          <t>Precios</t>
        </is>
      </c>
      <c r="B16" s="64" t="inlineStr">
        <is>
          <t>Diferencial BEI 5 años CO−EE. UU.</t>
        </is>
      </c>
      <c r="C16" s="6" t="inlineStr">
        <is>
          <t>Modelo ampliado</t>
        </is>
      </c>
      <c r="D16" s="64" t="inlineStr">
        <is>
          <t>BanRep 15273−15276 menos Fed BKEVEN05</t>
        </is>
      </c>
      <c r="E16" s="64" t="inlineStr">
        <is>
          <t>Primera diferencia en pp, rezago 1</t>
        </is>
      </c>
      <c r="F16" s="64" t="inlineStr">
        <is>
          <t>+</t>
        </is>
      </c>
      <c r="G16" s="64" t="inlineStr">
        <is>
          <t>Cambio en la compensación inflacionaria relativa</t>
        </is>
      </c>
      <c r="H16" s="64" t="inlineStr">
        <is>
          <t>La diferencia es robustamente estacionaria y mejora BIC</t>
        </is>
      </c>
      <c r="I16" s="64" t="inlineStr">
        <is>
          <t>Incluye primas de riesgo de inflación y liquidez; el nivel es sensible a tendencia y quiebre</t>
        </is>
      </c>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ht="38" customHeight="1">
      <c r="A17" s="64" t="inlineStr">
        <is>
          <t>Mercado</t>
        </is>
      </c>
      <c r="B17" s="64" t="inlineStr">
        <is>
          <t>Monedas regionales</t>
        </is>
      </c>
      <c r="C17" s="6" t="inlineStr">
        <is>
          <t>Modelo ampliado</t>
        </is>
      </c>
      <c r="D17" s="64" t="inlineStr">
        <is>
          <t>BRL, CLP, MXN y PEN por USD</t>
        </is>
      </c>
      <c r="E17" s="64" t="inlineStr">
        <is>
          <t>Promedio igual de z(Δln), base 2006–2019</t>
        </is>
      </c>
      <c r="F17" s="64" t="inlineStr">
        <is>
          <t>+</t>
        </is>
      </c>
      <c r="G17" s="64" t="inlineStr">
        <is>
          <t>Contagio regional</t>
        </is>
      </c>
      <c r="H17" s="64" t="inlineStr">
        <is>
          <t>PEN mejora la explicación histórica frente a tres monedas</t>
        </is>
      </c>
      <c r="I17" s="64" t="inlineStr">
        <is>
          <t>Comparte información con VIX y dólar global</t>
        </is>
      </c>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ht="38" customHeight="1">
      <c r="A18" s="64" t="inlineStr">
        <is>
          <t>Pronóstico</t>
        </is>
      </c>
      <c r="B18" s="64" t="inlineStr">
        <is>
          <t>Modelo de un mes</t>
        </is>
      </c>
      <c r="C18" s="114" t="inlineStr">
        <is>
          <t>Pronóstico publicado</t>
        </is>
      </c>
      <c r="D18" s="64" t="inlineStr">
        <is>
          <t>Variables disponibles al inicio de t</t>
        </is>
      </c>
      <c r="E18" s="64" t="inlineStr">
        <is>
          <t>Rezagos de 1 a 3 meses</t>
        </is>
      </c>
      <c r="F18" s="64" t="inlineStr">
        <is>
          <t>—</t>
        </is>
      </c>
      <c r="G18" s="64" t="inlineStr">
        <is>
          <t>Predicción ex ante</t>
        </is>
      </c>
      <c r="H18" s="64" t="inlineStr">
        <is>
          <t>Composición regional de tres monedas seleccionada por BIC</t>
        </is>
      </c>
      <c r="I18" s="64" t="inlineStr">
        <is>
          <t>Backtest pseudo-tiempo-real: faltan vintages históricos</t>
        </is>
      </c>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ht="38" customHeight="1">
      <c r="A19" s="64" t="inlineStr">
        <is>
          <t>Flujos</t>
        </is>
      </c>
      <c r="B19" s="64" t="inlineStr">
        <is>
          <t>Flujo neto total de capital</t>
        </is>
      </c>
      <c r="C19" s="6" t="inlineStr">
        <is>
          <t>Modelo ampliado</t>
        </is>
      </c>
      <c r="D19" s="64" t="inlineStr">
        <is>
          <t>BanRep 16706</t>
        </is>
      </c>
      <c r="E19" s="64" t="inlineStr">
        <is>
          <t>Δ asinh, rezago 1</t>
        </is>
      </c>
      <c r="F19" s="64" t="inlineStr">
        <is>
          <t>−</t>
        </is>
      </c>
      <c r="G19" s="64" t="inlineStr">
        <is>
          <t>Demanda de activos COP</t>
        </is>
      </c>
      <c r="H19" s="64" t="inlineStr">
        <is>
          <t>Resume entradas y salidas de capital</t>
        </is>
      </c>
      <c r="I19" s="64" t="inlineStr">
        <is>
          <t>Altamente endógeno y volátil</t>
        </is>
      </c>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ht="38" customHeight="1">
      <c r="A20" s="64" t="inlineStr">
        <is>
          <t>Política</t>
        </is>
      </c>
      <c r="B20" s="64" t="inlineStr">
        <is>
          <t>Intervención cambiaria</t>
        </is>
      </c>
      <c r="C20" s="114" t="inlineStr">
        <is>
          <t>Extensión futura</t>
        </is>
      </c>
      <c r="D20" s="64" t="inlineStr">
        <is>
          <t>Compras/ventas BanRep</t>
        </is>
      </c>
      <c r="E20" s="64" t="inlineStr">
        <is>
          <t>USD, rezago</t>
        </is>
      </c>
      <c r="F20" s="64" t="inlineStr">
        <is>
          <t>+ compras</t>
        </is>
      </c>
      <c r="G20" s="64" t="inlineStr">
        <is>
          <t>Demanda oficial de USD</t>
        </is>
      </c>
      <c r="H20" s="64" t="inlineStr">
        <is>
          <t>Importante en episodios puntuales</t>
        </is>
      </c>
      <c r="I20" s="64" t="inlineStr">
        <is>
          <t>Respuesta de política, no shock puro</t>
        </is>
      </c>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2">
    <mergeCell ref="A1:I1"/>
    <mergeCell ref="A2:I3"/>
  </mergeCell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AZ400"/>
  <sheetViews>
    <sheetView showGridLines="0" workbookViewId="0">
      <selection activeCell="A1" sqref="A1"/>
    </sheetView>
  </sheetViews>
  <sheetFormatPr baseColWidth="8" defaultRowHeight="15"/>
  <cols>
    <col width="25" customWidth="1" min="1" max="1"/>
    <col width="30" customWidth="1" min="2" max="2"/>
    <col width="20" customWidth="1" min="3" max="3"/>
    <col width="20" customWidth="1" min="4" max="4"/>
    <col width="20" customWidth="1" min="5" max="5"/>
    <col width="20" customWidth="1" min="6" max="6"/>
    <col width="72" customWidth="1" min="7" max="7"/>
  </cols>
  <sheetData>
    <row r="1" ht="30" customHeight="1">
      <c r="A1" s="4" t="inlineStr">
        <is>
          <t>Fuentes y trazabilidad</t>
        </is>
      </c>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row>
    <row r="2" ht="36" customHeight="1">
      <c r="A2" s="7" t="inlineStr">
        <is>
          <t>Enlaces oficiales o distribuidores públicos de las series activas. EMBIG se redistribuye conforme a las condiciones de BCRPData, con atribución a BCRPData y a sus fuentes originales Reuters/J.P. Morgan; no se afirma una licencia abierta del índice subyacente.</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row>
    <row r="3" ht="36" customHeight="1">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row>
    <row r="4">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row>
    <row r="5">
      <c r="A5" s="62" t="inlineStr">
        <is>
          <t>Organismo</t>
        </is>
      </c>
      <c r="B5" s="62" t="inlineStr">
        <is>
          <t>Serie/código</t>
        </is>
      </c>
      <c r="C5" s="62" t="inlineStr">
        <is>
          <t>Frecuencia</t>
        </is>
      </c>
      <c r="D5" s="62" t="inlineStr">
        <is>
          <t>Cobertura</t>
        </is>
      </c>
      <c r="E5" s="62" t="inlineStr">
        <is>
          <t>Uso</t>
        </is>
      </c>
      <c r="F5" s="62" t="inlineStr">
        <is>
          <t>Tratamiento</t>
        </is>
      </c>
      <c r="G5" s="62" t="inlineStr">
        <is>
          <t>URL</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row>
    <row r="6" ht="42" customHeight="1">
      <c r="A6" s="64" t="inlineStr">
        <is>
          <t>Banco de la República</t>
        </is>
      </c>
      <c r="B6" s="64" t="inlineStr">
        <is>
          <t>TRM diaria, serie 1</t>
        </is>
      </c>
      <c r="C6" s="64" t="inlineStr">
        <is>
          <t>Diaria → mensual</t>
        </is>
      </c>
      <c r="D6" s="64" t="inlineStr">
        <is>
          <t>1991–2026</t>
        </is>
      </c>
      <c r="E6" s="64" t="inlineStr">
        <is>
          <t>Modelo principal</t>
        </is>
      </c>
      <c r="F6" s="64" t="inlineStr">
        <is>
          <t>Promedio mensual</t>
        </is>
      </c>
      <c r="G6" s="64" t="inlineStr">
        <is>
          <t>https://suameca.banrep.gov.co/graficador-series/rest/graficadorService/consultaSerieParaGraficar?idSerie=1</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V6" s="1" t="n"/>
      <c r="AW6" s="1" t="n"/>
      <c r="AX6" s="1" t="n"/>
      <c r="AY6" s="1" t="n"/>
      <c r="AZ6" s="1" t="n"/>
    </row>
    <row r="7" ht="42" customHeight="1">
      <c r="A7" s="64" t="inlineStr">
        <is>
          <t>Banco de la República</t>
        </is>
      </c>
      <c r="B7" s="64" t="inlineStr">
        <is>
          <t>Tasa de política, serie 59</t>
        </is>
      </c>
      <c r="C7" s="64" t="inlineStr">
        <is>
          <t>Diaria → mensual</t>
        </is>
      </c>
      <c r="D7" s="64" t="inlineStr">
        <is>
          <t>1998–2026</t>
        </is>
      </c>
      <c r="E7" s="64" t="inlineStr">
        <is>
          <t>Modelo principal</t>
        </is>
      </c>
      <c r="F7" s="64" t="inlineStr">
        <is>
          <t>Promedio mensual</t>
        </is>
      </c>
      <c r="G7" s="64" t="inlineStr">
        <is>
          <t>https://suameca.banrep.gov.co/graficador-series/rest/graficadorService/consultaSerieParaGraficar?idSerie=59</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V7" s="1" t="n"/>
      <c r="AW7" s="1" t="n"/>
      <c r="AX7" s="1" t="n"/>
      <c r="AY7" s="1" t="n"/>
      <c r="AZ7" s="1" t="n"/>
    </row>
    <row r="8" ht="42" customHeight="1">
      <c r="A8" s="64" t="inlineStr">
        <is>
          <t>Banco de la República</t>
        </is>
      </c>
      <c r="B8" s="64" t="inlineStr">
        <is>
          <t>Remesas, serie 15363</t>
        </is>
      </c>
      <c r="C8" s="64" t="inlineStr">
        <is>
          <t>Mensual</t>
        </is>
      </c>
      <c r="D8" s="64" t="inlineStr">
        <is>
          <t>2000–2026</t>
        </is>
      </c>
      <c r="E8" s="64" t="inlineStr">
        <is>
          <t>Modelo principal</t>
        </is>
      </c>
      <c r="F8" s="64" t="inlineStr">
        <is>
          <t>Acumulado móvil 12 meses</t>
        </is>
      </c>
      <c r="G8" s="64" t="inlineStr">
        <is>
          <t>https://suameca.banrep.gov.co/graficador-series/rest/graficadorService/consultaSerieParaGraficar?idSerie=15363</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V8" s="1" t="n"/>
      <c r="AW8" s="1" t="n"/>
      <c r="AX8" s="1" t="n"/>
      <c r="AY8" s="1" t="n"/>
      <c r="AZ8" s="1" t="n"/>
    </row>
    <row r="9" ht="42" customHeight="1">
      <c r="A9" s="64" t="inlineStr">
        <is>
          <t>Ministerio de Hacienda</t>
        </is>
      </c>
      <c r="B9" s="64" t="inlineStr">
        <is>
          <t>Balance fiscal GNC</t>
        </is>
      </c>
      <c r="C9" s="64" t="inlineStr">
        <is>
          <t>Mensual</t>
        </is>
      </c>
      <c r="D9" s="64" t="inlineStr">
        <is>
          <t>2004–2026</t>
        </is>
      </c>
      <c r="E9" s="64" t="inlineStr">
        <is>
          <t>Modelo principal</t>
        </is>
      </c>
      <c r="F9" s="64" t="inlineStr">
        <is>
          <t>Balance de caja; déficit positivo tras cambiar signo</t>
        </is>
      </c>
      <c r="G9" s="64" t="inlineStr">
        <is>
          <t>https://www.minhacienda.gov.co/documents/d/portal/balance-fiscal-gnc-mensual-y-trimestral?download=true</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V9" s="1" t="n"/>
      <c r="AW9" s="1" t="n"/>
      <c r="AX9" s="1" t="n"/>
      <c r="AY9" s="1" t="n"/>
      <c r="AZ9" s="1" t="n"/>
    </row>
    <row r="10" ht="42" customHeight="1">
      <c r="A10" s="64" t="inlineStr">
        <is>
          <t>Federal Reserve / FRED</t>
        </is>
      </c>
      <c r="B10" s="64" t="inlineStr">
        <is>
          <t>Federal funds FEDFUNDS</t>
        </is>
      </c>
      <c r="C10" s="64" t="inlineStr">
        <is>
          <t>Mensual</t>
        </is>
      </c>
      <c r="D10" s="64" t="inlineStr">
        <is>
          <t>1954–2026</t>
        </is>
      </c>
      <c r="E10" s="64" t="inlineStr">
        <is>
          <t>Modelo principal</t>
        </is>
      </c>
      <c r="F10" s="64" t="inlineStr">
        <is>
          <t>Promedio mensual</t>
        </is>
      </c>
      <c r="G10" s="64" t="inlineStr">
        <is>
          <t>https://fred.stlouisfed.org/series/FEDFUNDS</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V10" s="1" t="n"/>
      <c r="AW10" s="1" t="n"/>
      <c r="AX10" s="1" t="n"/>
      <c r="AY10" s="1" t="n"/>
      <c r="AZ10" s="1" t="n"/>
    </row>
    <row r="11" ht="42" customHeight="1">
      <c r="A11" s="64" t="inlineStr">
        <is>
          <t>Federal Reserve / FRED</t>
        </is>
      </c>
      <c r="B11" s="64" t="inlineStr">
        <is>
          <t>Índice amplio USD DTWEXBGS</t>
        </is>
      </c>
      <c r="C11" s="64" t="inlineStr">
        <is>
          <t>Diaria → mensual</t>
        </is>
      </c>
      <c r="D11" s="64" t="inlineStr">
        <is>
          <t>2006–2026</t>
        </is>
      </c>
      <c r="E11" s="64" t="inlineStr">
        <is>
          <t>Modelo principal</t>
        </is>
      </c>
      <c r="F11" s="64" t="inlineStr">
        <is>
          <t>Índice nominal amplio</t>
        </is>
      </c>
      <c r="G11" s="64" t="inlineStr">
        <is>
          <t>https://fred.stlouisfed.org/series/DTWEXBGS</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row>
    <row r="12" ht="42" customHeight="1">
      <c r="A12" s="64" t="inlineStr">
        <is>
          <t>Cboe / FRED</t>
        </is>
      </c>
      <c r="B12" s="64" t="inlineStr">
        <is>
          <t>VIXCLS</t>
        </is>
      </c>
      <c r="C12" s="64" t="inlineStr">
        <is>
          <t>Diaria → mensual</t>
        </is>
      </c>
      <c r="D12" s="64" t="inlineStr">
        <is>
          <t>1990–2026</t>
        </is>
      </c>
      <c r="E12" s="64" t="inlineStr">
        <is>
          <t>Modelo principal</t>
        </is>
      </c>
      <c r="F12" s="64" t="inlineStr">
        <is>
          <t>Promedio mensual</t>
        </is>
      </c>
      <c r="G12" s="64" t="inlineStr">
        <is>
          <t>https://fred.stlouisfed.org/series/VIXCLS</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row>
    <row r="13" ht="42" customHeight="1">
      <c r="A13" s="64" t="inlineStr">
        <is>
          <t>Banco de la República</t>
        </is>
      </c>
      <c r="B13" s="64" t="inlineStr">
        <is>
          <t>Términos de intercambio 15360</t>
        </is>
      </c>
      <c r="C13" s="64" t="inlineStr">
        <is>
          <t>Mensual</t>
        </is>
      </c>
      <c r="D13" s="64" t="inlineStr">
        <is>
          <t>1995–2026</t>
        </is>
      </c>
      <c r="E13" s="64" t="inlineStr">
        <is>
          <t>Modelo principal</t>
        </is>
      </c>
      <c r="F13" s="64" t="inlineStr">
        <is>
          <t>Índice encadenado; Δln contemporáneo en explicación ex post</t>
        </is>
      </c>
      <c r="G13" s="64" t="inlineStr">
        <is>
          <t>https://suameca.banrep.gov.co/graficador-series/rest/graficadorService/consultaSerieParaGraficar?idSerie=15360</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V13" s="1" t="n"/>
      <c r="AW13" s="1" t="n"/>
      <c r="AX13" s="1" t="n"/>
      <c r="AY13" s="1" t="n"/>
      <c r="AZ13" s="1" t="n"/>
    </row>
    <row r="14" ht="42" customHeight="1">
      <c r="A14" s="64" t="inlineStr">
        <is>
          <t>Banco de la República</t>
        </is>
      </c>
      <c r="B14" s="64" t="inlineStr">
        <is>
          <t>Reservas netas sin FLAR 15053</t>
        </is>
      </c>
      <c r="C14" s="64" t="inlineStr">
        <is>
          <t>Mensual</t>
        </is>
      </c>
      <c r="D14" s="64" t="inlineStr">
        <is>
          <t>1960–2026</t>
        </is>
      </c>
      <c r="E14" s="64" t="inlineStr">
        <is>
          <t>Modelo ampliado</t>
        </is>
      </c>
      <c r="F14" s="64" t="inlineStr">
        <is>
          <t>Log y rezago</t>
        </is>
      </c>
      <c r="G14" s="64" t="inlineStr">
        <is>
          <t>https://suameca.banrep.gov.co/graficador-series/rest/graficadorService/consultaSerieParaGraficar?idSerie=15053</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row>
    <row r="15" ht="42" customHeight="1">
      <c r="A15" s="64" t="inlineStr">
        <is>
          <t>BCRPData</t>
        </is>
      </c>
      <c r="B15" s="64" t="inlineStr">
        <is>
          <t>EMBIG Colombia PD04715XD</t>
        </is>
      </c>
      <c r="C15" s="64" t="inlineStr">
        <is>
          <t>Diaria → mensual</t>
        </is>
      </c>
      <c r="D15" s="64" t="inlineStr">
        <is>
          <t>2006–2026</t>
        </is>
      </c>
      <c r="E15" s="64" t="inlineStr">
        <is>
          <t>Modelo ampliado</t>
        </is>
      </c>
      <c r="F15" s="64" t="inlineStr">
        <is>
          <t>Promedio mensual; pb/100; fuentes originales Reuters/J.P. Morgan</t>
        </is>
      </c>
      <c r="G15" s="64" t="inlineStr">
        <is>
          <t>https://estadisticas.bcrp.gob.pe/estadisticas/series/diarias/tasas-de-interes-embig-variacion-en-pbs</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V15" s="1" t="n"/>
      <c r="AW15" s="1" t="n"/>
      <c r="AX15" s="1" t="n"/>
      <c r="AY15" s="1" t="n"/>
      <c r="AZ15" s="1" t="n"/>
    </row>
    <row r="16" ht="42" customHeight="1">
      <c r="A16" s="64" t="inlineStr">
        <is>
          <t>Banco de la República</t>
        </is>
      </c>
      <c r="B16" s="64" t="inlineStr">
        <is>
          <t>TES pesos cero cupón 5 años 15273</t>
        </is>
      </c>
      <c r="C16" s="64" t="inlineStr">
        <is>
          <t>Diaria → mensual</t>
        </is>
      </c>
      <c r="D16" s="64" t="inlineStr">
        <is>
          <t>2003–2026</t>
        </is>
      </c>
      <c r="E16" s="64" t="inlineStr">
        <is>
          <t>Modelo ampliado</t>
        </is>
      </c>
      <c r="F16" s="64" t="inlineStr">
        <is>
          <t>Promedio mensual separado; comparación adicional sobre fechas comunes</t>
        </is>
      </c>
      <c r="G16" s="64" t="inlineStr">
        <is>
          <t>https://suameca.banrep.gov.co/graficador-series/rest/graficadorService/consultaSerieParaGraficar?idSerie=15273</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row>
    <row r="17" ht="42" customHeight="1">
      <c r="A17" s="64" t="inlineStr">
        <is>
          <t>Banco de la República</t>
        </is>
      </c>
      <c r="B17" s="64" t="inlineStr">
        <is>
          <t>TES UVR cero cupón 5 años 15276</t>
        </is>
      </c>
      <c r="C17" s="64" t="inlineStr">
        <is>
          <t>Diaria → mensual</t>
        </is>
      </c>
      <c r="D17" s="64" t="inlineStr">
        <is>
          <t>2003–2026</t>
        </is>
      </c>
      <c r="E17" s="64" t="inlineStr">
        <is>
          <t>Modelo ampliado</t>
        </is>
      </c>
      <c r="F17" s="64" t="inlineStr">
        <is>
          <t>Promedio mensual separado; comparación adicional sobre fechas comunes</t>
        </is>
      </c>
      <c r="G17" s="64" t="inlineStr">
        <is>
          <t>https://suameca.banrep.gov.co/graficador-series/rest/graficadorService/consultaSerieParaGraficar?idSerie=15276</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V17" s="1" t="n"/>
      <c r="AW17" s="1" t="n"/>
      <c r="AX17" s="1" t="n"/>
      <c r="AY17" s="1" t="n"/>
      <c r="AZ17" s="1" t="n"/>
    </row>
    <row r="18" ht="42" customHeight="1">
      <c r="A18" s="64" t="inlineStr">
        <is>
          <t>Federal Reserve Board</t>
        </is>
      </c>
      <c r="B18" s="64" t="inlineStr">
        <is>
          <t>GSW BKEVEN05</t>
        </is>
      </c>
      <c r="C18" s="64" t="inlineStr">
        <is>
          <t>Diaria → mensual</t>
        </is>
      </c>
      <c r="D18" s="64" t="inlineStr">
        <is>
          <t>2003–2026</t>
        </is>
      </c>
      <c r="E18" s="64" t="inlineStr">
        <is>
          <t>Modelo ampliado</t>
        </is>
      </c>
      <c r="F18" s="64" t="inlineStr">
        <is>
          <t>Promedio separado; robustez con fechas comunes; producto de investigación revisable</t>
        </is>
      </c>
      <c r="G18" s="64" t="inlineStr">
        <is>
          <t>https://www.federalreserve.gov/data/yield-curve-tables/feds200805_1.html</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row>
    <row r="19" ht="42" customHeight="1">
      <c r="A19" s="64" t="inlineStr">
        <is>
          <t>Banco de la República</t>
        </is>
      </c>
      <c r="B19" s="64" t="inlineStr">
        <is>
          <t>Balanza comercial cambiaria 16702</t>
        </is>
      </c>
      <c r="C19" s="64" t="inlineStr">
        <is>
          <t>Mensual</t>
        </is>
      </c>
      <c r="D19" s="64" t="inlineStr">
        <is>
          <t>2001–2026</t>
        </is>
      </c>
      <c r="E19" s="64" t="inlineStr">
        <is>
          <t>Modelo ampliado</t>
        </is>
      </c>
      <c r="F19" s="64" t="inlineStr">
        <is>
          <t>Δ asinh y rezago</t>
        </is>
      </c>
      <c r="G19" s="64" t="inlineStr">
        <is>
          <t>https://suameca.banrep.gov.co/graficador-series/rest/graficadorService/consultaSerieParaGraficar?idSerie=16702</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row>
    <row r="20" ht="42" customHeight="1">
      <c r="A20" s="64" t="inlineStr">
        <is>
          <t>Banco de la República</t>
        </is>
      </c>
      <c r="B20" s="64" t="inlineStr">
        <is>
          <t>Flujo neto total de capital 16706</t>
        </is>
      </c>
      <c r="C20" s="64" t="inlineStr">
        <is>
          <t>Mensual</t>
        </is>
      </c>
      <c r="D20" s="64" t="inlineStr">
        <is>
          <t>2001–2026</t>
        </is>
      </c>
      <c r="E20" s="64" t="inlineStr">
        <is>
          <t>Modelo ampliado</t>
        </is>
      </c>
      <c r="F20" s="64" t="inlineStr">
        <is>
          <t>Δ asinh y rezago</t>
        </is>
      </c>
      <c r="G20" s="64" t="inlineStr">
        <is>
          <t>https://suameca.banrep.gov.co/graficador-series/rest/graficadorService/consultaSerieParaGraficar?idSerie=16706</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row>
    <row r="21" ht="42" customHeight="1">
      <c r="A21" s="64" t="inlineStr">
        <is>
          <t>OECD / FRED</t>
        </is>
      </c>
      <c r="B21" s="64" t="inlineStr">
        <is>
          <t>BRL por USD CCUSMA02BRM618N</t>
        </is>
      </c>
      <c r="C21" s="64" t="inlineStr">
        <is>
          <t>Mensual</t>
        </is>
      </c>
      <c r="D21" s="64" t="inlineStr">
        <is>
          <t>1994–2026</t>
        </is>
      </c>
      <c r="E21" s="64" t="inlineStr">
        <is>
          <t>Modelo ampliado</t>
        </is>
      </c>
      <c r="F21" s="64" t="inlineStr">
        <is>
          <t>Factor regional a partir de Δln</t>
        </is>
      </c>
      <c r="G21" s="64" t="inlineStr">
        <is>
          <t>https://fred.stlouisfed.org/series/CCUSMA02BRM618N</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row>
    <row r="22" ht="42" customHeight="1">
      <c r="A22" s="64" t="inlineStr">
        <is>
          <t>OECD / FRED</t>
        </is>
      </c>
      <c r="B22" s="64" t="inlineStr">
        <is>
          <t>CLP por USD CCUSMA02CLM618N</t>
        </is>
      </c>
      <c r="C22" s="64" t="inlineStr">
        <is>
          <t>Mensual</t>
        </is>
      </c>
      <c r="D22" s="64" t="inlineStr">
        <is>
          <t>1960–2026</t>
        </is>
      </c>
      <c r="E22" s="64" t="inlineStr">
        <is>
          <t>Modelo ampliado</t>
        </is>
      </c>
      <c r="F22" s="64" t="inlineStr">
        <is>
          <t>Factor regional a partir de Δln</t>
        </is>
      </c>
      <c r="G22" s="64" t="inlineStr">
        <is>
          <t>https://fred.stlouisfed.org/series/CCUSMA02CLM618N</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row>
    <row r="23" ht="42" customHeight="1">
      <c r="A23" s="64" t="inlineStr">
        <is>
          <t>OECD / FRED</t>
        </is>
      </c>
      <c r="B23" s="64" t="inlineStr">
        <is>
          <t>MXN por USD CCUSMA02MXM618N</t>
        </is>
      </c>
      <c r="C23" s="64" t="inlineStr">
        <is>
          <t>Mensual</t>
        </is>
      </c>
      <c r="D23" s="64" t="inlineStr">
        <is>
          <t>1957–2026</t>
        </is>
      </c>
      <c r="E23" s="64" t="inlineStr">
        <is>
          <t>Modelo ampliado</t>
        </is>
      </c>
      <c r="F23" s="64" t="inlineStr">
        <is>
          <t>Factor regional a partir de Δln</t>
        </is>
      </c>
      <c r="G23" s="64" t="inlineStr">
        <is>
          <t>https://fred.stlouisfed.org/series/CCUSMA02MXM618N</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row>
    <row r="24" ht="42" customHeight="1">
      <c r="A24" s="64" t="inlineStr">
        <is>
          <t>BCRPData</t>
        </is>
      </c>
      <c r="B24" s="64" t="inlineStr">
        <is>
          <t>PEN por USD PN01207PM</t>
        </is>
      </c>
      <c r="C24" s="64" t="inlineStr">
        <is>
          <t>Mensual</t>
        </is>
      </c>
      <c r="D24" s="64" t="inlineStr">
        <is>
          <t>1995–2026</t>
        </is>
      </c>
      <c r="E24" s="64" t="inlineStr">
        <is>
          <t>Modelo ampliado y comparación regional</t>
        </is>
      </c>
      <c r="F24" s="64" t="inlineStr">
        <is>
          <t>Interbancario promedio; factor regional a partir de Δln</t>
        </is>
      </c>
      <c r="G24" s="64" t="inlineStr">
        <is>
          <t>https://estadisticas.bcrp.gob.pe/estadisticas/series/mensuales/resultados/PN01207PM/html</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row>
    <row r="25" ht="42" customHeight="1">
      <c r="A25" s="64" t="inlineStr">
        <is>
          <t>Cboe</t>
        </is>
      </c>
      <c r="B25" s="64" t="inlineStr">
        <is>
          <t>VIX histórico</t>
        </is>
      </c>
      <c r="C25" s="64" t="inlineStr">
        <is>
          <t>Diaria</t>
        </is>
      </c>
      <c r="D25" s="64" t="inlineStr">
        <is>
          <t>1990–2026</t>
        </is>
      </c>
      <c r="E25" s="64" t="inlineStr">
        <is>
          <t>Verificación</t>
        </is>
      </c>
      <c r="F25" s="64" t="inlineStr">
        <is>
          <t>Fuente primaria del VIX</t>
        </is>
      </c>
      <c r="G25" s="64" t="inlineStr">
        <is>
          <t>https://www.cboe.com/tradable_products/vix/vix_historical_data</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row>
    <row r="26" ht="42" customHeight="1">
      <c r="A26" s="64" t="inlineStr">
        <is>
          <t>Banco de la República</t>
        </is>
      </c>
      <c r="B26" s="64" t="inlineStr">
        <is>
          <t>Portal de sector externo</t>
        </is>
      </c>
      <c r="C26" s="64" t="inlineStr">
        <is>
          <t>Varias</t>
        </is>
      </c>
      <c r="D26" s="64" t="inlineStr">
        <is>
          <t>Histórico</t>
        </is>
      </c>
      <c r="E26" s="64" t="inlineStr">
        <is>
          <t>Documentación</t>
        </is>
      </c>
      <c r="F26" s="64" t="inlineStr">
        <is>
          <t>Metodologías de TRM, remesas y sector externo</t>
        </is>
      </c>
      <c r="G26" s="64" t="inlineStr">
        <is>
          <t>https://www.banrep.gov.co/es/estadisticas-economicas/series-historicas/tasas-cambio-sector-externo</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row>
    <row r="27" ht="42" customHeight="1">
      <c r="A27" s="64" t="inlineStr">
        <is>
          <t>BCRPData</t>
        </is>
      </c>
      <c r="B27" s="64" t="inlineStr">
        <is>
          <t>Condiciones de uso</t>
        </is>
      </c>
      <c r="C27" s="64" t="inlineStr">
        <is>
          <t>Documentación</t>
        </is>
      </c>
      <c r="D27" s="64" t="inlineStr">
        <is>
          <t>Vigente</t>
        </is>
      </c>
      <c r="E27" s="64" t="inlineStr">
        <is>
          <t>Licencia/atribución</t>
        </is>
      </c>
      <c r="F27" s="64" t="inlineStr">
        <is>
          <t>Permite reproducción con cita de la fuente; revisar derechos del índice subyacente</t>
        </is>
      </c>
      <c r="G27" s="64" t="inlineStr">
        <is>
          <t>https://estadisticas.bcrp.gob.pe/estadisticas/series/ayuda/condiciones-de-uso</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row>
  </sheetData>
  <mergeCells count="2">
    <mergeCell ref="A1:G1"/>
    <mergeCell ref="A2:G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2026-08-25T11:23:43Z</dcterms:created>
  <dcterms:modified xsi:type="dcterms:W3CDTF">2026-08-25T11:25:23Z</dcterms:modified>
</cp:coreProperties>
</file>