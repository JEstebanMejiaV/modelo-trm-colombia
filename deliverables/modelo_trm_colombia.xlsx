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drawings/charts/chart3.xml" ContentType="application/vnd.openxmlformats-officedocument.drawingml.char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6.xml" ContentType="application/vnd.openxmlformats-officedocument.spreadsheetml.worksheet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worksheets/sheet7.xml" ContentType="application/vnd.openxmlformats-officedocument.spreadsheetml.worksheet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worksheets/sheet8.xml" ContentType="application/vnd.openxmlformats-officedocument.spreadsheetml.worksheet+xml"/>
  <Override PartName="/xl/tables/table12.xml" ContentType="application/vnd.openxmlformats-officedocument.spreadsheetml.table+xml"/>
  <Override PartName="/xl/worksheets/sheet9.xml" ContentType="application/vnd.openxmlformats-officedocument.spreadsheetml.worksheet+xml"/>
  <Override PartName="/xl/tables/table13.xml" ContentType="application/vnd.openxmlformats-officedocument.spreadsheetml.table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a55902a1d0644b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en" sheetId="1" r:id="R5355e7bf7bba456d"/>
    <x:sheet xmlns:r="http://schemas.openxmlformats.org/officeDocument/2006/relationships" name="Datos_fuente" sheetId="2" r:id="R8ee8a061df834393"/>
    <x:sheet xmlns:r="http://schemas.openxmlformats.org/officeDocument/2006/relationships" name="Transformaciones" sheetId="3" r:id="R5054a34c22fb4e47"/>
    <x:sheet xmlns:r="http://schemas.openxmlformats.org/officeDocument/2006/relationships" name="Modelo_principal" sheetId="4" r:id="Rc5018ec5315a4a66"/>
    <x:sheet xmlns:r="http://schemas.openxmlformats.org/officeDocument/2006/relationships" name="Validacion" sheetId="5" r:id="R74bf43c1d7b14e29"/>
    <x:sheet xmlns:r="http://schemas.openxmlformats.org/officeDocument/2006/relationships" name="ECM_exploratorio" sheetId="6" r:id="R1120fe198b124266"/>
    <x:sheet xmlns:r="http://schemas.openxmlformats.org/officeDocument/2006/relationships" name="Diagnosticos" sheetId="7" r:id="Rebe14260d5024f59"/>
    <x:sheet xmlns:r="http://schemas.openxmlformats.org/officeDocument/2006/relationships" name="Variables" sheetId="8" r:id="Ra705c3bfb28643ab"/>
    <x:sheet xmlns:r="http://schemas.openxmlformats.org/officeDocument/2006/relationships" name="Fuentes" sheetId="9" r:id="R964fa6bfb08a47cc"/>
  </x:sheets>
</x:workbook>
</file>

<file path=xl/comments1.xml><?xml version="1.0" encoding="utf-8"?>
<x:comments xmlns:x="http://schemas.openxmlformats.org/spreadsheetml/2006/main">
  <x:authors>
    <x:author>tc={3228CE76-0C3F-0224-E815-88A1BA6A99C7}</x:author>
    <x:author>tc={D3BA3141-D66D-D4FC-792E-E58561C3BF37}</x:author>
    <x:author>tc={07E25B82-CDAE-6C2C-5538-9F6CE0219B8E}</x:author>
    <x:author>tc={C45A9141-4390-531A-EDB1-4A7C3659715F}</x:author>
    <x:author>tc={5ED4CBD7-3CED-F95E-3F75-BBD3A052D952}</x:author>
    <x:author>tc={FE53545D-5263-D580-3438-13D6CE1BA43B}</x:author>
    <x:author>tc={903AA4B7-4DAC-C1F3-2B63-A5F522AF8797}</x:author>
    <x:author>tc={38F67EBA-537D-BB81-87C5-C1B61270F07C}</x:author>
    <x:author>tc={263FD943-92F2-E6BF-9C52-BE48E1B32137}</x:author>
  </x:authors>
  <x:commentList>
    <x:comment ref="B5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Fuente: Banco de la República, serie diaria TRM 1; promedio mensual. https://suameca.banrep.gov.co/graficador-series/rest/graficadorService/consultaSerieParaGraficar?idSerie=1</x:t>
        </x:r>
      </x:text>
    </x:comment>
    <x:comment ref="C5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Fuente: EIA vía FRED, DCOILBRENTEU; promedio mensual de observaciones diarias.</x:t>
        </x:r>
      </x:text>
    </x:comment>
    <x:comment ref="D5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Fuente: Banco de la República, remesas de trabajadores, serie 15363.</x:t>
        </x:r>
      </x:text>
    </x:comment>
    <x:comment ref="F5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Fuente: Banco de la República, tasa de política, serie diaria 59; promedio mensual.</x:t>
        </x:r>
      </x:text>
    </x:comment>
    <x:comment ref="G5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Fuente: Federal Reserve/FRED, FEDFUNDS, promedio mensual.</x:t>
        </x:r>
      </x:text>
    </x:comment>
    <x:comment ref="I5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Fuente: Ministerio de Hacienda, balance fiscal del Gobierno Nacional Central, metodología de caja.</x:t>
        </x:r>
      </x:text>
    </x:comment>
    <x:comment ref="K5" authorId="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Fuente: Federal Reserve/FRED, índice nominal amplio del dólar DTWEXBGS; promedio mensual.</x:t>
        </x:r>
      </x:text>
    </x:comment>
    <x:comment ref="L5" authorId="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Fuente: Cboe vía FRED, VIXCLS; promedio mensual.</x:t>
        </x:r>
      </x:text>
    </x:comment>
    <x:comment ref="M5" authorId="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Fuente: Banco de la República, índice de términos de intercambio, serie 15360. Se conserva como variable de robustez, no entra al modelo base junto con Brent.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000"/>
    <x:numFmt numFmtId="201" formatCode="#,##0"/>
    <x:numFmt numFmtId="202" formatCode="#,##0.00"/>
    <x:numFmt numFmtId="203" formatCode="0.00"/>
    <x:numFmt numFmtId="204" formatCode="#,##0.00;[Red]-#,##0.00"/>
    <x:numFmt numFmtId="205" formatCode="0"/>
    <x:numFmt numFmtId="206" formatCode="0.000000"/>
    <x:numFmt numFmtId="207" formatCode="0.0%"/>
    <x:numFmt numFmtId="208" formatCode="0.000"/>
  </x:numFmts>
  <x:fonts count="5">
    <x:font>
      <x:sz val="11"/>
      <x:name val="Carlito"/>
    </x:font>
    <x:font>
      <x:sz val="11"/>
      <x:color rgb="FF1F2937"/>
      <x:name val="Aptos"/>
    </x:font>
    <x:font>
      <x:b/>
      <x:sz val="11"/>
      <x:color rgb="FFFFFFFF"/>
      <x:name val="Aptos"/>
    </x:font>
    <x:font>
      <x:b/>
      <x:sz val="11"/>
      <x:color rgb="FF17365D"/>
      <x:name val="Aptos"/>
    </x:font>
    <x:font>
      <x:b/>
      <x:sz val="11"/>
      <x:color rgb="FF1F2937"/>
      <x:name val="Aptos"/>
    </x:font>
  </x:fonts>
  <x:fills count="1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FFF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2F75B5"/>
      </x:patternFill>
    </x:fill>
    <x:fill>
      <x:patternFill patternType="solid">
        <x:fgColor rgb="FFF2F2F2"/>
      </x:patternFill>
    </x:fill>
    <x:fill>
      <x:patternFill patternType="solid">
        <x:fgColor rgb="FFFCE4D6"/>
      </x:patternFill>
    </x:fill>
  </x:fills>
  <x:borders count="10">
    <x:border/>
    <x:border>
      <x:left style="thin">
        <x:color rgb="FF2F75B5"/>
      </x:left>
      <x:top style="thin">
        <x:color rgb="FF2F75B5"/>
      </x:top>
      <x:bottom style="thin">
        <x:color rgb="FF2F75B5"/>
      </x:bottom>
    </x:border>
    <x:border>
      <x:right style="thin">
        <x:color rgb="FF2F75B5"/>
      </x:right>
      <x:top style="thin">
        <x:color rgb="FF2F75B5"/>
      </x:top>
      <x:bottom style="thin">
        <x:color rgb="FF2F75B5"/>
      </x:bottom>
    </x:border>
    <x:border>
      <x:left style="thin">
        <x:color rgb="FF2F75B5"/>
      </x:left>
      <x:top style="thin">
        <x:color rgb="FF2F75B5"/>
      </x:top>
    </x:border>
    <x:border>
      <x:right style="thin">
        <x:color rgb="FF2F75B5"/>
      </x:right>
      <x:top style="thin">
        <x:color rgb="FF2F75B5"/>
      </x:top>
    </x:border>
    <x:border>
      <x:left style="thin">
        <x:color rgb="FF2F75B5"/>
      </x:left>
      <x:bottom style="thin">
        <x:color rgb="FF2F75B5"/>
      </x:bottom>
    </x:border>
    <x:border>
      <x:right style="thin">
        <x:color rgb="FF2F75B5"/>
      </x:right>
      <x:bottom style="thin">
        <x:color rgb="FF2F75B5"/>
      </x:bottom>
    </x:border>
    <x:border>
      <x:left style="thin">
        <x:color rgb="FFB4C6E7"/>
      </x:left>
      <x:right style="thin">
        <x:color rgb="FFB4C6E7"/>
      </x:right>
      <x:top style="thin">
        <x:color rgb="FFB4C6E7"/>
      </x:top>
      <x:bottom style="thin">
        <x:color rgb="FFB4C6E7"/>
      </x:bottom>
    </x:border>
    <x:border>
      <x:left style="thin">
        <x:color rgb="FFD9E1F2"/>
      </x:left>
      <x:right style="thin">
        <x:color rgb="FFD9E1F2"/>
      </x:right>
      <x:top style="thin">
        <x:color rgb="FFD9E1F2"/>
      </x:top>
      <x:bottom style="thin">
        <x:color rgb="FFD9E1F2"/>
      </x:bottom>
    </x:border>
    <x:border>
      <x:left style="thin">
        <x:color rgb="FFE6B800"/>
      </x:left>
      <x:right style="thin">
        <x:color rgb="FFE6B800"/>
      </x:right>
      <x:top style="thin">
        <x:color rgb="FFE6B800"/>
      </x:top>
      <x:bottom style="thin">
        <x:color rgb="FFE6B800"/>
      </x:bottom>
    </x:border>
  </x:borders>
  <x:cellStyleXfs count="1">
    <x:xf numFmtId="0" fontId="0" fillId="0" borderId="0"/>
  </x:cellStyleXfs>
  <x:cellXfs count="108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vertical="center" wrapText="1"/>
    </x:xf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1" xfId="0" applyNumberFormat="1" applyFont="1" applyFill="1" applyBorder="1" applyAlignment="1">
      <x:alignment horizontal="center"/>
    </x:xf>
    <x:xf numFmtId="0" fontId="3" fillId="3" borderId="2" xfId="0" applyNumberFormat="1" applyFont="1" applyFill="1" applyBorder="1" applyAlignment="1">
      <x:alignment horizontal="center"/>
    </x:xf>
    <x:xf numFmtId="0" fontId="3" fillId="3" borderId="1" xfId="0" applyNumberFormat="1" applyFont="1" applyFill="1" applyBorder="1" applyAlignment="1">
      <x:alignment horizontal="center" vertical="center"/>
    </x:xf>
    <x:xf numFmtId="0" fontId="3" fillId="3" borderId="2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3" xfId="0" applyNumberFormat="1" applyFont="1" applyFill="1" applyBorder="1"/>
    <x:xf numFmtId="0" fontId="3" fillId="4" borderId="4" xfId="0" applyNumberFormat="1" applyFont="1" applyFill="1" applyBorder="1"/>
    <x:xf numFmtId="0" fontId="3" fillId="4" borderId="5" xfId="0" applyNumberFormat="1" applyFont="1" applyFill="1" applyBorder="1"/>
    <x:xf numFmtId="0" fontId="3" fillId="4" borderId="6" xfId="0" applyNumberFormat="1" applyFont="1" applyFill="1" applyBorder="1"/>
    <x:xf numFmtId="0" fontId="3" fillId="4" borderId="3" xfId="0" applyNumberFormat="1" applyFont="1" applyFill="1" applyBorder="1" applyAlignment="1">
      <x:alignment horizontal="center"/>
    </x:xf>
    <x:xf numFmtId="0" fontId="3" fillId="4" borderId="4" xfId="0" applyNumberFormat="1" applyFont="1" applyFill="1" applyBorder="1" applyAlignment="1">
      <x:alignment horizontal="center"/>
    </x:xf>
    <x:xf numFmtId="0" fontId="3" fillId="4" borderId="5" xfId="0" applyNumberFormat="1" applyFont="1" applyFill="1" applyBorder="1" applyAlignment="1">
      <x:alignment horizontal="center"/>
    </x:xf>
    <x:xf numFmtId="0" fontId="3" fillId="4" borderId="6" xfId="0" applyNumberFormat="1" applyFont="1" applyFill="1" applyBorder="1" applyAlignment="1">
      <x:alignment horizontal="center"/>
    </x:xf>
    <x:xf numFmtId="0" fontId="3" fillId="4" borderId="3" xfId="0" applyNumberFormat="1" applyFont="1" applyFill="1" applyBorder="1" applyAlignment="1">
      <x:alignment horizontal="center" vertical="center"/>
    </x:xf>
    <x:xf numFmtId="0" fontId="3" fillId="4" borderId="4" xfId="0" applyNumberFormat="1" applyFont="1" applyFill="1" applyBorder="1" applyAlignment="1">
      <x:alignment horizontal="center" vertical="center"/>
    </x:xf>
    <x:xf numFmtId="0" fontId="3" fillId="4" borderId="5" xfId="0" applyNumberFormat="1" applyFont="1" applyFill="1" applyBorder="1" applyAlignment="1">
      <x:alignment horizontal="center" vertical="center"/>
    </x:xf>
    <x:xf numFmtId="0" fontId="3" fillId="4" borderId="6" xfId="0" applyNumberFormat="1" applyFont="1" applyFill="1" applyBorder="1" applyAlignment="1">
      <x:alignment horizontal="center" vertical="center"/>
    </x:xf>
    <x:xf numFmtId="0" fontId="1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1" xfId="0" applyNumberFormat="1" applyFont="1" applyFill="1" applyBorder="1"/>
    <x:xf numFmtId="0" fontId="3" fillId="5" borderId="2" xfId="0" applyNumberFormat="1" applyFont="1" applyFill="1" applyBorder="1"/>
    <x:xf numFmtId="0" fontId="3" fillId="5" borderId="1" xfId="0" applyNumberFormat="1" applyFont="1" applyFill="1" applyBorder="1" applyAlignment="1">
      <x:alignment horizontal="center"/>
    </x:xf>
    <x:xf numFmtId="0" fontId="3" fillId="5" borderId="2" xfId="0" applyNumberFormat="1" applyFont="1" applyFill="1" applyBorder="1" applyAlignment="1">
      <x:alignment horizontal="center"/>
    </x:xf>
    <x:xf numFmtId="0" fontId="3" fillId="5" borderId="1" xfId="0" applyNumberFormat="1" applyFont="1" applyFill="1" applyBorder="1" applyAlignment="1">
      <x:alignment horizontal="center" vertical="center"/>
    </x:xf>
    <x:xf numFmtId="0" fontId="3" fillId="5" borderId="2" xfId="0" applyNumberFormat="1" applyFont="1" applyFill="1" applyBorder="1" applyAlignment="1">
      <x:alignment horizontal="center" vertical="center"/>
    </x:xf>
    <x:xf numFmtId="0" fontId="1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1" xfId="0" applyNumberFormat="1" applyFont="1" applyFill="1" applyBorder="1"/>
    <x:xf numFmtId="0" fontId="3" fillId="6" borderId="2" xfId="0" applyNumberFormat="1" applyFont="1" applyFill="1" applyBorder="1"/>
    <x:xf numFmtId="0" fontId="3" fillId="6" borderId="1" xfId="0" applyNumberFormat="1" applyFont="1" applyFill="1" applyBorder="1" applyAlignment="1">
      <x:alignment horizontal="center"/>
    </x:xf>
    <x:xf numFmtId="0" fontId="3" fillId="6" borderId="2" xfId="0" applyNumberFormat="1" applyFont="1" applyFill="1" applyBorder="1" applyAlignment="1">
      <x:alignment horizontal="center"/>
    </x:xf>
    <x:xf numFmtId="0" fontId="3" fillId="6" borderId="1" xfId="0" applyNumberFormat="1" applyFont="1" applyFill="1" applyBorder="1" applyAlignment="1">
      <x:alignment horizontal="center" vertical="center"/>
    </x:xf>
    <x:xf numFmtId="0" fontId="3" fillId="6" borderId="2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/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vertical="center"/>
    </x:xf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wrapText="1"/>
    </x:xf>
    <x:xf numFmtId="0" fontId="1" fillId="8" borderId="0" xfId="0" applyNumberFormat="1" applyFont="1" applyFill="1" applyBorder="1" applyAlignment="1">
      <x:alignment vertical="center" wrapText="1"/>
    </x:xf>
    <x:xf numFmtId="0" fontId="2" fillId="2" borderId="7" xfId="0" applyNumberFormat="1" applyFont="1" applyFill="1" applyBorder="1"/>
    <x:xf numFmtId="0" fontId="2" fillId="2" borderId="7" xfId="0" applyNumberFormat="1" applyFont="1" applyFill="1" applyBorder="1" applyAlignment="1">
      <x:alignment wrapText="1"/>
    </x:xf>
    <x:xf numFmtId="0" fontId="2" fillId="2" borderId="7" xfId="0" applyNumberFormat="1" applyFont="1" applyFill="1" applyBorder="1" applyAlignment="1">
      <x:alignment horizontal="center" wrapText="1"/>
    </x:xf>
    <x:xf numFmtId="0" fontId="2" fillId="2" borderId="7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200" fontId="1" fillId="0" borderId="0" xfId="0" applyNumberFormat="1" applyFont="1" applyFill="1" applyBorder="1" applyAlignment="1">
      <x:alignment wrapText="1"/>
    </x:xf>
    <x:xf numFmtId="0" fontId="2" fillId="2" borderId="8" xfId="0" applyNumberFormat="1" applyFont="1" applyFill="1" applyBorder="1" applyAlignment="1">
      <x:alignment horizontal="center" vertical="center" wrapText="1"/>
    </x:xf>
    <x:xf numFmtId="0" fontId="1" fillId="0" borderId="8" xfId="0" applyNumberFormat="1" applyFont="1" applyFill="1" applyBorder="1" applyAlignment="1">
      <x:alignment wrapText="1"/>
    </x:xf>
    <x:xf numFmtId="200" fontId="1" fillId="0" borderId="8" xfId="0" applyNumberFormat="1" applyFont="1" applyFill="1" applyBorder="1" applyAlignment="1">
      <x:alignment wrapText="1"/>
    </x:xf>
    <x:xf numFmtId="0" fontId="1" fillId="5" borderId="8" xfId="0" applyNumberFormat="1" applyFont="1" applyFill="1" applyBorder="1" applyAlignment="1">
      <x:alignment wrapText="1"/>
    </x:xf>
    <x:xf numFmtId="200" fontId="1" fillId="5" borderId="8" xfId="0" applyNumberFormat="1" applyFont="1" applyFill="1" applyBorder="1" applyAlignment="1">
      <x:alignment wrapText="1"/>
    </x:xf>
    <x:xf numFmtId="0" fontId="4" fillId="5" borderId="8" xfId="0" applyNumberFormat="1" applyFont="1" applyFill="1" applyBorder="1" applyAlignment="1">
      <x:alignment wrapText="1"/>
    </x:xf>
    <x:xf numFmtId="200" fontId="4" fillId="5" borderId="8" xfId="0" applyNumberFormat="1" applyFont="1" applyFill="1" applyBorder="1" applyAlignment="1">
      <x:alignment wrapText="1"/>
    </x:xf>
    <x:xf numFmtId="0" fontId="1" fillId="6" borderId="9" xfId="0" applyNumberFormat="1" applyFont="1" applyFill="1" applyBorder="1"/>
    <x:xf numFmtId="0" fontId="1" fillId="6" borderId="9" xfId="0" applyNumberFormat="1" applyFont="1" applyFill="1" applyBorder="1" applyAlignment="1">
      <x:alignment wrapText="1"/>
    </x:xf>
    <x:xf numFmtId="0" fontId="1" fillId="2" borderId="9" xfId="0" applyNumberFormat="1" applyFont="1" applyFill="1" applyBorder="1" applyAlignment="1">
      <x:alignment wrapText="1"/>
    </x:xf>
    <x:xf numFmtId="0" fontId="2" fillId="2" borderId="9" xfId="0" applyNumberFormat="1" applyFont="1" applyFill="1" applyBorder="1" applyAlignment="1">
      <x:alignment wrapText="1"/>
    </x:xf>
    <x:xf numFmtId="0" fontId="2" fillId="2" borderId="9" xfId="0" applyNumberFormat="1" applyFont="1" applyFill="1" applyBorder="1" applyAlignment="1">
      <x:alignment horizontal="center" wrapText="1"/>
    </x:xf>
    <x:xf numFmtId="0" fontId="2" fillId="2" borderId="9" xfId="0" applyNumberFormat="1" applyFont="1" applyFill="1" applyBorder="1" applyAlignment="1">
      <x:alignment horizontal="center" vertical="center" wrapText="1"/>
    </x:xf>
    <x:xf numFmtId="201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8" xfId="0" applyNumberFormat="1" applyFont="1" applyFill="1" applyBorder="1" applyAlignment="1">
      <x:alignment vertical="center" wrapText="1"/>
    </x:xf>
    <x:xf numFmtId="200" fontId="1" fillId="0" borderId="8" xfId="0" applyNumberFormat="1" applyFont="1" applyFill="1" applyBorder="1" applyAlignment="1">
      <x:alignment vertical="center" wrapText="1"/>
    </x:xf>
    <x:xf numFmtId="0" fontId="4" fillId="5" borderId="8" xfId="0" applyNumberFormat="1" applyFont="1" applyFill="1" applyBorder="1" applyAlignment="1">
      <x:alignment vertical="center" wrapText="1"/>
    </x:xf>
    <x:xf numFmtId="200" fontId="4" fillId="5" borderId="8" xfId="0" applyNumberFormat="1" applyFont="1" applyFill="1" applyBorder="1" applyAlignment="1">
      <x:alignment vertical="center" wrapText="1"/>
    </x:xf>
    <x:xf numFmtId="0" fontId="1" fillId="6" borderId="9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/>
    <x:xf numFmtId="203" fontId="1" fillId="0" borderId="0" xfId="0" applyNumberFormat="1" applyFont="1" applyFill="1" applyBorder="1"/>
    <x:xf numFmtId="204" fontId="1" fillId="0" borderId="0" xfId="0" applyNumberFormat="1" applyFont="1" applyFill="1" applyBorder="1"/>
    <x:xf numFmtId="205" fontId="1" fillId="0" borderId="0" xfId="0" applyNumberFormat="1" applyFont="1" applyFill="1" applyBorder="1"/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/>
    <x:xf numFmtId="0" fontId="1" fillId="0" borderId="8" xfId="0" applyNumberFormat="1" applyFont="1" applyFill="1" applyBorder="1"/>
    <x:xf numFmtId="207" fontId="1" fillId="0" borderId="8" xfId="0" applyNumberFormat="1" applyFont="1" applyFill="1" applyBorder="1"/>
    <x:xf numFmtId="203" fontId="1" fillId="0" borderId="8" xfId="0" applyNumberFormat="1" applyFont="1" applyFill="1" applyBorder="1"/>
    <x:xf numFmtId="207" fontId="1" fillId="0" borderId="8" xfId="0" applyNumberFormat="1" applyFont="1" applyFill="1" applyBorder="1" applyAlignment="1">
      <x:alignment wrapText="1"/>
    </x:xf>
    <x:xf numFmtId="203" fontId="1" fillId="0" borderId="8" xfId="0" applyNumberFormat="1" applyFont="1" applyFill="1" applyBorder="1" applyAlignment="1">
      <x:alignment wrapText="1"/>
    </x:xf>
    <x:xf numFmtId="206" fontId="1" fillId="3" borderId="0" xfId="0" applyNumberFormat="1" applyFont="1" applyFill="1" applyBorder="1"/>
    <x:xf numFmtId="206" fontId="1" fillId="0" borderId="0" xfId="0" applyNumberFormat="1" applyFont="1" applyFill="1" applyBorder="1" applyAlignment="1">
      <x:alignment wrapText="1"/>
    </x:xf>
    <x:xf numFmtId="0" fontId="1" fillId="6" borderId="0" xfId="0" applyNumberFormat="1" applyFont="1" applyFill="1" applyBorder="1" applyAlignment="1">
      <x:alignment wrapText="1"/>
    </x:xf>
    <x:xf numFmtId="0" fontId="1" fillId="6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/>
    <x:xf numFmtId="200" fontId="1" fillId="5" borderId="0" xfId="0" applyNumberFormat="1" applyFont="1" applyFill="1" applyBorder="1"/>
    <x:xf numFmtId="207" fontId="1" fillId="5" borderId="0" xfId="0" applyNumberFormat="1" applyFont="1" applyFill="1" applyBorder="1"/>
    <x:xf numFmtId="200" fontId="1" fillId="0" borderId="8" xfId="0" applyNumberFormat="1" applyFont="1" applyFill="1" applyBorder="1"/>
    <x:xf numFmtId="0" fontId="1" fillId="6" borderId="8" xfId="0" applyNumberFormat="1" applyFont="1" applyFill="1" applyBorder="1"/>
    <x:xf numFmtId="208" fontId="1" fillId="0" borderId="0" xfId="0" applyNumberFormat="1" applyFont="1" applyFill="1" applyBorder="1"/>
    <x:xf numFmtId="0" fontId="1" fillId="9" borderId="0" xfId="0" applyNumberFormat="1" applyFont="1" applyFill="1" applyBorder="1"/>
    <x:xf numFmtId="200" fontId="1" fillId="9" borderId="0" xfId="0" applyNumberFormat="1" applyFont="1" applyFill="1" applyBorder="1"/>
    <x:xf numFmtId="203" fontId="1" fillId="5" borderId="0" xfId="0" applyNumberFormat="1" applyFont="1" applyFill="1" applyBorder="1"/>
    <x:xf numFmtId="0" fontId="1" fillId="6" borderId="8" xfId="0" applyNumberFormat="1" applyFont="1" applyFill="1" applyBorder="1" applyAlignment="1">
      <x:alignment wrapText="1"/>
    </x:xf>
    <x:xf numFmtId="0" fontId="1" fillId="5" borderId="0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b/>
        <x:color rgb="FF006100"/>
      </x:font>
      <x:fill>
        <x:patternFill patternType="solid"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9e4a8aa12e84fc7" /><Relationship Type="http://schemas.openxmlformats.org/officeDocument/2006/relationships/theme" Target="/xl/theme/theme1.xml" Id="R9d0998e35ffa4ca3" /><Relationship Type="http://schemas.openxmlformats.org/officeDocument/2006/relationships/sharedStrings" Target="/xl/sharedStrings.xml" Id="R3ff870896132462a" /><Relationship Type="http://schemas.openxmlformats.org/officeDocument/2006/relationships/worksheet" Target="/xl/worksheets/sheet1.xml" Id="R5355e7bf7bba456d" /><Relationship Type="http://schemas.openxmlformats.org/officeDocument/2006/relationships/worksheet" Target="/xl/worksheets/sheet2.xml" Id="R8ee8a061df834393" /><Relationship Type="http://schemas.openxmlformats.org/officeDocument/2006/relationships/worksheet" Target="/xl/worksheets/sheet3.xml" Id="R5054a34c22fb4e47" /><Relationship Type="http://schemas.openxmlformats.org/officeDocument/2006/relationships/worksheet" Target="/xl/worksheets/sheet4.xml" Id="Rc5018ec5315a4a66" /><Relationship Type="http://schemas.openxmlformats.org/officeDocument/2006/relationships/worksheet" Target="/xl/worksheets/sheet5.xml" Id="R74bf43c1d7b14e29" /><Relationship Type="http://schemas.openxmlformats.org/officeDocument/2006/relationships/worksheet" Target="/xl/worksheets/sheet6.xml" Id="R1120fe198b124266" /><Relationship Type="http://schemas.openxmlformats.org/officeDocument/2006/relationships/worksheet" Target="/xl/worksheets/sheet7.xml" Id="Rebe14260d5024f59" /><Relationship Type="http://schemas.openxmlformats.org/officeDocument/2006/relationships/worksheet" Target="/xl/worksheets/sheet8.xml" Id="Ra705c3bfb28643ab" /><Relationship Type="http://schemas.openxmlformats.org/officeDocument/2006/relationships/worksheet" Target="/xl/worksheets/sheet9.xml" Id="R964fa6bfb08a47cc" /><Relationship Type="http://schemas.microsoft.com/office/2017/10/relationships/person" Target="/xl/persons/person.xml" Id="R039e9dd543c9446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6d95729a2e347c1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06d21bdcab604f5c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3.xml" Id="R4aad478c2b424c8e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/>
              <a:t>El modelo reproduce parte importante de los giros de la TRM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/>
          </a:pPr>
        </a:p>
      </c:txPr>
    </c:title>
    <c:plotArea>
      <c:lineChart>
        <c:grouping val="standard"/>
        <c:varyColors val="0"/>
        <c:ser>
          <c:idx val="0"/>
          <c:order val="0"/>
          <c:tx>
            <c:v>TRM observada</c:v>
          </c:tx>
          <c:marker>
            <c:symbol val="none"/>
          </c:marker>
          <c:cat>
            <c:strRef>
              <c:f>'Resumen'!$H$38:$H$58</c:f>
              <c:strCache>
                <c:ptCount val="0"/>
              </c:strCache>
            </c:strRef>
          </c:cat>
          <c:val>
            <c:numRef>
              <c:f>'Resumen'!$I$38:$I$58</c:f>
              <c:numCache>
                <c:formatCode>#,##0</c:formatCode>
                <c:ptCount val="0"/>
              </c:numCache>
            </c:numRef>
          </c:val>
          <c:smooth val="0"/>
        </c:ser>
        <c:ser>
          <c:idx val="1"/>
          <c:order val="1"/>
          <c:tx>
            <c:v>TRM ajustada</c:v>
          </c:tx>
          <c:marker>
            <c:symbol val="none"/>
          </c:marker>
          <c:cat>
            <c:strRef>
              <c:f>'Resumen'!$H$38:$H$58</c:f>
              <c:strCache>
                <c:ptCount val="0"/>
              </c:strCache>
            </c:strRef>
          </c:cat>
          <c:val>
            <c:numRef>
              <c:f>'Resumen'!$J$38:$J$58</c:f>
              <c:numCache>
                <c:formatCode>#,##0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/>
              <a:t>Ajuste de un paso, muestra anual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/>
          </a:pPr>
        </a:p>
      </c:txPr>
    </c:title>
    <c:plotArea>
      <c:lineChart>
        <c:grouping val="standard"/>
        <c:varyColors val="0"/>
        <c:ser>
          <c:idx val="0"/>
          <c:order val="0"/>
          <c:tx>
            <c:v>TRM observada</c:v>
          </c:tx>
          <c:marker>
            <c:symbol val="none"/>
          </c:marker>
          <c:cat>
            <c:strRef>
              <c:f>'Modelo_principal'!$P$18:$P$38</c:f>
              <c:strCache>
                <c:ptCount val="0"/>
              </c:strCache>
            </c:strRef>
          </c:cat>
          <c:val>
            <c:numRef>
              <c:f>'Modelo_principal'!$Q$18:$Q$38</c:f>
              <c:numCache>
                <c:formatCode>#,##0</c:formatCode>
                <c:ptCount val="0"/>
              </c:numCache>
            </c:numRef>
          </c:val>
          <c:smooth val="0"/>
        </c:ser>
        <c:ser>
          <c:idx val="1"/>
          <c:order val="1"/>
          <c:tx>
            <c:v>TRM ajustada</c:v>
          </c:tx>
          <c:marker>
            <c:symbol val="none"/>
          </c:marker>
          <c:cat>
            <c:strRef>
              <c:f>'Modelo_principal'!$P$18:$P$38</c:f>
              <c:strCache>
                <c:ptCount val="0"/>
              </c:strCache>
            </c:strRef>
          </c:cat>
          <c:val>
            <c:numRef>
              <c:f>'Modelo_principal'!$R$18:$R$38</c:f>
              <c:numCache>
                <c:formatCode>#,##0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/>
              <a:t>Validación condicional: TRM observada vs. comparadores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/>
          </a:pPr>
        </a:p>
      </c:txPr>
    </c:title>
    <c:plotArea>
      <c:lineChart>
        <c:grouping val="standard"/>
        <c:varyColors val="0"/>
        <c:ser>
          <c:idx val="0"/>
          <c:order val="0"/>
          <c:tx>
            <c:v>TRM observada</c:v>
          </c:tx>
          <c:marker>
            <c:symbol val="none"/>
          </c:marker>
          <c:cat>
            <c:strRef>
              <c:f>'Validacion'!$K$26:$K$73</c:f>
              <c:strCache>
                <c:ptCount val="0"/>
              </c:strCache>
            </c:strRef>
          </c:cat>
          <c:val>
            <c:numRef>
              <c:f>'Validacion'!$L$26:$L$73</c:f>
              <c:numCache>
                <c:formatCode>#,##0</c:formatCode>
                <c:ptCount val="0"/>
              </c:numCache>
            </c:numRef>
          </c:val>
          <c:smooth val="0"/>
        </c:ser>
        <c:ser>
          <c:idx val="1"/>
          <c:order val="1"/>
          <c:tx>
            <c:v>Modelo condicional</c:v>
          </c:tx>
          <c:marker>
            <c:symbol val="none"/>
          </c:marker>
          <c:cat>
            <c:strRef>
              <c:f>'Validacion'!$K$26:$K$73</c:f>
              <c:strCache>
                <c:ptCount val="0"/>
              </c:strCache>
            </c:strRef>
          </c:cat>
          <c:val>
            <c:numRef>
              <c:f>'Validacion'!$M$26:$M$73</c:f>
              <c:numCache>
                <c:formatCode>#,##0</c:formatCode>
                <c:ptCount val="0"/>
              </c:numCache>
            </c:numRef>
          </c:val>
          <c:smooth val="0"/>
        </c:ser>
        <c:ser>
          <c:idx val="2"/>
          <c:order val="2"/>
          <c:tx>
            <c:v>Caminata aleatoria</c:v>
          </c:tx>
          <c:marker>
            <c:symbol val="none"/>
          </c:marker>
          <c:cat>
            <c:strRef>
              <c:f>'Validacion'!$K$26:$K$73</c:f>
              <c:strCache>
                <c:ptCount val="0"/>
              </c:strCache>
            </c:strRef>
          </c:cat>
          <c:val>
            <c:numRef>
              <c:f>'Validacion'!$N$26:$N$73</c:f>
              <c:numCache>
                <c:formatCode>#,##0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5</xdr:row>
      <xdr:rowOff>0</xdr:rowOff>
    </xdr:from>
    <xdr:to>
      <xdr:col>14</xdr:col>
      <xdr:colOff>0</xdr:colOff>
      <xdr:row>27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6d95729a2e347c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15</xdr:col>
      <xdr:colOff>0</xdr:colOff>
      <xdr:row>1</xdr:row>
      <xdr:rowOff>0</xdr:rowOff>
    </xdr:from>
    <xdr:to>
      <xdr:col>23</xdr:col>
      <xdr:colOff>0</xdr:colOff>
      <xdr:row>15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6d21bdcab604f5c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10</xdr:col>
      <xdr:colOff>0</xdr:colOff>
      <xdr:row>4</xdr:row>
      <xdr:rowOff>0</xdr:rowOff>
    </xdr:from>
    <xdr:to>
      <xdr:col>18</xdr:col>
      <xdr:colOff>0</xdr:colOff>
      <xdr:row>22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aad478c2b424c8e"/>
        </a:graphicData>
      </a:graphic>
    </xdr:graphicFrame>
    <xdr:clientData/>
  </xdr:twoCellAnchor>
</xdr:wsDr>
</file>

<file path=xl/persons/person.xml><?xml version="1.0" encoding="utf-8"?>
<xltc:personList xmlns:xltc="http://schemas.microsoft.com/office/spreadsheetml/2018/threadedcomments">
  <xltc:person displayName="Equipo de análisis" id="{653EA3C0-292F-4012-87B5-B1730C3A307B}"/>
</xltc:personList>
</file>

<file path=xl/tables/table1.xml><?xml version="1.0" encoding="utf-8"?>
<x:table xmlns:x="http://schemas.openxmlformats.org/spreadsheetml/2006/main" id="1" name="DatosFuenteTable" displayName="DatosFuenteTable" ref="A5:N250" headerRowCount="1" totalsRowCount="0" totalsRowShown="0">
  <x:autoFilter ref="A5:N250"/>
  <x:tableColumns count="14">
    <x:tableColumn id="1" name="Mes"/>
    <x:tableColumn id="2" name="TRM (COP/USD)"/>
    <x:tableColumn id="3" name="Brent (USD/barril)"/>
    <x:tableColumn id="4" name="Remesas (USD mill.)"/>
    <x:tableColumn id="5" name="Remesas 12m (USD mill.)"/>
    <x:tableColumn id="6" name="Tasa política Colombia (%)"/>
    <x:tableColumn id="7" name="Fed funds (%)"/>
    <x:tableColumn id="8" name="Diferencial tasas (pp)"/>
    <x:tableColumn id="9" name="Balance fiscal mensual (miles mill. COP)"/>
    <x:tableColumn id="10" name="Déficit fiscal 12m (% PIB)"/>
    <x:tableColumn id="11" name="Índice dólar amplio"/>
    <x:tableColumn id="12" name="VIX"/>
    <x:tableColumn id="13" name="Términos de intercambio"/>
    <x:tableColumn id="14" name="Dummy pandemia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ransformacionesTable" displayName="TransformacionesTable" ref="A5:P250" headerRowCount="1" totalsRowCount="0" totalsRowShown="0">
  <x:autoFilter ref="A5:P250"/>
  <x:tableColumns count="16">
    <x:tableColumn id="1" name="Mes"/>
    <x:tableColumn id="2" name="ln TRM"/>
    <x:tableColumn id="3" name="Δln TRM"/>
    <x:tableColumn id="4" name="ln Brent"/>
    <x:tableColumn id="5" name="Δln Brent"/>
    <x:tableColumn id="6" name="ln remesas 12m"/>
    <x:tableColumn id="7" name="Δln remesas 12m"/>
    <x:tableColumn id="8" name="Diferencial tasas"/>
    <x:tableColumn id="9" name="Δ diferencial"/>
    <x:tableColumn id="10" name="Déficit 12m/PIB"/>
    <x:tableColumn id="11" name="Δ déficit"/>
    <x:tableColumn id="12" name="ln dólar amplio"/>
    <x:tableColumn id="13" name="Δln dólar amplio"/>
    <x:tableColumn id="14" name="ln VIX"/>
    <x:tableColumn id="15" name="Δln VIX"/>
    <x:tableColumn id="16" name="Pandemia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oeficientesModeloTable" displayName="CoeficientesModeloTable" ref="A5:G13" headerRowCount="1" totalsRowCount="0" totalsRowShown="0">
  <x:autoFilter ref="A5:G13"/>
  <x:tableColumns count="7">
    <x:tableColumn id="1" name="Variable"/>
    <x:tableColumn id="2" name="Coeficiente"/>
    <x:tableColumn id="3" name="EE HAC"/>
    <x:tableColumn id="4" name="t"/>
    <x:tableColumn id="5" name="p-valor"/>
    <x:tableColumn id="6" name="IC 95% inferior"/>
    <x:tableColumn id="7" name="IC 95% superior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AjusteModeloTable" displayName="AjusteModeloTable" ref="A17:N257" headerRowCount="1" totalsRowCount="0" totalsRowShown="0">
  <x:autoFilter ref="A17:N257"/>
  <x:tableColumns count="14">
    <x:tableColumn id="1" name="Mes"/>
    <x:tableColumn id="2" name="Δln TRM observado"/>
    <x:tableColumn id="3" name="Constante"/>
    <x:tableColumn id="4" name="Brent"/>
    <x:tableColumn id="5" name="Dólar amplio"/>
    <x:tableColumn id="6" name="VIX"/>
    <x:tableColumn id="7" name="Remesas t−1"/>
    <x:tableColumn id="8" name="Tasas t−1"/>
    <x:tableColumn id="9" name="Fiscal t−1"/>
    <x:tableColumn id="10" name="Pandemia"/>
    <x:tableColumn id="11" name="Δln TRM ajustado"/>
    <x:tableColumn id="12" name="Residuo"/>
    <x:tableColumn id="13" name="TRM observada"/>
    <x:tableColumn id="14" name="TRM ajustada 1 paso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MetricasValidacionTable" displayName="MetricasValidacionTable" ref="A5:F7" headerRowCount="1" totalsRowCount="0" totalsRowShown="0">
  <x:autoFilter ref="A5:F7"/>
  <x:tableColumns count="6">
    <x:tableColumn id="1" name="Modelo"/>
    <x:tableColumn id="2" name="Observaciones"/>
    <x:tableColumn id="3" name="MAE (log)"/>
    <x:tableColumn id="4" name="RMSE (log)"/>
    <x:tableColumn id="5" name="MAPE"/>
    <x:tableColumn id="6" name="Acierto dirección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PrediccionesValidacionTable" displayName="PrediccionesValidacionTable" ref="A11:I59" headerRowCount="1" totalsRowCount="0" totalsRowShown="0">
  <x:autoFilter ref="A11:I59"/>
  <x:tableColumns count="9">
    <x:tableColumn id="1" name="Mes"/>
    <x:tableColumn id="2" name="ln TRM observada"/>
    <x:tableColumn id="3" name="ln TRM modelo"/>
    <x:tableColumn id="4" name="ln TRM caminata"/>
    <x:tableColumn id="5" name="Δln observado"/>
    <x:tableColumn id="6" name="Δln modelo"/>
    <x:tableColumn id="7" name="TRM observada"/>
    <x:tableColumn id="8" name="TRM modelo"/>
    <x:tableColumn id="9" name="TRM caminata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BoundsCriticosTable" displayName="BoundsCriticosTable" ref="A11:C15" headerRowCount="1" totalsRowCount="0" totalsRowShown="0">
  <x:autoFilter ref="A11:C15"/>
  <x:tableColumns count="3">
    <x:tableColumn id="1" name="Percentil"/>
    <x:tableColumn id="2" name="Límite inferior I(0)"/>
    <x:tableColumn id="3" name="Límite superior I(1)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ECMLargoPlazoTable" displayName="ECMLargoPlazoTable" ref="A19:G26" headerRowCount="1" totalsRowCount="0" totalsRowShown="0">
  <x:autoFilter ref="A19:G26"/>
  <x:tableColumns count="7">
    <x:tableColumn id="1" name="Variable"/>
    <x:tableColumn id="2" name="Coeficiente"/>
    <x:tableColumn id="3" name="EE"/>
    <x:tableColumn id="4" name="t"/>
    <x:tableColumn id="5" name="p-valor"/>
    <x:tableColumn id="6" name="IC 95% inferior"/>
    <x:tableColumn id="7" name="IC 95% superior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DiagnosticosModeloTable" displayName="DiagnosticosModeloTable" ref="A6:D14" headerRowCount="1" totalsRowCount="0" totalsRowShown="0">
  <x:autoFilter ref="A6:D14"/>
  <x:tableColumns count="4">
    <x:tableColumn id="1" name="Prueba"/>
    <x:tableColumn id="2" name="Estadístico"/>
    <x:tableColumn id="3" name="p-valor"/>
    <x:tableColumn id="4" name="Lectura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SeleccionRezagosTable" displayName="SeleccionRezagosTable" ref="F6:I10" headerRowCount="1" totalsRowCount="0" totalsRowShown="0">
  <x:autoFilter ref="F6:I10"/>
  <x:tableColumns count="4">
    <x:tableColumn id="1" name="p"/>
    <x:tableColumn id="2" name="AIC"/>
    <x:tableColumn id="3" name="BIC"/>
    <x:tableColumn id="4" name="R² ajustado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IntegracionTable" displayName="IntegracionTable" ref="A18:H32" headerRowCount="1" totalsRowCount="0" totalsRowShown="0">
  <x:autoFilter ref="A18:H32"/>
  <x:tableColumns count="8">
    <x:tableColumn id="1" name="Variable"/>
    <x:tableColumn id="2" name="Transformación"/>
    <x:tableColumn id="3" name="n"/>
    <x:tableColumn id="4" name="ADF"/>
    <x:tableColumn id="5" name="p ADF"/>
    <x:tableColumn id="6" name="Rezagos ADF"/>
    <x:tableColumn id="7" name="KPSS"/>
    <x:tableColumn id="8" name="p KPSS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MapaVariablesTable" displayName="MapaVariablesTable" ref="A5:I20" headerRowCount="1" totalsRowCount="0" totalsRowShown="0">
  <x:autoFilter ref="A5:I20"/>
  <x:tableColumns count="9">
    <x:tableColumn id="1" name="Bloque"/>
    <x:tableColumn id="2" name="Variable"/>
    <x:tableColumn id="3" name="Estatus"/>
    <x:tableColumn id="4" name="Proxy/medición"/>
    <x:tableColumn id="5" name="Transformación"/>
    <x:tableColumn id="6" name="Signo sobre COP/USD"/>
    <x:tableColumn id="7" name="Canal"/>
    <x:tableColumn id="8" name="Justificación"/>
    <x:tableColumn id="9" name="Cautela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FuentesTable" displayName="FuentesTable" ref="A5:G19" headerRowCount="1" totalsRowCount="0" totalsRowShown="0">
  <x:autoFilter ref="A5:G19"/>
  <x:tableColumns count="7">
    <x:tableColumn id="1" name="Organismo"/>
    <x:tableColumn id="2" name="Serie/código"/>
    <x:tableColumn id="3" name="Frecuencia"/>
    <x:tableColumn id="4" name="Cobertura"/>
    <x:tableColumn id="5" name="Uso"/>
    <x:tableColumn id="6" name="Tratamiento"/>
    <x:tableColumn id="7" name="URL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B5" dT="2026-08-22T22:05:37.949" personId="{653EA3C0-292F-4012-87B5-B1730C3A307B}" id="{3228CE76-0C3F-0224-E815-88A1BA6A99C7}">
    <xltc:text>Fuente: Banco de la República, serie diaria TRM 1; promedio mensual. https://suameca.banrep.gov.co/graficador-series/rest/graficadorService/consultaSerieParaGraficar?idSerie=1</xltc:text>
  </xltc:threadedComment>
  <xltc:threadedComment ref="C5" dT="2026-08-22T22:05:37.95" personId="{653EA3C0-292F-4012-87B5-B1730C3A307B}" id="{D3BA3141-D66D-D4FC-792E-E58561C3BF37}">
    <xltc:text>Fuente: EIA vía FRED, DCOILBRENTEU; promedio mensual de observaciones diarias.</xltc:text>
  </xltc:threadedComment>
  <xltc:threadedComment ref="D5" dT="2026-08-22T22:05:37.95" personId="{653EA3C0-292F-4012-87B5-B1730C3A307B}" id="{07E25B82-CDAE-6C2C-5538-9F6CE0219B8E}">
    <xltc:text>Fuente: Banco de la República, remesas de trabajadores, serie 15363.</xltc:text>
  </xltc:threadedComment>
  <xltc:threadedComment ref="F5" dT="2026-08-22T22:05:37.95" personId="{653EA3C0-292F-4012-87B5-B1730C3A307B}" id="{C45A9141-4390-531A-EDB1-4A7C3659715F}">
    <xltc:text>Fuente: Banco de la República, tasa de política, serie diaria 59; promedio mensual.</xltc:text>
  </xltc:threadedComment>
  <xltc:threadedComment ref="G5" dT="2026-08-22T22:05:37.95" personId="{653EA3C0-292F-4012-87B5-B1730C3A307B}" id="{5ED4CBD7-3CED-F95E-3F75-BBD3A052D952}">
    <xltc:text>Fuente: Federal Reserve/FRED, FEDFUNDS, promedio mensual.</xltc:text>
  </xltc:threadedComment>
  <xltc:threadedComment ref="I5" dT="2026-08-22T22:05:37.95" personId="{653EA3C0-292F-4012-87B5-B1730C3A307B}" id="{FE53545D-5263-D580-3438-13D6CE1BA43B}">
    <xltc:text>Fuente: Ministerio de Hacienda, balance fiscal del Gobierno Nacional Central, metodología de caja.</xltc:text>
  </xltc:threadedComment>
  <xltc:threadedComment ref="K5" dT="2026-08-22T22:05:37.95" personId="{653EA3C0-292F-4012-87B5-B1730C3A307B}" id="{903AA4B7-4DAC-C1F3-2B63-A5F522AF8797}">
    <xltc:text>Fuente: Federal Reserve/FRED, índice nominal amplio del dólar DTWEXBGS; promedio mensual.</xltc:text>
  </xltc:threadedComment>
  <xltc:threadedComment ref="L5" dT="2026-08-22T22:05:37.95" personId="{653EA3C0-292F-4012-87B5-B1730C3A307B}" id="{38F67EBA-537D-BB81-87C5-C1B61270F07C}">
    <xltc:text>Fuente: Cboe vía FRED, VIXCLS; promedio mensual.</xltc:text>
  </xltc:threadedComment>
  <xltc:threadedComment ref="M5" dT="2026-08-22T22:05:37.95" personId="{653EA3C0-292F-4012-87B5-B1730C3A307B}" id="{263FD943-92F2-E6BF-9C52-BE48E1B32137}">
    <xltc:text>Fuente: Banco de la República, índice de términos de intercambio, serie 15360. Se conserva como variable de robustez, no entra al modelo base junto con Brent.</xltc:text>
  </xltc:threadedComment>
</xltc:ThreadedComments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c745d06fc3d4ca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1.xml" Id="R0871edcd6aea4e02" /><Relationship Type="http://schemas.openxmlformats.org/officeDocument/2006/relationships/vmlDrawing" Target="/xl/drawings/vmldrawing.vml" Id="R2324c873f8664df1" /><Relationship Type="http://schemas.microsoft.com/office/2017/10/relationships/threadedComment" Target="/xl/threadedcomments/threadedcomment.xml" Id="R7ef356fa61c94ae9" /><Relationship Type="http://schemas.openxmlformats.org/officeDocument/2006/relationships/table" Target="/xl/tables/table1.xml" Id="R7fb77962067946d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92dd9954f24418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2.xml" Id="R75d4b099527a4d0d" /><Relationship Type="http://schemas.openxmlformats.org/officeDocument/2006/relationships/table" Target="/xl/tables/table3.xml" Id="Rce2dfa9c7f294bd8" /><Relationship Type="http://schemas.openxmlformats.org/officeDocument/2006/relationships/table" Target="/xl/tables/table4.xml" Id="Reabf544c94dc46d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3.xml" Id="R4a854ee50682499f" /><Relationship Type="http://schemas.openxmlformats.org/officeDocument/2006/relationships/table" Target="/xl/tables/table5.xml" Id="Ra270f123e00041a1" /><Relationship Type="http://schemas.openxmlformats.org/officeDocument/2006/relationships/table" Target="/xl/tables/table6.xml" Id="R579cae26d0ea456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7.xml" Id="R7c56e0f3f88943a4" /><Relationship Type="http://schemas.openxmlformats.org/officeDocument/2006/relationships/table" Target="/xl/tables/table8.xml" Id="Radf26e327c954656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9.xml" Id="R6cc88b0e4ad642c1" /><Relationship Type="http://schemas.openxmlformats.org/officeDocument/2006/relationships/table" Target="/xl/tables/table10.xml" Id="R971a600dffa14636" /><Relationship Type="http://schemas.openxmlformats.org/officeDocument/2006/relationships/table" Target="/xl/tables/table11.xml" Id="Rb8d299652bb34b8a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12.xml" Id="Rab583956d9df485d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13.xml" Id="R35ad48803ddb4f8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4" hidden="0" customWidth="1"/>
    <x:col min="3" max="3" width="17" hidden="0" customWidth="1"/>
    <x:col min="4" max="4" width="17" hidden="0" customWidth="1"/>
    <x:col min="5" max="5" width="14" hidden="0" customWidth="1"/>
    <x:col min="6" max="6" width="34" hidden="0" customWidth="1"/>
    <x:col min="7" max="7" width="3" hidden="0" customWidth="1"/>
    <x:col min="8" max="8" width="14" hidden="0" customWidth="1"/>
    <x:col min="9" max="9" width="16" hidden="0" customWidth="1"/>
    <x:col min="10" max="10" width="16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30" customHeight="1">
      <x:c r="A1" s="4" t="str">
        <x:v>Modelo econométrico de la TRM en Colombia</x:v>
      </x:c>
      <x:c r="B1" s="4" t="str">
        <x:v>Modelo econométrico de la TRM en Colombia</x:v>
      </x:c>
      <x:c r="C1" s="4" t="str">
        <x:v>Modelo econométrico de la TRM en Colombia</x:v>
      </x:c>
      <x:c r="D1" s="4" t="str">
        <x:v>Modelo econométrico de la TRM en Colombia</x:v>
      </x:c>
      <x:c r="E1" s="4" t="str">
        <x:v>Modelo econométrico de la TRM en Colombia</x:v>
      </x:c>
      <x:c r="F1" s="4" t="str">
        <x:v>Modelo econométrico de la TRM en Colombia</x:v>
      </x:c>
      <x:c r="G1" s="4" t="str">
        <x:v>Modelo econométrico de la TRM en Colombia</x:v>
      </x:c>
      <x:c r="H1" s="4" t="str">
        <x:v>Modelo econométrico de la TRM en Colombia</x:v>
      </x:c>
      <x:c r="I1" s="4" t="str">
        <x:v>Modelo econométrico de la TRM en Colombia</x:v>
      </x:c>
      <x:c r="J1" s="4" t="str">
        <x:v>Modelo econométrico de la TRM en Colombia</x:v>
      </x:c>
      <x:c r="K1" s="4" t="str">
        <x:v>Modelo econométrico de la TRM en Colombia</x:v>
      </x:c>
      <x:c r="L1" s="4" t="str">
        <x:v>Modelo econométrico de la TRM en Colombia</x:v>
      </x:c>
      <x:c r="M1" s="4" t="str">
        <x:v>Modelo econométrico de la TRM en Colombia</x:v>
      </x:c>
      <x:c r="N1" s="4" t="str">
        <x:v>Modelo econométrico de la TRM en Colombia</x:v>
      </x:c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 ht="30" customHeight="1">
      <x:c r="A2" s="4" t="str">
        <x:v>Modelo econométrico de la TRM en Colombia</x:v>
      </x:c>
      <x:c r="B2" s="4" t="str">
        <x:v>Modelo econométrico de la TRM en Colombia</x:v>
      </x:c>
      <x:c r="C2" s="4" t="str">
        <x:v>Modelo econométrico de la TRM en Colombia</x:v>
      </x:c>
      <x:c r="D2" s="4" t="str">
        <x:v>Modelo econométrico de la TRM en Colombia</x:v>
      </x:c>
      <x:c r="E2" s="4" t="str">
        <x:v>Modelo econométrico de la TRM en Colombia</x:v>
      </x:c>
      <x:c r="F2" s="4" t="str">
        <x:v>Modelo econométrico de la TRM en Colombia</x:v>
      </x:c>
      <x:c r="G2" s="4" t="str">
        <x:v>Modelo econométrico de la TRM en Colombia</x:v>
      </x:c>
      <x:c r="H2" s="4" t="str">
        <x:v>Modelo econométrico de la TRM en Colombia</x:v>
      </x:c>
      <x:c r="I2" s="4" t="str">
        <x:v>Modelo econométrico de la TRM en Colombia</x:v>
      </x:c>
      <x:c r="J2" s="4" t="str">
        <x:v>Modelo econométrico de la TRM en Colombia</x:v>
      </x:c>
      <x:c r="K2" s="4" t="str">
        <x:v>Modelo econométrico de la TRM en Colombia</x:v>
      </x:c>
      <x:c r="L2" s="4" t="str">
        <x:v>Modelo econométrico de la TRM en Colombia</x:v>
      </x:c>
      <x:c r="M2" s="4" t="str">
        <x:v>Modelo econométrico de la TRM en Colombia</x:v>
      </x:c>
      <x:c r="N2" s="4" t="str">
        <x:v>Modelo econométrico de la TRM en Colombia</x:v>
      </x:c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 ht="36" customHeight="1">
      <x:c r="A3" s="7" t="str">
        <x:v>Modelo mensual para explicar variaciones de COP por USD. Muestra común: enero de 2006 a abril de 2026; estimación principal en primeras diferencias con errores HAC.</x:v>
      </x:c>
      <x:c r="B3" s="7" t="str">
        <x:v>Modelo mensual para explicar variaciones de COP por USD. Muestra común: enero de 2006 a abril de 2026; estimación principal en primeras diferencias con errores HAC.</x:v>
      </x:c>
      <x:c r="C3" s="7" t="str">
        <x:v>Modelo mensual para explicar variaciones de COP por USD. Muestra común: enero de 2006 a abril de 2026; estimación principal en primeras diferencias con errores HAC.</x:v>
      </x:c>
      <x:c r="D3" s="7" t="str">
        <x:v>Modelo mensual para explicar variaciones de COP por USD. Muestra común: enero de 2006 a abril de 2026; estimación principal en primeras diferencias con errores HAC.</x:v>
      </x:c>
      <x:c r="E3" s="7" t="str">
        <x:v>Modelo mensual para explicar variaciones de COP por USD. Muestra común: enero de 2006 a abril de 2026; estimación principal en primeras diferencias con errores HAC.</x:v>
      </x:c>
      <x:c r="F3" s="7" t="str">
        <x:v>Modelo mensual para explicar variaciones de COP por USD. Muestra común: enero de 2006 a abril de 2026; estimación principal en primeras diferencias con errores HAC.</x:v>
      </x:c>
      <x:c r="G3" s="7" t="str">
        <x:v>Modelo mensual para explicar variaciones de COP por USD. Muestra común: enero de 2006 a abril de 2026; estimación principal en primeras diferencias con errores HAC.</x:v>
      </x:c>
      <x:c r="H3" s="7" t="str">
        <x:v>Modelo mensual para explicar variaciones de COP por USD. Muestra común: enero de 2006 a abril de 2026; estimación principal en primeras diferencias con errores HAC.</x:v>
      </x:c>
      <x:c r="I3" s="7" t="str">
        <x:v>Modelo mensual para explicar variaciones de COP por USD. Muestra común: enero de 2006 a abril de 2026; estimación principal en primeras diferencias con errores HAC.</x:v>
      </x:c>
      <x:c r="J3" s="7" t="str">
        <x:v>Modelo mensual para explicar variaciones de COP por USD. Muestra común: enero de 2006 a abril de 2026; estimación principal en primeras diferencias con errores HAC.</x:v>
      </x:c>
      <x:c r="K3" s="7" t="str">
        <x:v>Modelo mensual para explicar variaciones de COP por USD. Muestra común: enero de 2006 a abril de 2026; estimación principal en primeras diferencias con errores HAC.</x:v>
      </x:c>
      <x:c r="L3" s="7" t="str">
        <x:v>Modelo mensual para explicar variaciones de COP por USD. Muestra común: enero de 2006 a abril de 2026; estimación principal en primeras diferencias con errores HAC.</x:v>
      </x:c>
      <x:c r="M3" s="7" t="str">
        <x:v>Modelo mensual para explicar variaciones de COP por USD. Muestra común: enero de 2006 a abril de 2026; estimación principal en primeras diferencias con errores HAC.</x:v>
      </x:c>
      <x:c r="N3" s="7" t="str">
        <x:v>Modelo mensual para explicar variaciones de COP por USD. Muestra común: enero de 2006 a abril de 2026; estimación principal en primeras diferencias con errores HAC.</x:v>
      </x:c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>
      <x:c r="A4" s="72"/>
      <x:c r="B4" s="72"/>
      <x:c r="C4" s="72"/>
      <x:c r="D4" s="72"/>
      <x:c r="E4" s="72"/>
      <x:c r="F4" s="72"/>
      <x:c r="G4" s="72"/>
      <x:c r="H4" s="72"/>
      <x:c r="I4" s="72"/>
      <x:c r="J4" s="72"/>
      <x:c r="K4" s="72"/>
      <x:c r="L4" s="72"/>
      <x:c r="M4" s="72"/>
      <x:c r="N4" s="72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 ht="22" customHeight="1">
      <x:c r="A5" s="13" t="str">
        <x:v>Observaciones en niveles</x:v>
      </x:c>
      <x:c r="B5" s="14" t="str">
        <x:v>Observaciones en niveles</x:v>
      </x:c>
      <x:c r="C5" s="13" t="str">
        <x:v>R² ajustado</x:v>
      </x:c>
      <x:c r="D5" s="14" t="str">
        <x:v>R² ajustado</x:v>
      </x:c>
      <x:c r="E5" s="13" t="str">
        <x:v>MAPE condicional</x:v>
      </x:c>
      <x:c r="F5" s="14" t="str">
        <x:v>MAPE condicional</x:v>
      </x:c>
      <x:c r="G5" s="72"/>
      <x:c r="H5" s="47" t="str">
        <x:v>TRM observada y ajuste de un paso (muestra anual)</x:v>
      </x:c>
      <x:c r="I5" s="47" t="str">
        <x:v>TRM observada y ajuste de un paso (muestra anual)</x:v>
      </x:c>
      <x:c r="J5" s="47" t="str">
        <x:v>TRM observada y ajuste de un paso (muestra anual)</x:v>
      </x:c>
      <x:c r="K5" s="47" t="str">
        <x:v>TRM observada y ajuste de un paso (muestra anual)</x:v>
      </x:c>
      <x:c r="L5" s="47" t="str">
        <x:v>TRM observada y ajuste de un paso (muestra anual)</x:v>
      </x:c>
      <x:c r="M5" s="47" t="str">
        <x:v>TRM observada y ajuste de un paso (muestra anual)</x:v>
      </x:c>
      <x:c r="N5" s="47" t="str">
        <x:v>TRM observada y ajuste de un paso (muestra anual)</x:v>
      </x:c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 ht="30" customHeight="1">
      <x:c r="A6" s="25" t="n">
        <x:v>244</x:v>
      </x:c>
      <x:c r="B6" s="26" t="n">
        <x:v>244</x:v>
      </x:c>
      <x:c r="C6" s="25" t="str">
        <x:v>48.6%</x:v>
      </x:c>
      <x:c r="D6" s="26" t="str">
        <x:v>48.6%</x:v>
      </x:c>
      <x:c r="E6" s="25" t="str">
        <x:v>2.03%</x:v>
      </x:c>
      <x:c r="F6" s="26" t="str">
        <x:v>2.03%</x:v>
      </x:c>
      <x:c r="G6" s="72"/>
      <x:c r="H6" s="72"/>
      <x:c r="I6" s="72"/>
      <x:c r="J6" s="72"/>
      <x:c r="K6" s="72"/>
      <x:c r="L6" s="72"/>
      <x:c r="M6" s="72"/>
      <x:c r="N6" s="72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 ht="30" customHeight="1">
      <x:c r="A7" s="27" t="n">
        <x:v>244</x:v>
      </x:c>
      <x:c r="B7" s="28" t="n">
        <x:v>244</x:v>
      </x:c>
      <x:c r="C7" s="27" t="str">
        <x:v>48.6%</x:v>
      </x:c>
      <x:c r="D7" s="28" t="str">
        <x:v>48.6%</x:v>
      </x:c>
      <x:c r="E7" s="27" t="str">
        <x:v>2.03%</x:v>
      </x:c>
      <x:c r="F7" s="28" t="str">
        <x:v>2.03%</x:v>
      </x:c>
      <x:c r="G7" s="72"/>
      <x:c r="H7" s="72"/>
      <x:c r="I7" s="72"/>
      <x:c r="J7" s="72"/>
      <x:c r="K7" s="72"/>
      <x:c r="L7" s="72"/>
      <x:c r="M7" s="72"/>
      <x:c r="N7" s="72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>
      <x:c r="A8" s="72"/>
      <x:c r="B8" s="72"/>
      <x:c r="C8" s="72"/>
      <x:c r="D8" s="72"/>
      <x:c r="E8" s="72"/>
      <x:c r="F8" s="72"/>
      <x:c r="G8" s="72"/>
      <x:c r="H8" s="72"/>
      <x:c r="I8" s="72"/>
      <x:c r="J8" s="72"/>
      <x:c r="K8" s="72"/>
      <x:c r="L8" s="72"/>
      <x:c r="M8" s="72"/>
      <x:c r="N8" s="72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 ht="22" customHeight="1">
      <x:c r="A9" s="35" t="str">
        <x:v>Acierto de dirección</x:v>
      </x:c>
      <x:c r="B9" s="36" t="str">
        <x:v>Acierto de dirección</x:v>
      </x:c>
      <x:c r="C9" s="35" t="str">
        <x:v>MAE vs. caminata aleatoria</x:v>
      </x:c>
      <x:c r="D9" s="36" t="str">
        <x:v>MAE vs. caminata aleatoria</x:v>
      </x:c>
      <x:c r="E9" s="43" t="str">
        <x:v>Cointegración al 5%</x:v>
      </x:c>
      <x:c r="F9" s="44" t="str">
        <x:v>Cointegración al 5%</x:v>
      </x:c>
      <x:c r="G9" s="72"/>
      <x:c r="H9" s="72"/>
      <x:c r="I9" s="72"/>
      <x:c r="J9" s="72"/>
      <x:c r="K9" s="72"/>
      <x:c r="L9" s="72"/>
      <x:c r="M9" s="72"/>
      <x:c r="N9" s="72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 ht="30" customHeight="1">
      <x:c r="A10" s="25" t="str">
        <x:v>72.9%</x:v>
      </x:c>
      <x:c r="B10" s="26" t="str">
        <x:v>72.9%</x:v>
      </x:c>
      <x:c r="C10" s="25" t="str">
        <x:v>15.6% menor</x:v>
      </x:c>
      <x:c r="D10" s="26" t="str">
        <x:v>15.6% menor</x:v>
      </x:c>
      <x:c r="E10" s="25" t="str">
        <x:v>No concluyente</x:v>
      </x:c>
      <x:c r="F10" s="26" t="str">
        <x:v>No concluyente</x:v>
      </x:c>
      <x:c r="G10" s="72"/>
      <x:c r="H10" s="72"/>
      <x:c r="I10" s="72"/>
      <x:c r="J10" s="72"/>
      <x:c r="K10" s="72"/>
      <x:c r="L10" s="72"/>
      <x:c r="M10" s="72"/>
      <x:c r="N10" s="72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 ht="30" customHeight="1">
      <x:c r="A11" s="27" t="str">
        <x:v>72.9%</x:v>
      </x:c>
      <x:c r="B11" s="28" t="str">
        <x:v>72.9%</x:v>
      </x:c>
      <x:c r="C11" s="27" t="str">
        <x:v>15.6% menor</x:v>
      </x:c>
      <x:c r="D11" s="28" t="str">
        <x:v>15.6% menor</x:v>
      </x:c>
      <x:c r="E11" s="27" t="str">
        <x:v>No concluyente</x:v>
      </x:c>
      <x:c r="F11" s="28" t="str">
        <x:v>No concluyente</x:v>
      </x:c>
      <x:c r="G11" s="72"/>
      <x:c r="H11" s="72"/>
      <x:c r="I11" s="72"/>
      <x:c r="J11" s="72"/>
      <x:c r="K11" s="72"/>
      <x:c r="L11" s="72"/>
      <x:c r="M11" s="72"/>
      <x:c r="N11" s="72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>
      <x:c r="A12" s="72"/>
      <x:c r="B12" s="72"/>
      <x:c r="C12" s="72"/>
      <x:c r="D12" s="72"/>
      <x:c r="E12" s="72"/>
      <x:c r="F12" s="72"/>
      <x:c r="G12" s="72"/>
      <x:c r="H12" s="72"/>
      <x:c r="I12" s="72"/>
      <x:c r="J12" s="72"/>
      <x:c r="K12" s="72"/>
      <x:c r="L12" s="72"/>
      <x:c r="M12" s="72"/>
      <x:c r="N12" s="72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 ht="22" customHeight="1">
      <x:c r="A13" s="47" t="str">
        <x:v>Especificación principal</x:v>
      </x:c>
      <x:c r="B13" s="47" t="str">
        <x:v>Especificación principal</x:v>
      </x:c>
      <x:c r="C13" s="47" t="str">
        <x:v>Especificación principal</x:v>
      </x:c>
      <x:c r="D13" s="47" t="str">
        <x:v>Especificación principal</x:v>
      </x:c>
      <x:c r="E13" s="47" t="str">
        <x:v>Especificación principal</x:v>
      </x:c>
      <x:c r="F13" s="47" t="str">
        <x:v>Especificación principal</x:v>
      </x:c>
      <x:c r="G13" s="72"/>
      <x:c r="H13" s="72"/>
      <x:c r="I13" s="72"/>
      <x:c r="J13" s="72"/>
      <x:c r="K13" s="72"/>
      <x:c r="L13" s="72"/>
      <x:c r="M13" s="72"/>
      <x:c r="N13" s="72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 ht="36" customHeight="1">
      <x:c r="A14" s="50" t="str">
        <x:v>Δln(TRM)t = c + β1Δln(Brent)t + β2Δln(dólar amplio)t + β3Δln(VIX)t + β4Δln(remesas 12m)t−1 + β5Δ(diferencial de tasas)t−1 + β6Δ(déficit 12m/PIB)t−1 + β7 pandemia + ut</x:v>
      </x:c>
      <x:c r="B14" s="50" t="str">
        <x:v>Δln(TRM)t = c + β1Δln(Brent)t + β2Δln(dólar amplio)t + β3Δln(VIX)t + β4Δln(remesas 12m)t−1 + β5Δ(diferencial de tasas)t−1 + β6Δ(déficit 12m/PIB)t−1 + β7 pandemia + ut</x:v>
      </x:c>
      <x:c r="C14" s="50" t="str">
        <x:v>Δln(TRM)t = c + β1Δln(Brent)t + β2Δln(dólar amplio)t + β3Δln(VIX)t + β4Δln(remesas 12m)t−1 + β5Δ(diferencial de tasas)t−1 + β6Δ(déficit 12m/PIB)t−1 + β7 pandemia + ut</x:v>
      </x:c>
      <x:c r="D14" s="50" t="str">
        <x:v>Δln(TRM)t = c + β1Δln(Brent)t + β2Δln(dólar amplio)t + β3Δln(VIX)t + β4Δln(remesas 12m)t−1 + β5Δ(diferencial de tasas)t−1 + β6Δ(déficit 12m/PIB)t−1 + β7 pandemia + ut</x:v>
      </x:c>
      <x:c r="E14" s="50" t="str">
        <x:v>Δln(TRM)t = c + β1Δln(Brent)t + β2Δln(dólar amplio)t + β3Δln(VIX)t + β4Δln(remesas 12m)t−1 + β5Δ(diferencial de tasas)t−1 + β6Δ(déficit 12m/PIB)t−1 + β7 pandemia + ut</x:v>
      </x:c>
      <x:c r="F14" s="50" t="str">
        <x:v>Δln(TRM)t = c + β1Δln(Brent)t + β2Δln(dólar amplio)t + β3Δln(VIX)t + β4Δln(remesas 12m)t−1 + β5Δ(diferencial de tasas)t−1 + β6Δ(déficit 12m/PIB)t−1 + β7 pandemia + ut</x:v>
      </x:c>
      <x:c r="G14" s="72"/>
      <x:c r="H14" s="72"/>
      <x:c r="I14" s="72"/>
      <x:c r="J14" s="72"/>
      <x:c r="K14" s="72"/>
      <x:c r="L14" s="72"/>
      <x:c r="M14" s="72"/>
      <x:c r="N14" s="72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 ht="36" customHeight="1">
      <x:c r="A15" s="50" t="str">
        <x:v>Δln(TRM)t = c + β1Δln(Brent)t + β2Δln(dólar amplio)t + β3Δln(VIX)t + β4Δln(remesas 12m)t−1 + β5Δ(diferencial de tasas)t−1 + β6Δ(déficit 12m/PIB)t−1 + β7 pandemia + ut</x:v>
      </x:c>
      <x:c r="B15" s="50" t="str">
        <x:v>Δln(TRM)t = c + β1Δln(Brent)t + β2Δln(dólar amplio)t + β3Δln(VIX)t + β4Δln(remesas 12m)t−1 + β5Δ(diferencial de tasas)t−1 + β6Δ(déficit 12m/PIB)t−1 + β7 pandemia + ut</x:v>
      </x:c>
      <x:c r="C15" s="50" t="str">
        <x:v>Δln(TRM)t = c + β1Δln(Brent)t + β2Δln(dólar amplio)t + β3Δln(VIX)t + β4Δln(remesas 12m)t−1 + β5Δ(diferencial de tasas)t−1 + β6Δ(déficit 12m/PIB)t−1 + β7 pandemia + ut</x:v>
      </x:c>
      <x:c r="D15" s="50" t="str">
        <x:v>Δln(TRM)t = c + β1Δln(Brent)t + β2Δln(dólar amplio)t + β3Δln(VIX)t + β4Δln(remesas 12m)t−1 + β5Δ(diferencial de tasas)t−1 + β6Δ(déficit 12m/PIB)t−1 + β7 pandemia + ut</x:v>
      </x:c>
      <x:c r="E15" s="50" t="str">
        <x:v>Δln(TRM)t = c + β1Δln(Brent)t + β2Δln(dólar amplio)t + β3Δln(VIX)t + β4Δln(remesas 12m)t−1 + β5Δ(diferencial de tasas)t−1 + β6Δ(déficit 12m/PIB)t−1 + β7 pandemia + ut</x:v>
      </x:c>
      <x:c r="F15" s="50" t="str">
        <x:v>Δln(TRM)t = c + β1Δln(Brent)t + β2Δln(dólar amplio)t + β3Δln(VIX)t + β4Δln(remesas 12m)t−1 + β5Δ(diferencial de tasas)t−1 + β6Δ(déficit 12m/PIB)t−1 + β7 pandemia + ut</x:v>
      </x:c>
      <x:c r="G15" s="72"/>
      <x:c r="H15" s="72"/>
      <x:c r="I15" s="72"/>
      <x:c r="J15" s="72"/>
      <x:c r="K15" s="72"/>
      <x:c r="L15" s="72"/>
      <x:c r="M15" s="72"/>
      <x:c r="N15" s="72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 ht="36" customHeight="1">
      <x:c r="A16" s="50" t="str">
        <x:v>Δln(TRM)t = c + β1Δln(Brent)t + β2Δln(dólar amplio)t + β3Δln(VIX)t + β4Δln(remesas 12m)t−1 + β5Δ(diferencial de tasas)t−1 + β6Δ(déficit 12m/PIB)t−1 + β7 pandemia + ut</x:v>
      </x:c>
      <x:c r="B16" s="50" t="str">
        <x:v>Δln(TRM)t = c + β1Δln(Brent)t + β2Δln(dólar amplio)t + β3Δln(VIX)t + β4Δln(remesas 12m)t−1 + β5Δ(diferencial de tasas)t−1 + β6Δ(déficit 12m/PIB)t−1 + β7 pandemia + ut</x:v>
      </x:c>
      <x:c r="C16" s="50" t="str">
        <x:v>Δln(TRM)t = c + β1Δln(Brent)t + β2Δln(dólar amplio)t + β3Δln(VIX)t + β4Δln(remesas 12m)t−1 + β5Δ(diferencial de tasas)t−1 + β6Δ(déficit 12m/PIB)t−1 + β7 pandemia + ut</x:v>
      </x:c>
      <x:c r="D16" s="50" t="str">
        <x:v>Δln(TRM)t = c + β1Δln(Brent)t + β2Δln(dólar amplio)t + β3Δln(VIX)t + β4Δln(remesas 12m)t−1 + β5Δ(diferencial de tasas)t−1 + β6Δ(déficit 12m/PIB)t−1 + β7 pandemia + ut</x:v>
      </x:c>
      <x:c r="E16" s="50" t="str">
        <x:v>Δln(TRM)t = c + β1Δln(Brent)t + β2Δln(dólar amplio)t + β3Δln(VIX)t + β4Δln(remesas 12m)t−1 + β5Δ(diferencial de tasas)t−1 + β6Δ(déficit 12m/PIB)t−1 + β7 pandemia + ut</x:v>
      </x:c>
      <x:c r="F16" s="50" t="str">
        <x:v>Δln(TRM)t = c + β1Δln(Brent)t + β2Δln(dólar amplio)t + β3Δln(VIX)t + β4Δln(remesas 12m)t−1 + β5Δ(diferencial de tasas)t−1 + β6Δ(déficit 12m/PIB)t−1 + β7 pandemia + ut</x:v>
      </x:c>
      <x:c r="G16" s="72"/>
      <x:c r="H16" s="72"/>
      <x:c r="I16" s="72"/>
      <x:c r="J16" s="72"/>
      <x:c r="K16" s="72"/>
      <x:c r="L16" s="72"/>
      <x:c r="M16" s="72"/>
      <x:c r="N16" s="72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>
      <x:c r="A17" s="72"/>
      <x:c r="B17" s="72"/>
      <x:c r="C17" s="72"/>
      <x:c r="D17" s="72"/>
      <x:c r="E17" s="72"/>
      <x:c r="F17" s="72"/>
      <x:c r="G17" s="72"/>
      <x:c r="H17" s="72"/>
      <x:c r="I17" s="72"/>
      <x:c r="J17" s="72"/>
      <x:c r="K17" s="72"/>
      <x:c r="L17" s="72"/>
      <x:c r="M17" s="72"/>
      <x:c r="N17" s="72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 ht="22" customHeight="1">
      <x:c r="A18" s="47" t="str">
        <x:v>Lectura de los resultados (asociaciones, no efectos causales)</x:v>
      </x:c>
      <x:c r="B18" s="47" t="str">
        <x:v>Lectura de los resultados (asociaciones, no efectos causales)</x:v>
      </x:c>
      <x:c r="C18" s="47" t="str">
        <x:v>Lectura de los resultados (asociaciones, no efectos causales)</x:v>
      </x:c>
      <x:c r="D18" s="47" t="str">
        <x:v>Lectura de los resultados (asociaciones, no efectos causales)</x:v>
      </x:c>
      <x:c r="E18" s="47" t="str">
        <x:v>Lectura de los resultados (asociaciones, no efectos causales)</x:v>
      </x:c>
      <x:c r="F18" s="47" t="str">
        <x:v>Lectura de los resultados (asociaciones, no efectos causales)</x:v>
      </x:c>
      <x:c r="G18" s="72"/>
      <x:c r="H18" s="72"/>
      <x:c r="I18" s="72"/>
      <x:c r="J18" s="72"/>
      <x:c r="K18" s="72"/>
      <x:c r="L18" s="72"/>
      <x:c r="M18" s="72"/>
      <x:c r="N18" s="72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>
      <x:c r="A19" s="58" t="str">
        <x:v>Variable</x:v>
      </x:c>
      <x:c r="B19" s="58" t="str">
        <x:v>Movimiento ilustrativo</x:v>
      </x:c>
      <x:c r="C19" s="58" t="str">
        <x:v>Efecto aproximado en TRM</x:v>
      </x:c>
      <x:c r="D19" s="58" t="str">
        <x:v>Signo</x:v>
      </x:c>
      <x:c r="E19" s="58" t="str">
        <x:v>p-valor</x:v>
      </x:c>
      <x:c r="F19" s="58" t="str">
        <x:v>Lectura</x:v>
      </x:c>
      <x:c r="G19" s="72"/>
      <x:c r="H19" s="72"/>
      <x:c r="I19" s="72"/>
      <x:c r="J19" s="72"/>
      <x:c r="K19" s="72"/>
      <x:c r="L19" s="72"/>
      <x:c r="M19" s="72"/>
      <x:c r="N19" s="72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>
      <x:c r="A20" s="73" t="str">
        <x:v>Brent</x:v>
      </x:c>
      <x:c r="B20" s="73" t="str">
        <x:v>+10%</x:v>
      </x:c>
      <x:c r="C20" s="73" t="str">
        <x:v>−0,49%</x:v>
      </x:c>
      <x:c r="D20" s="73" t="str">
        <x:v>Aprecia el COP</x:v>
      </x:c>
      <x:c r="E20" s="74" t="n">
        <x:v>0.00019627464502224723</x:v>
      </x:c>
      <x:c r="F20" s="73" t="str">
        <x:v>Consistente con mayor ingreso externo petrolero</x:v>
      </x:c>
      <x:c r="G20" s="72"/>
      <x:c r="H20" s="72"/>
      <x:c r="I20" s="72"/>
      <x:c r="J20" s="72"/>
      <x:c r="K20" s="72"/>
      <x:c r="L20" s="72"/>
      <x:c r="M20" s="72"/>
      <x:c r="N20" s="72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>
      <x:c r="A21" s="73" t="str">
        <x:v>Índice amplio del dólar</x:v>
      </x:c>
      <x:c r="B21" s="73" t="str">
        <x:v>+1%</x:v>
      </x:c>
      <x:c r="C21" s="73" t="str">
        <x:v>+1,22%</x:v>
      </x:c>
      <x:c r="D21" s="73" t="str">
        <x:v>Deprecia el COP</x:v>
      </x:c>
      <x:c r="E21" s="74" t="n">
        <x:v>3.847432891826518e-14</x:v>
      </x:c>
      <x:c r="F21" s="73" t="str">
        <x:v>Es el factor con mayor precisión estadística</x:v>
      </x:c>
      <x:c r="G21" s="72"/>
      <x:c r="H21" s="72"/>
      <x:c r="I21" s="72"/>
      <x:c r="J21" s="72"/>
      <x:c r="K21" s="72"/>
      <x:c r="L21" s="72"/>
      <x:c r="M21" s="72"/>
      <x:c r="N21" s="72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>
      <x:c r="A22" s="73" t="str">
        <x:v>VIX</x:v>
      </x:c>
      <x:c r="B22" s="73" t="str">
        <x:v>+10%</x:v>
      </x:c>
      <x:c r="C22" s="73" t="str">
        <x:v>+0,37%</x:v>
      </x:c>
      <x:c r="D22" s="73" t="str">
        <x:v>Deprecia el COP</x:v>
      </x:c>
      <x:c r="E22" s="74" t="n">
        <x:v>0.000019443514629043627</x:v>
      </x:c>
      <x:c r="F22" s="73" t="str">
        <x:v>Captura episodios globales de aversión al riesgo</x:v>
      </x:c>
      <x:c r="G22" s="72"/>
      <x:c r="H22" s="72"/>
      <x:c r="I22" s="72"/>
      <x:c r="J22" s="72"/>
      <x:c r="K22" s="72"/>
      <x:c r="L22" s="72"/>
      <x:c r="M22" s="72"/>
      <x:c r="N22" s="72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>
      <x:c r="A23" s="73" t="str">
        <x:v>Remesas, acumulado 12m (t−1)</x:v>
      </x:c>
      <x:c r="B23" s="73" t="str">
        <x:v>+10%</x:v>
      </x:c>
      <x:c r="C23" s="73" t="str">
        <x:v>+2,50%</x:v>
      </x:c>
      <x:c r="D23" s="73" t="str">
        <x:v>Deprecia el COP</x:v>
      </x:c>
      <x:c r="E23" s="74" t="n">
        <x:v>0.02410362832983869</x:v>
      </x:c>
      <x:c r="F23" s="73" t="str">
        <x:v>Signo contrario al canal de oferta; probable endogeneidad</x:v>
      </x:c>
      <x:c r="G23" s="72"/>
      <x:c r="H23" s="72"/>
      <x:c r="I23" s="72"/>
      <x:c r="J23" s="72"/>
      <x:c r="K23" s="72"/>
      <x:c r="L23" s="72"/>
      <x:c r="M23" s="72"/>
      <x:c r="N23" s="72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>
      <x:c r="A24" s="73" t="str">
        <x:v>Diferencial tasas CO−EE. UU. (t−1)</x:v>
      </x:c>
      <x:c r="B24" s="73" t="str">
        <x:v>+1 pp</x:v>
      </x:c>
      <x:c r="C24" s="73" t="str">
        <x:v>−0,99%</x:v>
      </x:c>
      <x:c r="D24" s="73" t="str">
        <x:v>Aprecia el COP</x:v>
      </x:c>
      <x:c r="E24" s="74" t="n">
        <x:v>0.03914789710145899</x:v>
      </x:c>
      <x:c r="F24" s="73" t="str">
        <x:v>Compatible con un mayor retorno relativo</x:v>
      </x:c>
      <x:c r="G24" s="72"/>
      <x:c r="H24" s="72"/>
      <x:c r="I24" s="72"/>
      <x:c r="J24" s="72"/>
      <x:c r="K24" s="72"/>
      <x:c r="L24" s="72"/>
      <x:c r="M24" s="72"/>
      <x:c r="N24" s="72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>
      <x:c r="A25" s="73" t="str">
        <x:v>Déficit fiscal 12m/PIB (t−1)</x:v>
      </x:c>
      <x:c r="B25" s="73" t="str">
        <x:v>+1 pp</x:v>
      </x:c>
      <x:c r="C25" s="73" t="str">
        <x:v>+0,43%</x:v>
      </x:c>
      <x:c r="D25" s="73" t="str">
        <x:v>Deprecia el COP</x:v>
      </x:c>
      <x:c r="E25" s="74" t="n">
        <x:v>0.1894360990873046</x:v>
      </x:c>
      <x:c r="F25" s="73" t="str">
        <x:v>Signo esperado, pero estimación imprecisa</x:v>
      </x:c>
      <x:c r="G25" s="72"/>
      <x:c r="H25" s="72"/>
      <x:c r="I25" s="72"/>
      <x:c r="J25" s="72"/>
      <x:c r="K25" s="72"/>
      <x:c r="L25" s="72"/>
      <x:c r="M25" s="72"/>
      <x:c r="N25" s="72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>
      <x:c r="A26" s="73" t="str">
        <x:v>Pandemia, mar–may 2020</x:v>
      </x:c>
      <x:c r="B26" s="73" t="str">
        <x:v>Dummy = 1</x:v>
      </x:c>
      <x:c r="C26" s="73" t="str">
        <x:v>+0,82%</x:v>
      </x:c>
      <x:c r="D26" s="73" t="str">
        <x:v>Deprecia el COP</x:v>
      </x:c>
      <x:c r="E26" s="74" t="n">
        <x:v>0.08415926707536746</x:v>
      </x:c>
      <x:c r="F26" s="73" t="str">
        <x:v>Control de episodio extraordinario</x:v>
      </x:c>
      <x:c r="G26" s="72"/>
      <x:c r="H26" s="72"/>
      <x:c r="I26" s="72"/>
      <x:c r="J26" s="72"/>
      <x:c r="K26" s="72"/>
      <x:c r="L26" s="72"/>
      <x:c r="M26" s="72"/>
      <x:c r="N26" s="72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>
      <x:c r="A27" s="75" t="str">
        <x:v>Conclusión</x:v>
      </x:c>
      <x:c r="B27" s="75" t="str">
        <x:v>—</x:v>
      </x:c>
      <x:c r="C27" s="75" t="str">
        <x:v>—</x:v>
      </x:c>
      <x:c r="D27" s="75" t="str">
        <x:v>—</x:v>
      </x:c>
      <x:c r="E27" s="76"/>
      <x:c r="F27" s="75" t="str">
        <x:v>Dólar global, petróleo y VIX dominan el movimiento mensual</x:v>
      </x:c>
      <x:c r="G27" s="72"/>
      <x:c r="H27" s="72"/>
      <x:c r="I27" s="72"/>
      <x:c r="J27" s="72"/>
      <x:c r="K27" s="72"/>
      <x:c r="L27" s="72"/>
      <x:c r="M27" s="72"/>
      <x:c r="N27" s="72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>
      <x:c r="A28" s="72"/>
      <x:c r="B28" s="72"/>
      <x:c r="C28" s="72"/>
      <x:c r="D28" s="72"/>
      <x:c r="E28" s="72"/>
      <x:c r="F28" s="72"/>
      <x:c r="G28" s="72"/>
      <x:c r="H28" s="72"/>
      <x:c r="I28" s="72"/>
      <x:c r="J28" s="72"/>
      <x:c r="K28" s="72"/>
      <x:c r="L28" s="72"/>
      <x:c r="M28" s="72"/>
      <x:c r="N28" s="72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 ht="22" customHeight="1">
      <x:c r="A29" s="47" t="str">
        <x:v>Alcance y cautelas</x:v>
      </x:c>
      <x:c r="B29" s="47" t="str">
        <x:v>Alcance y cautelas</x:v>
      </x:c>
      <x:c r="C29" s="47" t="str">
        <x:v>Alcance y cautelas</x:v>
      </x:c>
      <x:c r="D29" s="47" t="str">
        <x:v>Alcance y cautelas</x:v>
      </x:c>
      <x:c r="E29" s="47" t="str">
        <x:v>Alcance y cautelas</x:v>
      </x:c>
      <x:c r="F29" s="47" t="str">
        <x:v>Alcance y cautelas</x:v>
      </x:c>
      <x:c r="G29" s="72"/>
      <x:c r="H29" s="72"/>
      <x:c r="I29" s="72"/>
      <x:c r="J29" s="72"/>
      <x:c r="K29" s="72"/>
      <x:c r="L29" s="72"/>
      <x:c r="M29" s="72"/>
      <x:c r="N29" s="72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>
      <x:c r="A30" s="70" t="str">
        <x:v>1</x:v>
      </x:c>
      <x:c r="B30" s="77" t="str">
        <x:v>La regresión identifica asociaciones dinámicas; no demuestra causalidad.</x:v>
      </x:c>
      <x:c r="C30" s="77"/>
      <x:c r="D30" s="77"/>
      <x:c r="E30" s="77"/>
      <x:c r="F30" s="77"/>
      <x:c r="G30" s="72"/>
      <x:c r="H30" s="72"/>
      <x:c r="I30" s="72"/>
      <x:c r="J30" s="72"/>
      <x:c r="K30" s="72"/>
      <x:c r="L30" s="72"/>
      <x:c r="M30" s="72"/>
      <x:c r="N30" s="72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>
      <x:c r="A31" s="70" t="str">
        <x:v>2</x:v>
      </x:c>
      <x:c r="B31" s="77" t="str">
        <x:v>La validación es condicional: usa realizaciones contemporáneas de Brent, dólar amplio y VIX; no equivale a un pronóstico en tiempo real.</x:v>
      </x:c>
      <x:c r="C31" s="77"/>
      <x:c r="D31" s="77"/>
      <x:c r="E31" s="77"/>
      <x:c r="F31" s="77"/>
      <x:c r="G31" s="72"/>
      <x:c r="H31" s="72"/>
      <x:c r="I31" s="72"/>
      <x:c r="J31" s="72"/>
      <x:c r="K31" s="72"/>
      <x:c r="L31" s="72"/>
      <x:c r="M31" s="72"/>
      <x:c r="N31" s="72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>
      <x:c r="A32" s="70" t="str">
        <x:v>3</x:v>
      </x:c>
      <x:c r="B32" s="77" t="str">
        <x:v>Los residuos presentan colas no normales; para inferencia se reportan errores HAC.</x:v>
      </x:c>
      <x:c r="C32" s="77"/>
      <x:c r="D32" s="77"/>
      <x:c r="E32" s="77"/>
      <x:c r="F32" s="77"/>
      <x:c r="G32" s="72"/>
      <x:c r="H32" s="72"/>
      <x:c r="I32" s="72"/>
      <x:c r="J32" s="72"/>
      <x:c r="K32" s="72"/>
      <x:c r="L32" s="72"/>
      <x:c r="M32" s="72"/>
      <x:c r="N32" s="72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>
      <x:c r="A33" s="70" t="str">
        <x:v>4</x:v>
      </x:c>
      <x:c r="B33" s="77" t="str">
        <x:v>El resultado positivo de remesas puede reflejar respuesta de los hogares a depreciaciones u otros shocks simultáneos.</x:v>
      </x:c>
      <x:c r="C33" s="77"/>
      <x:c r="D33" s="77"/>
      <x:c r="E33" s="77"/>
      <x:c r="F33" s="77"/>
      <x:c r="G33" s="72"/>
      <x:c r="H33" s="72"/>
      <x:c r="I33" s="72"/>
      <x:c r="J33" s="72"/>
      <x:c r="K33" s="72"/>
      <x:c r="L33" s="72"/>
      <x:c r="M33" s="72"/>
      <x:c r="N33" s="72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>
      <x:c r="A34" s="70" t="str">
        <x:v>5</x:v>
      </x:c>
      <x:c r="B34" s="77" t="str">
        <x:v>La prueba bounds no confirma cointegración al 5%; el ECM se muestra solo como contraste exploratorio.</x:v>
      </x:c>
      <x:c r="C34" s="77"/>
      <x:c r="D34" s="77"/>
      <x:c r="E34" s="77"/>
      <x:c r="F34" s="77"/>
      <x:c r="G34" s="72"/>
      <x:c r="H34" s="72"/>
      <x:c r="I34" s="72"/>
      <x:c r="J34" s="72"/>
      <x:c r="K34" s="72"/>
      <x:c r="L34" s="72"/>
      <x:c r="M34" s="72"/>
      <x:c r="N34" s="72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>
      <x:c r="A35" s="70" t="str">
        <x:v>6</x:v>
      </x:c>
      <x:c r="B35" s="77" t="str">
        <x:v>El déficit fiscal tiene el signo esperado, pero su p-valor de 0,189 no permite afirmar un efecto distinto de cero al 5%.</x:v>
      </x:c>
      <x:c r="C35" s="77"/>
      <x:c r="D35" s="77"/>
      <x:c r="E35" s="77"/>
      <x:c r="F35" s="77"/>
      <x:c r="G35" s="72"/>
      <x:c r="H35" s="72"/>
      <x:c r="I35" s="72"/>
      <x:c r="J35" s="72"/>
      <x:c r="K35" s="72"/>
      <x:c r="L35" s="72"/>
      <x:c r="M35" s="72"/>
      <x:c r="N35" s="72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>
      <x:c r="A36" s="72"/>
      <x:c r="B36" s="72"/>
      <x:c r="C36" s="72"/>
      <x:c r="D36" s="72"/>
      <x:c r="E36" s="72"/>
      <x:c r="F36" s="72"/>
      <x:c r="G36" s="72"/>
      <x:c r="H36" s="72"/>
      <x:c r="I36" s="72"/>
      <x:c r="J36" s="72"/>
      <x:c r="K36" s="72"/>
      <x:c r="L36" s="72"/>
      <x:c r="M36" s="72"/>
      <x:c r="N36" s="72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>
      <x:c r="A37" s="72"/>
      <x:c r="B37" s="72"/>
      <x:c r="C37" s="72"/>
      <x:c r="D37" s="72"/>
      <x:c r="E37" s="72"/>
      <x:c r="F37" s="72"/>
      <x:c r="G37" s="72"/>
      <x:c r="H37" s="54" t="str">
        <x:v>Mes</x:v>
      </x:c>
      <x:c r="I37" s="54" t="str">
        <x:v>TRM observada</x:v>
      </x:c>
      <x:c r="J37" s="54" t="str">
        <x:v>TRM ajustada</x:v>
      </x:c>
      <x:c r="K37" s="72"/>
      <x:c r="L37" s="72"/>
      <x:c r="M37" s="72"/>
      <x:c r="N37" s="72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>
      <x:c r="A38" s="72"/>
      <x:c r="B38" s="72"/>
      <x:c r="C38" s="72"/>
      <x:c r="D38" s="72"/>
      <x:c r="E38" s="72"/>
      <x:c r="F38" s="72"/>
      <x:c r="G38" s="72"/>
      <x:c r="H38" s="72" t="str">
        <x:f>'Modelo_principal'!A18</x:f>
        <x:v>2006-05</x:v>
      </x:c>
      <x:c r="I38" s="78" t="n">
        <x:f>'Modelo_principal'!M18</x:f>
        <x:v>2418.649355</x:v>
      </x:c>
      <x:c r="J38" s="78" t="n">
        <x:f>'Modelo_principal'!N18</x:f>
        <x:v>2304.647015670126</x:v>
      </x:c>
      <x:c r="K38" s="72"/>
      <x:c r="L38" s="72"/>
      <x:c r="M38" s="72"/>
      <x:c r="N38" s="72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>
      <x:c r="A39" s="72"/>
      <x:c r="B39" s="72"/>
      <x:c r="C39" s="72"/>
      <x:c r="D39" s="72"/>
      <x:c r="E39" s="72"/>
      <x:c r="F39" s="72"/>
      <x:c r="G39" s="72"/>
      <x:c r="H39" s="72" t="str">
        <x:f>'Modelo_principal'!A30</x:f>
        <x:v>2007-05</x:v>
      </x:c>
      <x:c r="I39" s="78" t="n">
        <x:f>'Modelo_principal'!M30</x:f>
        <x:v>2009.415484</x:v>
      </x:c>
      <x:c r="J39" s="78" t="n">
        <x:f>'Modelo_principal'!N30</x:f>
        <x:v>2120.0840560403044</x:v>
      </x:c>
      <x:c r="K39" s="72"/>
      <x:c r="L39" s="72"/>
      <x:c r="M39" s="72"/>
      <x:c r="N39" s="72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>
      <x:c r="A40" s="72"/>
      <x:c r="B40" s="72"/>
      <x:c r="C40" s="72"/>
      <x:c r="D40" s="72"/>
      <x:c r="E40" s="72"/>
      <x:c r="F40" s="72"/>
      <x:c r="G40" s="72"/>
      <x:c r="H40" s="72" t="str">
        <x:f>'Modelo_principal'!A42</x:f>
        <x:v>2008-05</x:v>
      </x:c>
      <x:c r="I40" s="78" t="n">
        <x:f>'Modelo_principal'!M42</x:f>
        <x:v>1775.156129</x:v>
      </x:c>
      <x:c r="J40" s="78" t="n">
        <x:f>'Modelo_principal'!N42</x:f>
        <x:v>1776.938175392384</x:v>
      </x:c>
      <x:c r="K40" s="72"/>
      <x:c r="L40" s="72"/>
      <x:c r="M40" s="72"/>
      <x:c r="N40" s="72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>
      <x:c r="A41" s="72"/>
      <x:c r="B41" s="72"/>
      <x:c r="C41" s="72"/>
      <x:c r="D41" s="72"/>
      <x:c r="E41" s="72"/>
      <x:c r="F41" s="72"/>
      <x:c r="G41" s="72"/>
      <x:c r="H41" s="72" t="str">
        <x:f>'Modelo_principal'!A54</x:f>
        <x:v>2009-05</x:v>
      </x:c>
      <x:c r="I41" s="78" t="n">
        <x:f>'Modelo_principal'!M54</x:f>
        <x:v>2227.317742</x:v>
      </x:c>
      <x:c r="J41" s="78" t="n">
        <x:f>'Modelo_principal'!N54</x:f>
        <x:v>2257.3664729427514</x:v>
      </x:c>
      <x:c r="K41" s="72"/>
      <x:c r="L41" s="72"/>
      <x:c r="M41" s="72"/>
      <x:c r="N41" s="72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>
      <x:c r="A42" s="72"/>
      <x:c r="B42" s="72"/>
      <x:c r="C42" s="72"/>
      <x:c r="D42" s="72"/>
      <x:c r="E42" s="72"/>
      <x:c r="F42" s="72"/>
      <x:c r="G42" s="72"/>
      <x:c r="H42" s="72" t="str">
        <x:f>'Modelo_principal'!A66</x:f>
        <x:v>2010-05</x:v>
      </x:c>
      <x:c r="I42" s="78" t="n">
        <x:f>'Modelo_principal'!M66</x:f>
        <x:v>1983.593226</x:v>
      </x:c>
      <x:c r="J42" s="78" t="n">
        <x:f>'Modelo_principal'!N66</x:f>
        <x:v>2071.5626756355246</x:v>
      </x:c>
      <x:c r="K42" s="72"/>
      <x:c r="L42" s="72"/>
      <x:c r="M42" s="72"/>
      <x:c r="N42" s="72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>
      <x:c r="A43" s="72"/>
      <x:c r="B43" s="72"/>
      <x:c r="C43" s="72"/>
      <x:c r="D43" s="72"/>
      <x:c r="E43" s="72"/>
      <x:c r="F43" s="72"/>
      <x:c r="G43" s="72"/>
      <x:c r="H43" s="72" t="str">
        <x:f>'Modelo_principal'!A78</x:f>
        <x:v>2011-05</x:v>
      </x:c>
      <x:c r="I43" s="78" t="n">
        <x:f>'Modelo_principal'!M78</x:f>
        <x:v>1800.50871</x:v>
      </x:c>
      <x:c r="J43" s="78" t="n">
        <x:f>'Modelo_principal'!N78</x:f>
        <x:v>1809.5286687191576</x:v>
      </x:c>
      <x:c r="K43" s="72"/>
      <x:c r="L43" s="72"/>
      <x:c r="M43" s="72"/>
      <x:c r="N43" s="72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>
      <x:c r="A44" s="72"/>
      <x:c r="B44" s="72"/>
      <x:c r="C44" s="72"/>
      <x:c r="D44" s="72"/>
      <x:c r="E44" s="72"/>
      <x:c r="F44" s="72"/>
      <x:c r="G44" s="72"/>
      <x:c r="H44" s="72" t="str">
        <x:f>'Modelo_principal'!A90</x:f>
        <x:v>2012-05</x:v>
      </x:c>
      <x:c r="I44" s="78" t="n">
        <x:f>'Modelo_principal'!M90</x:f>
        <x:v>1793.276774</x:v>
      </x:c>
      <x:c r="J44" s="78" t="n">
        <x:f>'Modelo_principal'!N90</x:f>
        <x:v>1828.32084747434</x:v>
      </x:c>
      <x:c r="K44" s="72"/>
      <x:c r="L44" s="72"/>
      <x:c r="M44" s="72"/>
      <x:c r="N44" s="72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>
      <x:c r="A45" s="72"/>
      <x:c r="B45" s="72"/>
      <x:c r="C45" s="72"/>
      <x:c r="D45" s="72"/>
      <x:c r="E45" s="72"/>
      <x:c r="F45" s="72"/>
      <x:c r="G45" s="72"/>
      <x:c r="H45" s="72" t="str">
        <x:f>'Modelo_principal'!A102</x:f>
        <x:v>2013-05</x:v>
      </x:c>
      <x:c r="I45" s="78" t="n">
        <x:f>'Modelo_principal'!M102</x:f>
        <x:v>1847.92129</x:v>
      </x:c>
      <x:c r="J45" s="78" t="n">
        <x:f>'Modelo_principal'!N102</x:f>
        <x:v>1859.1066349959638</x:v>
      </x:c>
      <x:c r="K45" s="72"/>
      <x:c r="L45" s="72"/>
      <x:c r="M45" s="72"/>
      <x:c r="N45" s="72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>
      <x:c r="A46" s="72"/>
      <x:c r="B46" s="72"/>
      <x:c r="C46" s="72"/>
      <x:c r="D46" s="72"/>
      <x:c r="E46" s="72"/>
      <x:c r="F46" s="72"/>
      <x:c r="G46" s="72"/>
      <x:c r="H46" s="72" t="str">
        <x:f>'Modelo_principal'!A114</x:f>
        <x:v>2014-05</x:v>
      </x:c>
      <x:c r="I46" s="78" t="n">
        <x:f>'Modelo_principal'!M114</x:f>
        <x:v>1915.360968</x:v>
      </x:c>
      <x:c r="J46" s="78" t="n">
        <x:f>'Modelo_principal'!N114</x:f>
        <x:v>1911.3236328498701</x:v>
      </x:c>
      <x:c r="K46" s="72"/>
      <x:c r="L46" s="72"/>
      <x:c r="M46" s="72"/>
      <x:c r="N46" s="72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>
      <x:c r="A47" s="72"/>
      <x:c r="B47" s="72"/>
      <x:c r="C47" s="72"/>
      <x:c r="D47" s="72"/>
      <x:c r="E47" s="72"/>
      <x:c r="F47" s="72"/>
      <x:c r="G47" s="72"/>
      <x:c r="H47" s="72" t="str">
        <x:f>'Modelo_principal'!A126</x:f>
        <x:v>2015-05</x:v>
      </x:c>
      <x:c r="I47" s="78" t="n">
        <x:f>'Modelo_principal'!M126</x:f>
        <x:v>2437.535161</x:v>
      </x:c>
      <x:c r="J47" s="78" t="n">
        <x:f>'Modelo_principal'!N126</x:f>
        <x:v>2472.6599791808585</x:v>
      </x:c>
      <x:c r="K47" s="72"/>
      <x:c r="L47" s="72"/>
      <x:c r="M47" s="72"/>
      <x:c r="N47" s="72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>
      <x:c r="A48" s="72"/>
      <x:c r="B48" s="72"/>
      <x:c r="C48" s="72"/>
      <x:c r="D48" s="72"/>
      <x:c r="E48" s="72"/>
      <x:c r="F48" s="72"/>
      <x:c r="G48" s="72"/>
      <x:c r="H48" s="72" t="str">
        <x:f>'Modelo_principal'!A138</x:f>
        <x:v>2016-05</x:v>
      </x:c>
      <x:c r="I48" s="78" t="n">
        <x:f>'Modelo_principal'!M138</x:f>
        <x:v>2993.508387</x:v>
      </x:c>
      <x:c r="J48" s="78" t="n">
        <x:f>'Modelo_principal'!N138</x:f>
        <x:v>3026.3463937234837</x:v>
      </x:c>
      <x:c r="K48" s="72"/>
      <x:c r="L48" s="72"/>
      <x:c r="M48" s="72"/>
      <x:c r="N48" s="72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>
      <x:c r="A49" s="72"/>
      <x:c r="B49" s="72"/>
      <x:c r="C49" s="72"/>
      <x:c r="D49" s="72"/>
      <x:c r="E49" s="72"/>
      <x:c r="F49" s="72"/>
      <x:c r="G49" s="72"/>
      <x:c r="H49" s="72" t="str">
        <x:f>'Modelo_principal'!A150</x:f>
        <x:v>2017-05</x:v>
      </x:c>
      <x:c r="I49" s="78" t="n">
        <x:f>'Modelo_principal'!M150</x:f>
        <x:v>2923.612903</x:v>
      </x:c>
      <x:c r="J49" s="78" t="n">
        <x:f>'Modelo_principal'!N150</x:f>
        <x:v>2852.2611558891167</x:v>
      </x:c>
      <x:c r="K49" s="72"/>
      <x:c r="L49" s="72"/>
      <x:c r="M49" s="72"/>
      <x:c r="N49" s="72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>
      <x:c r="A50" s="72"/>
      <x:c r="B50" s="72"/>
      <x:c r="C50" s="72"/>
      <x:c r="D50" s="72"/>
      <x:c r="E50" s="72"/>
      <x:c r="F50" s="72"/>
      <x:c r="G50" s="72"/>
      <x:c r="H50" s="72" t="str">
        <x:f>'Modelo_principal'!A162</x:f>
        <x:v>2018-05</x:v>
      </x:c>
      <x:c r="I50" s="78" t="n">
        <x:f>'Modelo_principal'!M162</x:f>
        <x:v>2861.825806</x:v>
      </x:c>
      <x:c r="J50" s="78" t="n">
        <x:f>'Modelo_principal'!N162</x:f>
        <x:v>2850.0031100428205</x:v>
      </x:c>
      <x:c r="K50" s="72"/>
      <x:c r="L50" s="72"/>
      <x:c r="M50" s="72"/>
      <x:c r="N50" s="72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>
      <x:c r="A51" s="72"/>
      <x:c r="B51" s="72"/>
      <x:c r="C51" s="72"/>
      <x:c r="D51" s="72"/>
      <x:c r="E51" s="72"/>
      <x:c r="F51" s="72"/>
      <x:c r="G51" s="72"/>
      <x:c r="H51" s="72" t="str">
        <x:f>'Modelo_principal'!A174</x:f>
        <x:v>2019-05</x:v>
      </x:c>
      <x:c r="I51" s="78" t="n">
        <x:f>'Modelo_principal'!M174</x:f>
        <x:v>3304.494516</x:v>
      </x:c>
      <x:c r="J51" s="78" t="n">
        <x:f>'Modelo_principal'!N174</x:f>
        <x:v>3225.2593772962546</x:v>
      </x:c>
      <x:c r="K51" s="72"/>
      <x:c r="L51" s="72"/>
      <x:c r="M51" s="72"/>
      <x:c r="N51" s="72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>
      <x:c r="A52" s="72"/>
      <x:c r="B52" s="72"/>
      <x:c r="C52" s="72"/>
      <x:c r="D52" s="72"/>
      <x:c r="E52" s="72"/>
      <x:c r="F52" s="72"/>
      <x:c r="G52" s="72"/>
      <x:c r="H52" s="72" t="str">
        <x:f>'Modelo_principal'!A186</x:f>
        <x:v>2020-05</x:v>
      </x:c>
      <x:c r="I52" s="78" t="n">
        <x:f>'Modelo_principal'!M186</x:f>
        <x:v>3858.191613</x:v>
      </x:c>
      <x:c r="J52" s="78" t="n">
        <x:f>'Modelo_principal'!N186</x:f>
        <x:v>3818.2946632891867</x:v>
      </x:c>
      <x:c r="K52" s="72"/>
      <x:c r="L52" s="72"/>
      <x:c r="M52" s="72"/>
      <x:c r="N52" s="72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>
      <x:c r="A53" s="72"/>
      <x:c r="B53" s="72"/>
      <x:c r="C53" s="72"/>
      <x:c r="D53" s="72"/>
      <x:c r="E53" s="72"/>
      <x:c r="F53" s="72"/>
      <x:c r="G53" s="72"/>
      <x:c r="H53" s="72" t="str">
        <x:f>'Modelo_principal'!A198</x:f>
        <x:v>2021-05</x:v>
      </x:c>
      <x:c r="I53" s="78" t="n">
        <x:f>'Modelo_principal'!M198</x:f>
        <x:v>3735.666129</x:v>
      </x:c>
      <x:c r="J53" s="78" t="n">
        <x:f>'Modelo_principal'!N198</x:f>
        <x:v>3644.0558323059327</x:v>
      </x:c>
      <x:c r="K53" s="72"/>
      <x:c r="L53" s="72"/>
      <x:c r="M53" s="72"/>
      <x:c r="N53" s="72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>
      <x:c r="A54" s="72"/>
      <x:c r="B54" s="72"/>
      <x:c r="C54" s="72"/>
      <x:c r="D54" s="72"/>
      <x:c r="E54" s="72"/>
      <x:c r="F54" s="72"/>
      <x:c r="G54" s="72"/>
      <x:c r="H54" s="72" t="str">
        <x:f>'Modelo_principal'!A210</x:f>
        <x:v>2022-05</x:v>
      </x:c>
      <x:c r="I54" s="78" t="n">
        <x:f>'Modelo_principal'!M210</x:f>
        <x:v>4019.079355</x:v>
      </x:c>
      <x:c r="J54" s="78" t="n">
        <x:f>'Modelo_principal'!N210</x:f>
        <x:v>3867.602623542247</x:v>
      </x:c>
      <x:c r="K54" s="72"/>
      <x:c r="L54" s="72"/>
      <x:c r="M54" s="72"/>
      <x:c r="N54" s="72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>
      <x:c r="A55" s="72"/>
      <x:c r="B55" s="72"/>
      <x:c r="C55" s="72"/>
      <x:c r="D55" s="72"/>
      <x:c r="E55" s="72"/>
      <x:c r="F55" s="72"/>
      <x:c r="G55" s="72"/>
      <x:c r="H55" s="72" t="str">
        <x:f>'Modelo_principal'!A222</x:f>
        <x:v>2023-05</x:v>
      </x:c>
      <x:c r="I55" s="78" t="n">
        <x:f>'Modelo_principal'!M222</x:f>
        <x:v>4540.089032</x:v>
      </x:c>
      <x:c r="J55" s="78" t="n">
        <x:f>'Modelo_principal'!N222</x:f>
        <x:v>4571.162417651084</x:v>
      </x:c>
      <x:c r="K55" s="72"/>
      <x:c r="L55" s="72"/>
      <x:c r="M55" s="72"/>
      <x:c r="N55" s="72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>
      <x:c r="A56" s="72"/>
      <x:c r="B56" s="72"/>
      <x:c r="C56" s="72"/>
      <x:c r="D56" s="72"/>
      <x:c r="E56" s="72"/>
      <x:c r="F56" s="72"/>
      <x:c r="G56" s="72"/>
      <x:c r="H56" s="72" t="str">
        <x:f>'Modelo_principal'!A234</x:f>
        <x:v>2024-05</x:v>
      </x:c>
      <x:c r="I56" s="78" t="n">
        <x:f>'Modelo_principal'!M234</x:f>
        <x:v>3869.100645</x:v>
      </x:c>
      <x:c r="J56" s="78" t="n">
        <x:f>'Modelo_principal'!N234</x:f>
        <x:v>3901.358819101147</x:v>
      </x:c>
      <x:c r="K56" s="72"/>
      <x:c r="L56" s="72"/>
      <x:c r="M56" s="72"/>
      <x:c r="N56" s="72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>
      <x:c r="A57" s="72"/>
      <x:c r="B57" s="72"/>
      <x:c r="C57" s="72"/>
      <x:c r="D57" s="72"/>
      <x:c r="E57" s="72"/>
      <x:c r="F57" s="72"/>
      <x:c r="G57" s="72"/>
      <x:c r="H57" s="72" t="str">
        <x:f>'Modelo_principal'!A246</x:f>
        <x:v>2025-05</x:v>
      </x:c>
      <x:c r="I57" s="78" t="n">
        <x:f>'Modelo_principal'!M246</x:f>
        <x:v>4203.377097</x:v>
      </x:c>
      <x:c r="J57" s="78" t="n">
        <x:f>'Modelo_principal'!N246</x:f>
        <x:v>4153.232440736634</x:v>
      </x:c>
      <x:c r="K57" s="72"/>
      <x:c r="L57" s="72"/>
      <x:c r="M57" s="72"/>
      <x:c r="N57" s="72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>
      <x:c r="A58" s="72"/>
      <x:c r="B58" s="72"/>
      <x:c r="C58" s="72"/>
      <x:c r="D58" s="72"/>
      <x:c r="E58" s="72"/>
      <x:c r="F58" s="72"/>
      <x:c r="G58" s="72"/>
      <x:c r="H58" s="72" t="str">
        <x:f>'Modelo_principal'!A257</x:f>
        <x:v>2026-04</x:v>
      </x:c>
      <x:c r="I58" s="78" t="n">
        <x:f>'Modelo_principal'!M257</x:f>
        <x:v>3617.518667</x:v>
      </x:c>
      <x:c r="J58" s="78" t="n">
        <x:f>'Modelo_principal'!N257</x:f>
        <x:v>3626.696007044202</x:v>
      </x:c>
      <x:c r="K58" s="72"/>
      <x:c r="L58" s="72"/>
      <x:c r="M58" s="72"/>
      <x:c r="N58" s="72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  <x:c r="P101" s="1"/>
      <x:c r="Q101" s="1"/>
      <x:c r="R101" s="1"/>
      <x:c r="S101" s="1"/>
      <x:c r="T101" s="1"/>
      <x:c r="U101" s="1"/>
      <x:c r="V101" s="1"/>
      <x:c r="W101" s="1"/>
      <x:c r="X101" s="1"/>
      <x:c r="Y101" s="1"/>
      <x:c r="Z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  <x:c r="P102" s="1"/>
      <x:c r="Q102" s="1"/>
      <x:c r="R102" s="1"/>
      <x:c r="S102" s="1"/>
      <x:c r="T102" s="1"/>
      <x:c r="U102" s="1"/>
      <x:c r="V102" s="1"/>
      <x:c r="W102" s="1"/>
      <x:c r="X102" s="1"/>
      <x:c r="Y102" s="1"/>
      <x:c r="Z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  <x:c r="P103" s="1"/>
      <x:c r="Q103" s="1"/>
      <x:c r="R103" s="1"/>
      <x:c r="S103" s="1"/>
      <x:c r="T103" s="1"/>
      <x:c r="U103" s="1"/>
      <x:c r="V103" s="1"/>
      <x:c r="W103" s="1"/>
      <x:c r="X103" s="1"/>
      <x:c r="Y103" s="1"/>
      <x:c r="Z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  <x:c r="P104" s="1"/>
      <x:c r="Q104" s="1"/>
      <x:c r="R104" s="1"/>
      <x:c r="S104" s="1"/>
      <x:c r="T104" s="1"/>
      <x:c r="U104" s="1"/>
      <x:c r="V104" s="1"/>
      <x:c r="W104" s="1"/>
      <x:c r="X104" s="1"/>
      <x:c r="Y104" s="1"/>
      <x:c r="Z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  <x:c r="P105" s="1"/>
      <x:c r="Q105" s="1"/>
      <x:c r="R105" s="1"/>
      <x:c r="S105" s="1"/>
      <x:c r="T105" s="1"/>
      <x:c r="U105" s="1"/>
      <x:c r="V105" s="1"/>
      <x:c r="W105" s="1"/>
      <x:c r="X105" s="1"/>
      <x:c r="Y105" s="1"/>
      <x:c r="Z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  <x:c r="P106" s="1"/>
      <x:c r="Q106" s="1"/>
      <x:c r="R106" s="1"/>
      <x:c r="S106" s="1"/>
      <x:c r="T106" s="1"/>
      <x:c r="U106" s="1"/>
      <x:c r="V106" s="1"/>
      <x:c r="W106" s="1"/>
      <x:c r="X106" s="1"/>
      <x:c r="Y106" s="1"/>
      <x:c r="Z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  <x:c r="P107" s="1"/>
      <x:c r="Q107" s="1"/>
      <x:c r="R107" s="1"/>
      <x:c r="S107" s="1"/>
      <x:c r="T107" s="1"/>
      <x:c r="U107" s="1"/>
      <x:c r="V107" s="1"/>
      <x:c r="W107" s="1"/>
      <x:c r="X107" s="1"/>
      <x:c r="Y107" s="1"/>
      <x:c r="Z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  <x:c r="P108" s="1"/>
      <x:c r="Q108" s="1"/>
      <x:c r="R108" s="1"/>
      <x:c r="S108" s="1"/>
      <x:c r="T108" s="1"/>
      <x:c r="U108" s="1"/>
      <x:c r="V108" s="1"/>
      <x:c r="W108" s="1"/>
      <x:c r="X108" s="1"/>
      <x:c r="Y108" s="1"/>
      <x:c r="Z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  <x:c r="P109" s="1"/>
      <x:c r="Q109" s="1"/>
      <x:c r="R109" s="1"/>
      <x:c r="S109" s="1"/>
      <x:c r="T109" s="1"/>
      <x:c r="U109" s="1"/>
      <x:c r="V109" s="1"/>
      <x:c r="W109" s="1"/>
      <x:c r="X109" s="1"/>
      <x:c r="Y109" s="1"/>
      <x:c r="Z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  <x:c r="P110" s="1"/>
      <x:c r="Q110" s="1"/>
      <x:c r="R110" s="1"/>
      <x:c r="S110" s="1"/>
      <x:c r="T110" s="1"/>
      <x:c r="U110" s="1"/>
      <x:c r="V110" s="1"/>
      <x:c r="W110" s="1"/>
      <x:c r="X110" s="1"/>
      <x:c r="Y110" s="1"/>
      <x:c r="Z110" s="1"/>
    </x:row>
    <x:row r="11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  <x:c r="P111" s="1"/>
      <x:c r="Q111" s="1"/>
      <x:c r="R111" s="1"/>
      <x:c r="S111" s="1"/>
      <x:c r="T111" s="1"/>
      <x:c r="U111" s="1"/>
      <x:c r="V111" s="1"/>
      <x:c r="W111" s="1"/>
      <x:c r="X111" s="1"/>
      <x:c r="Y111" s="1"/>
      <x:c r="Z111" s="1"/>
    </x:row>
    <x:row r="112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  <x:c r="P112" s="1"/>
      <x:c r="Q112" s="1"/>
      <x:c r="R112" s="1"/>
      <x:c r="S112" s="1"/>
      <x:c r="T112" s="1"/>
      <x:c r="U112" s="1"/>
      <x:c r="V112" s="1"/>
      <x:c r="W112" s="1"/>
      <x:c r="X112" s="1"/>
      <x:c r="Y112" s="1"/>
      <x:c r="Z112" s="1"/>
    </x:row>
    <x:row r="113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  <x:c r="P113" s="1"/>
      <x:c r="Q113" s="1"/>
      <x:c r="R113" s="1"/>
      <x:c r="S113" s="1"/>
      <x:c r="T113" s="1"/>
      <x:c r="U113" s="1"/>
      <x:c r="V113" s="1"/>
      <x:c r="W113" s="1"/>
      <x:c r="X113" s="1"/>
      <x:c r="Y113" s="1"/>
      <x:c r="Z113" s="1"/>
    </x:row>
    <x:row r="114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  <x:c r="P114" s="1"/>
      <x:c r="Q114" s="1"/>
      <x:c r="R114" s="1"/>
      <x:c r="S114" s="1"/>
      <x:c r="T114" s="1"/>
      <x:c r="U114" s="1"/>
      <x:c r="V114" s="1"/>
      <x:c r="W114" s="1"/>
      <x:c r="X114" s="1"/>
      <x:c r="Y114" s="1"/>
      <x:c r="Z114" s="1"/>
    </x:row>
    <x:row r="115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  <x:c r="P115" s="1"/>
      <x:c r="Q115" s="1"/>
      <x:c r="R115" s="1"/>
      <x:c r="S115" s="1"/>
      <x:c r="T115" s="1"/>
      <x:c r="U115" s="1"/>
      <x:c r="V115" s="1"/>
      <x:c r="W115" s="1"/>
      <x:c r="X115" s="1"/>
      <x:c r="Y115" s="1"/>
      <x:c r="Z115" s="1"/>
    </x:row>
    <x:row r="116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  <x:c r="P116" s="1"/>
      <x:c r="Q116" s="1"/>
      <x:c r="R116" s="1"/>
      <x:c r="S116" s="1"/>
      <x:c r="T116" s="1"/>
      <x:c r="U116" s="1"/>
      <x:c r="V116" s="1"/>
      <x:c r="W116" s="1"/>
      <x:c r="X116" s="1"/>
      <x:c r="Y116" s="1"/>
      <x:c r="Z116" s="1"/>
    </x:row>
    <x:row r="117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  <x:c r="P117" s="1"/>
      <x:c r="Q117" s="1"/>
      <x:c r="R117" s="1"/>
      <x:c r="S117" s="1"/>
      <x:c r="T117" s="1"/>
      <x:c r="U117" s="1"/>
      <x:c r="V117" s="1"/>
      <x:c r="W117" s="1"/>
      <x:c r="X117" s="1"/>
      <x:c r="Y117" s="1"/>
      <x:c r="Z117" s="1"/>
    </x:row>
    <x:row r="118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  <x:c r="P118" s="1"/>
      <x:c r="Q118" s="1"/>
      <x:c r="R118" s="1"/>
      <x:c r="S118" s="1"/>
      <x:c r="T118" s="1"/>
      <x:c r="U118" s="1"/>
      <x:c r="V118" s="1"/>
      <x:c r="W118" s="1"/>
      <x:c r="X118" s="1"/>
      <x:c r="Y118" s="1"/>
      <x:c r="Z118" s="1"/>
    </x:row>
    <x:row r="119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  <x:c r="P119" s="1"/>
      <x:c r="Q119" s="1"/>
      <x:c r="R119" s="1"/>
      <x:c r="S119" s="1"/>
      <x:c r="T119" s="1"/>
      <x:c r="U119" s="1"/>
      <x:c r="V119" s="1"/>
      <x:c r="W119" s="1"/>
      <x:c r="X119" s="1"/>
      <x:c r="Y119" s="1"/>
      <x:c r="Z119" s="1"/>
    </x:row>
    <x:row r="12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  <x:c r="P120" s="1"/>
      <x:c r="Q120" s="1"/>
      <x:c r="R120" s="1"/>
      <x:c r="S120" s="1"/>
      <x:c r="T120" s="1"/>
      <x:c r="U120" s="1"/>
      <x:c r="V120" s="1"/>
      <x:c r="W120" s="1"/>
      <x:c r="X120" s="1"/>
      <x:c r="Y120" s="1"/>
      <x:c r="Z120" s="1"/>
    </x:row>
    <x:row r="12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1"/>
      <x:c r="O121" s="1"/>
      <x:c r="P121" s="1"/>
      <x:c r="Q121" s="1"/>
      <x:c r="R121" s="1"/>
      <x:c r="S121" s="1"/>
      <x:c r="T121" s="1"/>
      <x:c r="U121" s="1"/>
      <x:c r="V121" s="1"/>
      <x:c r="W121" s="1"/>
      <x:c r="X121" s="1"/>
      <x:c r="Y121" s="1"/>
      <x:c r="Z121" s="1"/>
    </x:row>
    <x:row r="122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1"/>
      <x:c r="O122" s="1"/>
      <x:c r="P122" s="1"/>
      <x:c r="Q122" s="1"/>
      <x:c r="R122" s="1"/>
      <x:c r="S122" s="1"/>
      <x:c r="T122" s="1"/>
      <x:c r="U122" s="1"/>
      <x:c r="V122" s="1"/>
      <x:c r="W122" s="1"/>
      <x:c r="X122" s="1"/>
      <x:c r="Y122" s="1"/>
      <x:c r="Z122" s="1"/>
    </x:row>
    <x:row r="123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1"/>
      <x:c r="O123" s="1"/>
      <x:c r="P123" s="1"/>
      <x:c r="Q123" s="1"/>
      <x:c r="R123" s="1"/>
      <x:c r="S123" s="1"/>
      <x:c r="T123" s="1"/>
      <x:c r="U123" s="1"/>
      <x:c r="V123" s="1"/>
      <x:c r="W123" s="1"/>
      <x:c r="X123" s="1"/>
      <x:c r="Y123" s="1"/>
      <x:c r="Z123" s="1"/>
    </x:row>
    <x:row r="124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1"/>
      <x:c r="O124" s="1"/>
      <x:c r="P124" s="1"/>
      <x:c r="Q124" s="1"/>
      <x:c r="R124" s="1"/>
      <x:c r="S124" s="1"/>
      <x:c r="T124" s="1"/>
      <x:c r="U124" s="1"/>
      <x:c r="V124" s="1"/>
      <x:c r="W124" s="1"/>
      <x:c r="X124" s="1"/>
      <x:c r="Y124" s="1"/>
      <x:c r="Z124" s="1"/>
    </x:row>
    <x:row r="125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1"/>
      <x:c r="O125" s="1"/>
      <x:c r="P125" s="1"/>
      <x:c r="Q125" s="1"/>
      <x:c r="R125" s="1"/>
      <x:c r="S125" s="1"/>
      <x:c r="T125" s="1"/>
      <x:c r="U125" s="1"/>
      <x:c r="V125" s="1"/>
      <x:c r="W125" s="1"/>
      <x:c r="X125" s="1"/>
      <x:c r="Y125" s="1"/>
      <x:c r="Z125" s="1"/>
    </x:row>
    <x:row r="126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  <x:c r="O126" s="1"/>
      <x:c r="P126" s="1"/>
      <x:c r="Q126" s="1"/>
      <x:c r="R126" s="1"/>
      <x:c r="S126" s="1"/>
      <x:c r="T126" s="1"/>
      <x:c r="U126" s="1"/>
      <x:c r="V126" s="1"/>
      <x:c r="W126" s="1"/>
      <x:c r="X126" s="1"/>
      <x:c r="Y126" s="1"/>
      <x:c r="Z126" s="1"/>
    </x:row>
    <x:row r="127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  <x:c r="O127" s="1"/>
      <x:c r="P127" s="1"/>
      <x:c r="Q127" s="1"/>
      <x:c r="R127" s="1"/>
      <x:c r="S127" s="1"/>
      <x:c r="T127" s="1"/>
      <x:c r="U127" s="1"/>
      <x:c r="V127" s="1"/>
      <x:c r="W127" s="1"/>
      <x:c r="X127" s="1"/>
      <x:c r="Y127" s="1"/>
      <x:c r="Z127" s="1"/>
    </x:row>
    <x:row r="128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  <x:c r="O128" s="1"/>
      <x:c r="P128" s="1"/>
      <x:c r="Q128" s="1"/>
      <x:c r="R128" s="1"/>
      <x:c r="S128" s="1"/>
      <x:c r="T128" s="1"/>
      <x:c r="U128" s="1"/>
      <x:c r="V128" s="1"/>
      <x:c r="W128" s="1"/>
      <x:c r="X128" s="1"/>
      <x:c r="Y128" s="1"/>
      <x:c r="Z128" s="1"/>
    </x:row>
    <x:row r="129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1"/>
      <x:c r="O129" s="1"/>
      <x:c r="P129" s="1"/>
      <x:c r="Q129" s="1"/>
      <x:c r="R129" s="1"/>
      <x:c r="S129" s="1"/>
      <x:c r="T129" s="1"/>
      <x:c r="U129" s="1"/>
      <x:c r="V129" s="1"/>
      <x:c r="W129" s="1"/>
      <x:c r="X129" s="1"/>
      <x:c r="Y129" s="1"/>
      <x:c r="Z129" s="1"/>
    </x:row>
    <x:row r="130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1"/>
      <x:c r="O130" s="1"/>
      <x:c r="P130" s="1"/>
      <x:c r="Q130" s="1"/>
      <x:c r="R130" s="1"/>
      <x:c r="S130" s="1"/>
      <x:c r="T130" s="1"/>
      <x:c r="U130" s="1"/>
      <x:c r="V130" s="1"/>
      <x:c r="W130" s="1"/>
      <x:c r="X130" s="1"/>
      <x:c r="Y130" s="1"/>
      <x:c r="Z130" s="1"/>
    </x:row>
    <x:row r="13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1"/>
      <x:c r="O131" s="1"/>
      <x:c r="P131" s="1"/>
      <x:c r="Q131" s="1"/>
      <x:c r="R131" s="1"/>
      <x:c r="S131" s="1"/>
      <x:c r="T131" s="1"/>
      <x:c r="U131" s="1"/>
      <x:c r="V131" s="1"/>
      <x:c r="W131" s="1"/>
      <x:c r="X131" s="1"/>
      <x:c r="Y131" s="1"/>
      <x:c r="Z131" s="1"/>
    </x:row>
    <x:row r="132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1"/>
      <x:c r="O132" s="1"/>
      <x:c r="P132" s="1"/>
      <x:c r="Q132" s="1"/>
      <x:c r="R132" s="1"/>
      <x:c r="S132" s="1"/>
      <x:c r="T132" s="1"/>
      <x:c r="U132" s="1"/>
      <x:c r="V132" s="1"/>
      <x:c r="W132" s="1"/>
      <x:c r="X132" s="1"/>
      <x:c r="Y132" s="1"/>
      <x:c r="Z132" s="1"/>
    </x:row>
    <x:row r="133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  <x:c r="O133" s="1"/>
      <x:c r="P133" s="1"/>
      <x:c r="Q133" s="1"/>
      <x:c r="R133" s="1"/>
      <x:c r="S133" s="1"/>
      <x:c r="T133" s="1"/>
      <x:c r="U133" s="1"/>
      <x:c r="V133" s="1"/>
      <x:c r="W133" s="1"/>
      <x:c r="X133" s="1"/>
      <x:c r="Y133" s="1"/>
      <x:c r="Z133" s="1"/>
    </x:row>
    <x:row r="134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  <x:c r="O134" s="1"/>
      <x:c r="P134" s="1"/>
      <x:c r="Q134" s="1"/>
      <x:c r="R134" s="1"/>
      <x:c r="S134" s="1"/>
      <x:c r="T134" s="1"/>
      <x:c r="U134" s="1"/>
      <x:c r="V134" s="1"/>
      <x:c r="W134" s="1"/>
      <x:c r="X134" s="1"/>
      <x:c r="Y134" s="1"/>
      <x:c r="Z134" s="1"/>
    </x:row>
    <x:row r="135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  <x:c r="O135" s="1"/>
      <x:c r="P135" s="1"/>
      <x:c r="Q135" s="1"/>
      <x:c r="R135" s="1"/>
      <x:c r="S135" s="1"/>
      <x:c r="T135" s="1"/>
      <x:c r="U135" s="1"/>
      <x:c r="V135" s="1"/>
      <x:c r="W135" s="1"/>
      <x:c r="X135" s="1"/>
      <x:c r="Y135" s="1"/>
      <x:c r="Z135" s="1"/>
    </x:row>
    <x:row r="136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  <x:c r="O136" s="1"/>
      <x:c r="P136" s="1"/>
      <x:c r="Q136" s="1"/>
      <x:c r="R136" s="1"/>
      <x:c r="S136" s="1"/>
      <x:c r="T136" s="1"/>
      <x:c r="U136" s="1"/>
      <x:c r="V136" s="1"/>
      <x:c r="W136" s="1"/>
      <x:c r="X136" s="1"/>
      <x:c r="Y136" s="1"/>
      <x:c r="Z136" s="1"/>
    </x:row>
    <x:row r="137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  <x:c r="O137" s="1"/>
      <x:c r="P137" s="1"/>
      <x:c r="Q137" s="1"/>
      <x:c r="R137" s="1"/>
      <x:c r="S137" s="1"/>
      <x:c r="T137" s="1"/>
      <x:c r="U137" s="1"/>
      <x:c r="V137" s="1"/>
      <x:c r="W137" s="1"/>
      <x:c r="X137" s="1"/>
      <x:c r="Y137" s="1"/>
      <x:c r="Z137" s="1"/>
    </x:row>
    <x:row r="138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  <x:c r="O138" s="1"/>
      <x:c r="P138" s="1"/>
      <x:c r="Q138" s="1"/>
      <x:c r="R138" s="1"/>
      <x:c r="S138" s="1"/>
      <x:c r="T138" s="1"/>
      <x:c r="U138" s="1"/>
      <x:c r="V138" s="1"/>
      <x:c r="W138" s="1"/>
      <x:c r="X138" s="1"/>
      <x:c r="Y138" s="1"/>
      <x:c r="Z138" s="1"/>
    </x:row>
    <x:row r="139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  <x:c r="O139" s="1"/>
      <x:c r="P139" s="1"/>
      <x:c r="Q139" s="1"/>
      <x:c r="R139" s="1"/>
      <x:c r="S139" s="1"/>
      <x:c r="T139" s="1"/>
      <x:c r="U139" s="1"/>
      <x:c r="V139" s="1"/>
      <x:c r="W139" s="1"/>
      <x:c r="X139" s="1"/>
      <x:c r="Y139" s="1"/>
      <x:c r="Z139" s="1"/>
    </x:row>
    <x:row r="140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  <x:c r="O140" s="1"/>
      <x:c r="P140" s="1"/>
      <x:c r="Q140" s="1"/>
      <x:c r="R140" s="1"/>
      <x:c r="S140" s="1"/>
      <x:c r="T140" s="1"/>
      <x:c r="U140" s="1"/>
      <x:c r="V140" s="1"/>
      <x:c r="W140" s="1"/>
      <x:c r="X140" s="1"/>
      <x:c r="Y140" s="1"/>
      <x:c r="Z140" s="1"/>
    </x:row>
    <x:row r="14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  <x:c r="O141" s="1"/>
      <x:c r="P141" s="1"/>
      <x:c r="Q141" s="1"/>
      <x:c r="R141" s="1"/>
      <x:c r="S141" s="1"/>
      <x:c r="T141" s="1"/>
      <x:c r="U141" s="1"/>
      <x:c r="V141" s="1"/>
      <x:c r="W141" s="1"/>
      <x:c r="X141" s="1"/>
      <x:c r="Y141" s="1"/>
      <x:c r="Z141" s="1"/>
    </x:row>
    <x:row r="142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  <x:c r="O142" s="1"/>
      <x:c r="P142" s="1"/>
      <x:c r="Q142" s="1"/>
      <x:c r="R142" s="1"/>
      <x:c r="S142" s="1"/>
      <x:c r="T142" s="1"/>
      <x:c r="U142" s="1"/>
      <x:c r="V142" s="1"/>
      <x:c r="W142" s="1"/>
      <x:c r="X142" s="1"/>
      <x:c r="Y142" s="1"/>
      <x:c r="Z142" s="1"/>
    </x:row>
    <x:row r="143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  <x:c r="O143" s="1"/>
      <x:c r="P143" s="1"/>
      <x:c r="Q143" s="1"/>
      <x:c r="R143" s="1"/>
      <x:c r="S143" s="1"/>
      <x:c r="T143" s="1"/>
      <x:c r="U143" s="1"/>
      <x:c r="V143" s="1"/>
      <x:c r="W143" s="1"/>
      <x:c r="X143" s="1"/>
      <x:c r="Y143" s="1"/>
      <x:c r="Z143" s="1"/>
    </x:row>
    <x:row r="144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  <x:c r="O144" s="1"/>
      <x:c r="P144" s="1"/>
      <x:c r="Q144" s="1"/>
      <x:c r="R144" s="1"/>
      <x:c r="S144" s="1"/>
      <x:c r="T144" s="1"/>
      <x:c r="U144" s="1"/>
      <x:c r="V144" s="1"/>
      <x:c r="W144" s="1"/>
      <x:c r="X144" s="1"/>
      <x:c r="Y144" s="1"/>
      <x:c r="Z144" s="1"/>
    </x:row>
    <x:row r="145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  <x:c r="O145" s="1"/>
      <x:c r="P145" s="1"/>
      <x:c r="Q145" s="1"/>
      <x:c r="R145" s="1"/>
      <x:c r="S145" s="1"/>
      <x:c r="T145" s="1"/>
      <x:c r="U145" s="1"/>
      <x:c r="V145" s="1"/>
      <x:c r="W145" s="1"/>
      <x:c r="X145" s="1"/>
      <x:c r="Y145" s="1"/>
      <x:c r="Z145" s="1"/>
    </x:row>
    <x:row r="146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  <x:c r="O146" s="1"/>
      <x:c r="P146" s="1"/>
      <x:c r="Q146" s="1"/>
      <x:c r="R146" s="1"/>
      <x:c r="S146" s="1"/>
      <x:c r="T146" s="1"/>
      <x:c r="U146" s="1"/>
      <x:c r="V146" s="1"/>
      <x:c r="W146" s="1"/>
      <x:c r="X146" s="1"/>
      <x:c r="Y146" s="1"/>
      <x:c r="Z146" s="1"/>
    </x:row>
    <x:row r="147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  <x:c r="O147" s="1"/>
      <x:c r="P147" s="1"/>
      <x:c r="Q147" s="1"/>
      <x:c r="R147" s="1"/>
      <x:c r="S147" s="1"/>
      <x:c r="T147" s="1"/>
      <x:c r="U147" s="1"/>
      <x:c r="V147" s="1"/>
      <x:c r="W147" s="1"/>
      <x:c r="X147" s="1"/>
      <x:c r="Y147" s="1"/>
      <x:c r="Z147" s="1"/>
    </x:row>
    <x:row r="148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  <x:c r="O148" s="1"/>
      <x:c r="P148" s="1"/>
      <x:c r="Q148" s="1"/>
      <x:c r="R148" s="1"/>
      <x:c r="S148" s="1"/>
      <x:c r="T148" s="1"/>
      <x:c r="U148" s="1"/>
      <x:c r="V148" s="1"/>
      <x:c r="W148" s="1"/>
      <x:c r="X148" s="1"/>
      <x:c r="Y148" s="1"/>
      <x:c r="Z148" s="1"/>
    </x:row>
    <x:row r="149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  <x:c r="O149" s="1"/>
      <x:c r="P149" s="1"/>
      <x:c r="Q149" s="1"/>
      <x:c r="R149" s="1"/>
      <x:c r="S149" s="1"/>
      <x:c r="T149" s="1"/>
      <x:c r="U149" s="1"/>
      <x:c r="V149" s="1"/>
      <x:c r="W149" s="1"/>
      <x:c r="X149" s="1"/>
      <x:c r="Y149" s="1"/>
      <x:c r="Z149" s="1"/>
    </x:row>
    <x:row r="150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  <x:c r="O150" s="1"/>
      <x:c r="P150" s="1"/>
      <x:c r="Q150" s="1"/>
      <x:c r="R150" s="1"/>
      <x:c r="S150" s="1"/>
      <x:c r="T150" s="1"/>
      <x:c r="U150" s="1"/>
      <x:c r="V150" s="1"/>
      <x:c r="W150" s="1"/>
      <x:c r="X150" s="1"/>
      <x:c r="Y150" s="1"/>
      <x:c r="Z150" s="1"/>
    </x:row>
    <x:row r="15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  <x:c r="O151" s="1"/>
      <x:c r="P151" s="1"/>
      <x:c r="Q151" s="1"/>
      <x:c r="R151" s="1"/>
      <x:c r="S151" s="1"/>
      <x:c r="T151" s="1"/>
      <x:c r="U151" s="1"/>
      <x:c r="V151" s="1"/>
      <x:c r="W151" s="1"/>
      <x:c r="X151" s="1"/>
      <x:c r="Y151" s="1"/>
      <x:c r="Z151" s="1"/>
    </x:row>
    <x:row r="152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  <x:c r="O152" s="1"/>
      <x:c r="P152" s="1"/>
      <x:c r="Q152" s="1"/>
      <x:c r="R152" s="1"/>
      <x:c r="S152" s="1"/>
      <x:c r="T152" s="1"/>
      <x:c r="U152" s="1"/>
      <x:c r="V152" s="1"/>
      <x:c r="W152" s="1"/>
      <x:c r="X152" s="1"/>
      <x:c r="Y152" s="1"/>
      <x:c r="Z152" s="1"/>
    </x:row>
    <x:row r="153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  <x:c r="O153" s="1"/>
      <x:c r="P153" s="1"/>
      <x:c r="Q153" s="1"/>
      <x:c r="R153" s="1"/>
      <x:c r="S153" s="1"/>
      <x:c r="T153" s="1"/>
      <x:c r="U153" s="1"/>
      <x:c r="V153" s="1"/>
      <x:c r="W153" s="1"/>
      <x:c r="X153" s="1"/>
      <x:c r="Y153" s="1"/>
      <x:c r="Z153" s="1"/>
    </x:row>
    <x:row r="154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  <x:c r="O154" s="1"/>
      <x:c r="P154" s="1"/>
      <x:c r="Q154" s="1"/>
      <x:c r="R154" s="1"/>
      <x:c r="S154" s="1"/>
      <x:c r="T154" s="1"/>
      <x:c r="U154" s="1"/>
      <x:c r="V154" s="1"/>
      <x:c r="W154" s="1"/>
      <x:c r="X154" s="1"/>
      <x:c r="Y154" s="1"/>
      <x:c r="Z154" s="1"/>
    </x:row>
    <x:row r="155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  <x:c r="O155" s="1"/>
      <x:c r="P155" s="1"/>
      <x:c r="Q155" s="1"/>
      <x:c r="R155" s="1"/>
      <x:c r="S155" s="1"/>
      <x:c r="T155" s="1"/>
      <x:c r="U155" s="1"/>
      <x:c r="V155" s="1"/>
      <x:c r="W155" s="1"/>
      <x:c r="X155" s="1"/>
      <x:c r="Y155" s="1"/>
      <x:c r="Z155" s="1"/>
    </x:row>
    <x:row r="156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  <x:c r="O156" s="1"/>
      <x:c r="P156" s="1"/>
      <x:c r="Q156" s="1"/>
      <x:c r="R156" s="1"/>
      <x:c r="S156" s="1"/>
      <x:c r="T156" s="1"/>
      <x:c r="U156" s="1"/>
      <x:c r="V156" s="1"/>
      <x:c r="W156" s="1"/>
      <x:c r="X156" s="1"/>
      <x:c r="Y156" s="1"/>
      <x:c r="Z156" s="1"/>
    </x:row>
    <x:row r="157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  <x:c r="O157" s="1"/>
      <x:c r="P157" s="1"/>
      <x:c r="Q157" s="1"/>
      <x:c r="R157" s="1"/>
      <x:c r="S157" s="1"/>
      <x:c r="T157" s="1"/>
      <x:c r="U157" s="1"/>
      <x:c r="V157" s="1"/>
      <x:c r="W157" s="1"/>
      <x:c r="X157" s="1"/>
      <x:c r="Y157" s="1"/>
      <x:c r="Z157" s="1"/>
    </x:row>
    <x:row r="158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  <x:c r="O158" s="1"/>
      <x:c r="P158" s="1"/>
      <x:c r="Q158" s="1"/>
      <x:c r="R158" s="1"/>
      <x:c r="S158" s="1"/>
      <x:c r="T158" s="1"/>
      <x:c r="U158" s="1"/>
      <x:c r="V158" s="1"/>
      <x:c r="W158" s="1"/>
      <x:c r="X158" s="1"/>
      <x:c r="Y158" s="1"/>
      <x:c r="Z158" s="1"/>
    </x:row>
    <x:row r="159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  <x:c r="O159" s="1"/>
      <x:c r="P159" s="1"/>
      <x:c r="Q159" s="1"/>
      <x:c r="R159" s="1"/>
      <x:c r="S159" s="1"/>
      <x:c r="T159" s="1"/>
      <x:c r="U159" s="1"/>
      <x:c r="V159" s="1"/>
      <x:c r="W159" s="1"/>
      <x:c r="X159" s="1"/>
      <x:c r="Y159" s="1"/>
      <x:c r="Z159" s="1"/>
    </x:row>
    <x:row r="160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  <x:c r="O160" s="1"/>
      <x:c r="P160" s="1"/>
      <x:c r="Q160" s="1"/>
      <x:c r="R160" s="1"/>
      <x:c r="S160" s="1"/>
      <x:c r="T160" s="1"/>
      <x:c r="U160" s="1"/>
      <x:c r="V160" s="1"/>
      <x:c r="W160" s="1"/>
      <x:c r="X160" s="1"/>
      <x:c r="Y160" s="1"/>
      <x:c r="Z160" s="1"/>
    </x:row>
    <x:row r="16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  <x:c r="O161" s="1"/>
      <x:c r="P161" s="1"/>
      <x:c r="Q161" s="1"/>
      <x:c r="R161" s="1"/>
      <x:c r="S161" s="1"/>
      <x:c r="T161" s="1"/>
      <x:c r="U161" s="1"/>
      <x:c r="V161" s="1"/>
      <x:c r="W161" s="1"/>
      <x:c r="X161" s="1"/>
      <x:c r="Y161" s="1"/>
      <x:c r="Z161" s="1"/>
    </x:row>
    <x:row r="162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  <x:c r="O162" s="1"/>
      <x:c r="P162" s="1"/>
      <x:c r="Q162" s="1"/>
      <x:c r="R162" s="1"/>
      <x:c r="S162" s="1"/>
      <x:c r="T162" s="1"/>
      <x:c r="U162" s="1"/>
      <x:c r="V162" s="1"/>
      <x:c r="W162" s="1"/>
      <x:c r="X162" s="1"/>
      <x:c r="Y162" s="1"/>
      <x:c r="Z162" s="1"/>
    </x:row>
    <x:row r="163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  <x:c r="O163" s="1"/>
      <x:c r="P163" s="1"/>
      <x:c r="Q163" s="1"/>
      <x:c r="R163" s="1"/>
      <x:c r="S163" s="1"/>
      <x:c r="T163" s="1"/>
      <x:c r="U163" s="1"/>
      <x:c r="V163" s="1"/>
      <x:c r="W163" s="1"/>
      <x:c r="X163" s="1"/>
      <x:c r="Y163" s="1"/>
      <x:c r="Z163" s="1"/>
    </x:row>
    <x:row r="164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  <x:c r="O164" s="1"/>
      <x:c r="P164" s="1"/>
      <x:c r="Q164" s="1"/>
      <x:c r="R164" s="1"/>
      <x:c r="S164" s="1"/>
      <x:c r="T164" s="1"/>
      <x:c r="U164" s="1"/>
      <x:c r="V164" s="1"/>
      <x:c r="W164" s="1"/>
      <x:c r="X164" s="1"/>
      <x:c r="Y164" s="1"/>
      <x:c r="Z164" s="1"/>
    </x:row>
    <x:row r="165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  <x:c r="O165" s="1"/>
      <x:c r="P165" s="1"/>
      <x:c r="Q165" s="1"/>
      <x:c r="R165" s="1"/>
      <x:c r="S165" s="1"/>
      <x:c r="T165" s="1"/>
      <x:c r="U165" s="1"/>
      <x:c r="V165" s="1"/>
      <x:c r="W165" s="1"/>
      <x:c r="X165" s="1"/>
      <x:c r="Y165" s="1"/>
      <x:c r="Z165" s="1"/>
    </x:row>
    <x:row r="166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  <x:c r="O166" s="1"/>
      <x:c r="P166" s="1"/>
      <x:c r="Q166" s="1"/>
      <x:c r="R166" s="1"/>
      <x:c r="S166" s="1"/>
      <x:c r="T166" s="1"/>
      <x:c r="U166" s="1"/>
      <x:c r="V166" s="1"/>
      <x:c r="W166" s="1"/>
      <x:c r="X166" s="1"/>
      <x:c r="Y166" s="1"/>
      <x:c r="Z166" s="1"/>
    </x:row>
    <x:row r="167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  <x:c r="O167" s="1"/>
      <x:c r="P167" s="1"/>
      <x:c r="Q167" s="1"/>
      <x:c r="R167" s="1"/>
      <x:c r="S167" s="1"/>
      <x:c r="T167" s="1"/>
      <x:c r="U167" s="1"/>
      <x:c r="V167" s="1"/>
      <x:c r="W167" s="1"/>
      <x:c r="X167" s="1"/>
      <x:c r="Y167" s="1"/>
      <x:c r="Z167" s="1"/>
    </x:row>
    <x:row r="168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  <x:c r="O168" s="1"/>
      <x:c r="P168" s="1"/>
      <x:c r="Q168" s="1"/>
      <x:c r="R168" s="1"/>
      <x:c r="S168" s="1"/>
      <x:c r="T168" s="1"/>
      <x:c r="U168" s="1"/>
      <x:c r="V168" s="1"/>
      <x:c r="W168" s="1"/>
      <x:c r="X168" s="1"/>
      <x:c r="Y168" s="1"/>
      <x:c r="Z168" s="1"/>
    </x:row>
    <x:row r="169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  <x:c r="O169" s="1"/>
      <x:c r="P169" s="1"/>
      <x:c r="Q169" s="1"/>
      <x:c r="R169" s="1"/>
      <x:c r="S169" s="1"/>
      <x:c r="T169" s="1"/>
      <x:c r="U169" s="1"/>
      <x:c r="V169" s="1"/>
      <x:c r="W169" s="1"/>
      <x:c r="X169" s="1"/>
      <x:c r="Y169" s="1"/>
      <x:c r="Z169" s="1"/>
    </x:row>
    <x:row r="170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  <x:c r="O170" s="1"/>
      <x:c r="P170" s="1"/>
      <x:c r="Q170" s="1"/>
      <x:c r="R170" s="1"/>
      <x:c r="S170" s="1"/>
      <x:c r="T170" s="1"/>
      <x:c r="U170" s="1"/>
      <x:c r="V170" s="1"/>
      <x:c r="W170" s="1"/>
      <x:c r="X170" s="1"/>
      <x:c r="Y170" s="1"/>
      <x:c r="Z170" s="1"/>
    </x:row>
    <x:row r="17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  <x:c r="O171" s="1"/>
      <x:c r="P171" s="1"/>
      <x:c r="Q171" s="1"/>
      <x:c r="R171" s="1"/>
      <x:c r="S171" s="1"/>
      <x:c r="T171" s="1"/>
      <x:c r="U171" s="1"/>
      <x:c r="V171" s="1"/>
      <x:c r="W171" s="1"/>
      <x:c r="X171" s="1"/>
      <x:c r="Y171" s="1"/>
      <x:c r="Z171" s="1"/>
    </x:row>
    <x:row r="172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  <x:c r="O172" s="1"/>
      <x:c r="P172" s="1"/>
      <x:c r="Q172" s="1"/>
      <x:c r="R172" s="1"/>
      <x:c r="S172" s="1"/>
      <x:c r="T172" s="1"/>
      <x:c r="U172" s="1"/>
      <x:c r="V172" s="1"/>
      <x:c r="W172" s="1"/>
      <x:c r="X172" s="1"/>
      <x:c r="Y172" s="1"/>
      <x:c r="Z172" s="1"/>
    </x:row>
    <x:row r="173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  <x:c r="O173" s="1"/>
      <x:c r="P173" s="1"/>
      <x:c r="Q173" s="1"/>
      <x:c r="R173" s="1"/>
      <x:c r="S173" s="1"/>
      <x:c r="T173" s="1"/>
      <x:c r="U173" s="1"/>
      <x:c r="V173" s="1"/>
      <x:c r="W173" s="1"/>
      <x:c r="X173" s="1"/>
      <x:c r="Y173" s="1"/>
      <x:c r="Z173" s="1"/>
    </x:row>
    <x:row r="174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  <x:c r="O174" s="1"/>
      <x:c r="P174" s="1"/>
      <x:c r="Q174" s="1"/>
      <x:c r="R174" s="1"/>
      <x:c r="S174" s="1"/>
      <x:c r="T174" s="1"/>
      <x:c r="U174" s="1"/>
      <x:c r="V174" s="1"/>
      <x:c r="W174" s="1"/>
      <x:c r="X174" s="1"/>
      <x:c r="Y174" s="1"/>
      <x:c r="Z174" s="1"/>
    </x:row>
    <x:row r="175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  <x:c r="O175" s="1"/>
      <x:c r="P175" s="1"/>
      <x:c r="Q175" s="1"/>
      <x:c r="R175" s="1"/>
      <x:c r="S175" s="1"/>
      <x:c r="T175" s="1"/>
      <x:c r="U175" s="1"/>
      <x:c r="V175" s="1"/>
      <x:c r="W175" s="1"/>
      <x:c r="X175" s="1"/>
      <x:c r="Y175" s="1"/>
      <x:c r="Z175" s="1"/>
    </x:row>
    <x:row r="176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  <x:c r="O176" s="1"/>
      <x:c r="P176" s="1"/>
      <x:c r="Q176" s="1"/>
      <x:c r="R176" s="1"/>
      <x:c r="S176" s="1"/>
      <x:c r="T176" s="1"/>
      <x:c r="U176" s="1"/>
      <x:c r="V176" s="1"/>
      <x:c r="W176" s="1"/>
      <x:c r="X176" s="1"/>
      <x:c r="Y176" s="1"/>
      <x:c r="Z176" s="1"/>
    </x:row>
    <x:row r="177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  <x:c r="O177" s="1"/>
      <x:c r="P177" s="1"/>
      <x:c r="Q177" s="1"/>
      <x:c r="R177" s="1"/>
      <x:c r="S177" s="1"/>
      <x:c r="T177" s="1"/>
      <x:c r="U177" s="1"/>
      <x:c r="V177" s="1"/>
      <x:c r="W177" s="1"/>
      <x:c r="X177" s="1"/>
      <x:c r="Y177" s="1"/>
      <x:c r="Z177" s="1"/>
    </x:row>
    <x:row r="178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  <x:c r="O178" s="1"/>
      <x:c r="P178" s="1"/>
      <x:c r="Q178" s="1"/>
      <x:c r="R178" s="1"/>
      <x:c r="S178" s="1"/>
      <x:c r="T178" s="1"/>
      <x:c r="U178" s="1"/>
      <x:c r="V178" s="1"/>
      <x:c r="W178" s="1"/>
      <x:c r="X178" s="1"/>
      <x:c r="Y178" s="1"/>
      <x:c r="Z178" s="1"/>
    </x:row>
    <x:row r="179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  <x:c r="O179" s="1"/>
      <x:c r="P179" s="1"/>
      <x:c r="Q179" s="1"/>
      <x:c r="R179" s="1"/>
      <x:c r="S179" s="1"/>
      <x:c r="T179" s="1"/>
      <x:c r="U179" s="1"/>
      <x:c r="V179" s="1"/>
      <x:c r="W179" s="1"/>
      <x:c r="X179" s="1"/>
      <x:c r="Y179" s="1"/>
      <x:c r="Z179" s="1"/>
    </x:row>
    <x:row r="180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  <x:c r="O180" s="1"/>
      <x:c r="P180" s="1"/>
      <x:c r="Q180" s="1"/>
      <x:c r="R180" s="1"/>
      <x:c r="S180" s="1"/>
      <x:c r="T180" s="1"/>
      <x:c r="U180" s="1"/>
      <x:c r="V180" s="1"/>
      <x:c r="W180" s="1"/>
      <x:c r="X180" s="1"/>
      <x:c r="Y180" s="1"/>
      <x:c r="Z180" s="1"/>
    </x:row>
    <x:row r="18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  <x:c r="O181" s="1"/>
      <x:c r="P181" s="1"/>
      <x:c r="Q181" s="1"/>
      <x:c r="R181" s="1"/>
      <x:c r="S181" s="1"/>
      <x:c r="T181" s="1"/>
      <x:c r="U181" s="1"/>
      <x:c r="V181" s="1"/>
      <x:c r="W181" s="1"/>
      <x:c r="X181" s="1"/>
      <x:c r="Y181" s="1"/>
      <x:c r="Z181" s="1"/>
    </x:row>
    <x:row r="182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  <x:c r="O182" s="1"/>
      <x:c r="P182" s="1"/>
      <x:c r="Q182" s="1"/>
      <x:c r="R182" s="1"/>
      <x:c r="S182" s="1"/>
      <x:c r="T182" s="1"/>
      <x:c r="U182" s="1"/>
      <x:c r="V182" s="1"/>
      <x:c r="W182" s="1"/>
      <x:c r="X182" s="1"/>
      <x:c r="Y182" s="1"/>
      <x:c r="Z182" s="1"/>
    </x:row>
    <x:row r="183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  <x:c r="O183" s="1"/>
      <x:c r="P183" s="1"/>
      <x:c r="Q183" s="1"/>
      <x:c r="R183" s="1"/>
      <x:c r="S183" s="1"/>
      <x:c r="T183" s="1"/>
      <x:c r="U183" s="1"/>
      <x:c r="V183" s="1"/>
      <x:c r="W183" s="1"/>
      <x:c r="X183" s="1"/>
      <x:c r="Y183" s="1"/>
      <x:c r="Z183" s="1"/>
    </x:row>
    <x:row r="184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  <x:c r="O184" s="1"/>
      <x:c r="P184" s="1"/>
      <x:c r="Q184" s="1"/>
      <x:c r="R184" s="1"/>
      <x:c r="S184" s="1"/>
      <x:c r="T184" s="1"/>
      <x:c r="U184" s="1"/>
      <x:c r="V184" s="1"/>
      <x:c r="W184" s="1"/>
      <x:c r="X184" s="1"/>
      <x:c r="Y184" s="1"/>
      <x:c r="Z184" s="1"/>
    </x:row>
    <x:row r="185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  <x:c r="O185" s="1"/>
      <x:c r="P185" s="1"/>
      <x:c r="Q185" s="1"/>
      <x:c r="R185" s="1"/>
      <x:c r="S185" s="1"/>
      <x:c r="T185" s="1"/>
      <x:c r="U185" s="1"/>
      <x:c r="V185" s="1"/>
      <x:c r="W185" s="1"/>
      <x:c r="X185" s="1"/>
      <x:c r="Y185" s="1"/>
      <x:c r="Z185" s="1"/>
    </x:row>
    <x:row r="186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  <x:c r="O186" s="1"/>
      <x:c r="P186" s="1"/>
      <x:c r="Q186" s="1"/>
      <x:c r="R186" s="1"/>
      <x:c r="S186" s="1"/>
      <x:c r="T186" s="1"/>
      <x:c r="U186" s="1"/>
      <x:c r="V186" s="1"/>
      <x:c r="W186" s="1"/>
      <x:c r="X186" s="1"/>
      <x:c r="Y186" s="1"/>
      <x:c r="Z186" s="1"/>
    </x:row>
    <x:row r="187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  <x:c r="O187" s="1"/>
      <x:c r="P187" s="1"/>
      <x:c r="Q187" s="1"/>
      <x:c r="R187" s="1"/>
      <x:c r="S187" s="1"/>
      <x:c r="T187" s="1"/>
      <x:c r="U187" s="1"/>
      <x:c r="V187" s="1"/>
      <x:c r="W187" s="1"/>
      <x:c r="X187" s="1"/>
      <x:c r="Y187" s="1"/>
      <x:c r="Z187" s="1"/>
    </x:row>
    <x:row r="188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  <x:c r="O188" s="1"/>
      <x:c r="P188" s="1"/>
      <x:c r="Q188" s="1"/>
      <x:c r="R188" s="1"/>
      <x:c r="S188" s="1"/>
      <x:c r="T188" s="1"/>
      <x:c r="U188" s="1"/>
      <x:c r="V188" s="1"/>
      <x:c r="W188" s="1"/>
      <x:c r="X188" s="1"/>
      <x:c r="Y188" s="1"/>
      <x:c r="Z188" s="1"/>
    </x:row>
    <x:row r="189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  <x:c r="O189" s="1"/>
      <x:c r="P189" s="1"/>
      <x:c r="Q189" s="1"/>
      <x:c r="R189" s="1"/>
      <x:c r="S189" s="1"/>
      <x:c r="T189" s="1"/>
      <x:c r="U189" s="1"/>
      <x:c r="V189" s="1"/>
      <x:c r="W189" s="1"/>
      <x:c r="X189" s="1"/>
      <x:c r="Y189" s="1"/>
      <x:c r="Z189" s="1"/>
    </x:row>
    <x:row r="190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  <x:c r="O190" s="1"/>
      <x:c r="P190" s="1"/>
      <x:c r="Q190" s="1"/>
      <x:c r="R190" s="1"/>
      <x:c r="S190" s="1"/>
      <x:c r="T190" s="1"/>
      <x:c r="U190" s="1"/>
      <x:c r="V190" s="1"/>
      <x:c r="W190" s="1"/>
      <x:c r="X190" s="1"/>
      <x:c r="Y190" s="1"/>
      <x:c r="Z190" s="1"/>
    </x:row>
    <x:row r="19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  <x:c r="O191" s="1"/>
      <x:c r="P191" s="1"/>
      <x:c r="Q191" s="1"/>
      <x:c r="R191" s="1"/>
      <x:c r="S191" s="1"/>
      <x:c r="T191" s="1"/>
      <x:c r="U191" s="1"/>
      <x:c r="V191" s="1"/>
      <x:c r="W191" s="1"/>
      <x:c r="X191" s="1"/>
      <x:c r="Y191" s="1"/>
      <x:c r="Z191" s="1"/>
    </x:row>
    <x:row r="192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  <x:c r="O192" s="1"/>
      <x:c r="P192" s="1"/>
      <x:c r="Q192" s="1"/>
      <x:c r="R192" s="1"/>
      <x:c r="S192" s="1"/>
      <x:c r="T192" s="1"/>
      <x:c r="U192" s="1"/>
      <x:c r="V192" s="1"/>
      <x:c r="W192" s="1"/>
      <x:c r="X192" s="1"/>
      <x:c r="Y192" s="1"/>
      <x:c r="Z192" s="1"/>
    </x:row>
    <x:row r="193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  <x:c r="O193" s="1"/>
      <x:c r="P193" s="1"/>
      <x:c r="Q193" s="1"/>
      <x:c r="R193" s="1"/>
      <x:c r="S193" s="1"/>
      <x:c r="T193" s="1"/>
      <x:c r="U193" s="1"/>
      <x:c r="V193" s="1"/>
      <x:c r="W193" s="1"/>
      <x:c r="X193" s="1"/>
      <x:c r="Y193" s="1"/>
      <x:c r="Z193" s="1"/>
    </x:row>
    <x:row r="194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  <x:c r="O194" s="1"/>
      <x:c r="P194" s="1"/>
      <x:c r="Q194" s="1"/>
      <x:c r="R194" s="1"/>
      <x:c r="S194" s="1"/>
      <x:c r="T194" s="1"/>
      <x:c r="U194" s="1"/>
      <x:c r="V194" s="1"/>
      <x:c r="W194" s="1"/>
      <x:c r="X194" s="1"/>
      <x:c r="Y194" s="1"/>
      <x:c r="Z194" s="1"/>
    </x:row>
    <x:row r="195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  <x:c r="O195" s="1"/>
      <x:c r="P195" s="1"/>
      <x:c r="Q195" s="1"/>
      <x:c r="R195" s="1"/>
      <x:c r="S195" s="1"/>
      <x:c r="T195" s="1"/>
      <x:c r="U195" s="1"/>
      <x:c r="V195" s="1"/>
      <x:c r="W195" s="1"/>
      <x:c r="X195" s="1"/>
      <x:c r="Y195" s="1"/>
      <x:c r="Z195" s="1"/>
    </x:row>
    <x:row r="196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  <x:c r="O196" s="1"/>
      <x:c r="P196" s="1"/>
      <x:c r="Q196" s="1"/>
      <x:c r="R196" s="1"/>
      <x:c r="S196" s="1"/>
      <x:c r="T196" s="1"/>
      <x:c r="U196" s="1"/>
      <x:c r="V196" s="1"/>
      <x:c r="W196" s="1"/>
      <x:c r="X196" s="1"/>
      <x:c r="Y196" s="1"/>
      <x:c r="Z196" s="1"/>
    </x:row>
    <x:row r="197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  <x:c r="O197" s="1"/>
      <x:c r="P197" s="1"/>
      <x:c r="Q197" s="1"/>
      <x:c r="R197" s="1"/>
      <x:c r="S197" s="1"/>
      <x:c r="T197" s="1"/>
      <x:c r="U197" s="1"/>
      <x:c r="V197" s="1"/>
      <x:c r="W197" s="1"/>
      <x:c r="X197" s="1"/>
      <x:c r="Y197" s="1"/>
      <x:c r="Z197" s="1"/>
    </x:row>
    <x:row r="198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  <x:c r="O198" s="1"/>
      <x:c r="P198" s="1"/>
      <x:c r="Q198" s="1"/>
      <x:c r="R198" s="1"/>
      <x:c r="S198" s="1"/>
      <x:c r="T198" s="1"/>
      <x:c r="U198" s="1"/>
      <x:c r="V198" s="1"/>
      <x:c r="W198" s="1"/>
      <x:c r="X198" s="1"/>
      <x:c r="Y198" s="1"/>
      <x:c r="Z198" s="1"/>
    </x:row>
    <x:row r="199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  <x:c r="O199" s="1"/>
      <x:c r="P199" s="1"/>
      <x:c r="Q199" s="1"/>
      <x:c r="R199" s="1"/>
      <x:c r="S199" s="1"/>
      <x:c r="T199" s="1"/>
      <x:c r="U199" s="1"/>
      <x:c r="V199" s="1"/>
      <x:c r="W199" s="1"/>
      <x:c r="X199" s="1"/>
      <x:c r="Y199" s="1"/>
      <x:c r="Z199" s="1"/>
    </x:row>
    <x:row r="200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  <x:c r="O200" s="1"/>
      <x:c r="P200" s="1"/>
      <x:c r="Q200" s="1"/>
      <x:c r="R200" s="1"/>
      <x:c r="S200" s="1"/>
      <x:c r="T200" s="1"/>
      <x:c r="U200" s="1"/>
      <x:c r="V200" s="1"/>
      <x:c r="W200" s="1"/>
      <x:c r="X200" s="1"/>
      <x:c r="Y200" s="1"/>
      <x:c r="Z200" s="1"/>
    </x:row>
    <x:row r="201">
      <x:c r="A201" s="1"/>
      <x:c r="B201" s="1"/>
      <x:c r="C201" s="1"/>
      <x:c r="D201" s="1"/>
      <x:c r="E201" s="1"/>
      <x:c r="F201" s="1"/>
      <x:c r="G201" s="1"/>
      <x:c r="H201" s="1"/>
      <x:c r="I201" s="1"/>
      <x:c r="J201" s="1"/>
      <x:c r="K201" s="1"/>
      <x:c r="L201" s="1"/>
      <x:c r="M201" s="1"/>
      <x:c r="N201" s="1"/>
      <x:c r="O201" s="1"/>
      <x:c r="P201" s="1"/>
      <x:c r="Q201" s="1"/>
      <x:c r="R201" s="1"/>
      <x:c r="S201" s="1"/>
      <x:c r="T201" s="1"/>
      <x:c r="U201" s="1"/>
      <x:c r="V201" s="1"/>
      <x:c r="W201" s="1"/>
      <x:c r="X201" s="1"/>
      <x:c r="Y201" s="1"/>
      <x:c r="Z201" s="1"/>
    </x:row>
    <x:row r="202">
      <x:c r="A202" s="1"/>
      <x:c r="B202" s="1"/>
      <x:c r="C202" s="1"/>
      <x:c r="D202" s="1"/>
      <x:c r="E202" s="1"/>
      <x:c r="F202" s="1"/>
      <x:c r="G202" s="1"/>
      <x:c r="H202" s="1"/>
      <x:c r="I202" s="1"/>
      <x:c r="J202" s="1"/>
      <x:c r="K202" s="1"/>
      <x:c r="L202" s="1"/>
      <x:c r="M202" s="1"/>
      <x:c r="N202" s="1"/>
      <x:c r="O202" s="1"/>
      <x:c r="P202" s="1"/>
      <x:c r="Q202" s="1"/>
      <x:c r="R202" s="1"/>
      <x:c r="S202" s="1"/>
      <x:c r="T202" s="1"/>
      <x:c r="U202" s="1"/>
      <x:c r="V202" s="1"/>
      <x:c r="W202" s="1"/>
      <x:c r="X202" s="1"/>
      <x:c r="Y202" s="1"/>
      <x:c r="Z202" s="1"/>
    </x:row>
    <x:row r="203">
      <x:c r="A203" s="1"/>
      <x:c r="B203" s="1"/>
      <x:c r="C203" s="1"/>
      <x:c r="D203" s="1"/>
      <x:c r="E203" s="1"/>
      <x:c r="F203" s="1"/>
      <x:c r="G203" s="1"/>
      <x:c r="H203" s="1"/>
      <x:c r="I203" s="1"/>
      <x:c r="J203" s="1"/>
      <x:c r="K203" s="1"/>
      <x:c r="L203" s="1"/>
      <x:c r="M203" s="1"/>
      <x:c r="N203" s="1"/>
      <x:c r="O203" s="1"/>
      <x:c r="P203" s="1"/>
      <x:c r="Q203" s="1"/>
      <x:c r="R203" s="1"/>
      <x:c r="S203" s="1"/>
      <x:c r="T203" s="1"/>
      <x:c r="U203" s="1"/>
      <x:c r="V203" s="1"/>
      <x:c r="W203" s="1"/>
      <x:c r="X203" s="1"/>
      <x:c r="Y203" s="1"/>
      <x:c r="Z203" s="1"/>
    </x:row>
    <x:row r="204">
      <x:c r="A204" s="1"/>
      <x:c r="B204" s="1"/>
      <x:c r="C204" s="1"/>
      <x:c r="D204" s="1"/>
      <x:c r="E204" s="1"/>
      <x:c r="F204" s="1"/>
      <x:c r="G204" s="1"/>
      <x:c r="H204" s="1"/>
      <x:c r="I204" s="1"/>
      <x:c r="J204" s="1"/>
      <x:c r="K204" s="1"/>
      <x:c r="L204" s="1"/>
      <x:c r="M204" s="1"/>
      <x:c r="N204" s="1"/>
      <x:c r="O204" s="1"/>
      <x:c r="P204" s="1"/>
      <x:c r="Q204" s="1"/>
      <x:c r="R204" s="1"/>
      <x:c r="S204" s="1"/>
      <x:c r="T204" s="1"/>
      <x:c r="U204" s="1"/>
      <x:c r="V204" s="1"/>
      <x:c r="W204" s="1"/>
      <x:c r="X204" s="1"/>
      <x:c r="Y204" s="1"/>
      <x:c r="Z204" s="1"/>
    </x:row>
    <x:row r="205">
      <x:c r="A205" s="1"/>
      <x:c r="B205" s="1"/>
      <x:c r="C205" s="1"/>
      <x:c r="D205" s="1"/>
      <x:c r="E205" s="1"/>
      <x:c r="F205" s="1"/>
      <x:c r="G205" s="1"/>
      <x:c r="H205" s="1"/>
      <x:c r="I205" s="1"/>
      <x:c r="J205" s="1"/>
      <x:c r="K205" s="1"/>
      <x:c r="L205" s="1"/>
      <x:c r="M205" s="1"/>
      <x:c r="N205" s="1"/>
      <x:c r="O205" s="1"/>
      <x:c r="P205" s="1"/>
      <x:c r="Q205" s="1"/>
      <x:c r="R205" s="1"/>
      <x:c r="S205" s="1"/>
      <x:c r="T205" s="1"/>
      <x:c r="U205" s="1"/>
      <x:c r="V205" s="1"/>
      <x:c r="W205" s="1"/>
      <x:c r="X205" s="1"/>
      <x:c r="Y205" s="1"/>
      <x:c r="Z205" s="1"/>
    </x:row>
    <x:row r="206">
      <x:c r="A206" s="1"/>
      <x:c r="B206" s="1"/>
      <x:c r="C206" s="1"/>
      <x:c r="D206" s="1"/>
      <x:c r="E206" s="1"/>
      <x:c r="F206" s="1"/>
      <x:c r="G206" s="1"/>
      <x:c r="H206" s="1"/>
      <x:c r="I206" s="1"/>
      <x:c r="J206" s="1"/>
      <x:c r="K206" s="1"/>
      <x:c r="L206" s="1"/>
      <x:c r="M206" s="1"/>
      <x:c r="N206" s="1"/>
      <x:c r="O206" s="1"/>
      <x:c r="P206" s="1"/>
      <x:c r="Q206" s="1"/>
      <x:c r="R206" s="1"/>
      <x:c r="S206" s="1"/>
      <x:c r="T206" s="1"/>
      <x:c r="U206" s="1"/>
      <x:c r="V206" s="1"/>
      <x:c r="W206" s="1"/>
      <x:c r="X206" s="1"/>
      <x:c r="Y206" s="1"/>
      <x:c r="Z206" s="1"/>
    </x:row>
    <x:row r="207">
      <x:c r="A207" s="1"/>
      <x:c r="B207" s="1"/>
      <x:c r="C207" s="1"/>
      <x:c r="D207" s="1"/>
      <x:c r="E207" s="1"/>
      <x:c r="F207" s="1"/>
      <x:c r="G207" s="1"/>
      <x:c r="H207" s="1"/>
      <x:c r="I207" s="1"/>
      <x:c r="J207" s="1"/>
      <x:c r="K207" s="1"/>
      <x:c r="L207" s="1"/>
      <x:c r="M207" s="1"/>
      <x:c r="N207" s="1"/>
      <x:c r="O207" s="1"/>
      <x:c r="P207" s="1"/>
      <x:c r="Q207" s="1"/>
      <x:c r="R207" s="1"/>
      <x:c r="S207" s="1"/>
      <x:c r="T207" s="1"/>
      <x:c r="U207" s="1"/>
      <x:c r="V207" s="1"/>
      <x:c r="W207" s="1"/>
      <x:c r="X207" s="1"/>
      <x:c r="Y207" s="1"/>
      <x:c r="Z207" s="1"/>
    </x:row>
    <x:row r="208">
      <x:c r="A208" s="1"/>
      <x:c r="B208" s="1"/>
      <x:c r="C208" s="1"/>
      <x:c r="D208" s="1"/>
      <x:c r="E208" s="1"/>
      <x:c r="F208" s="1"/>
      <x:c r="G208" s="1"/>
      <x:c r="H208" s="1"/>
      <x:c r="I208" s="1"/>
      <x:c r="J208" s="1"/>
      <x:c r="K208" s="1"/>
      <x:c r="L208" s="1"/>
      <x:c r="M208" s="1"/>
      <x:c r="N208" s="1"/>
      <x:c r="O208" s="1"/>
      <x:c r="P208" s="1"/>
      <x:c r="Q208" s="1"/>
      <x:c r="R208" s="1"/>
      <x:c r="S208" s="1"/>
      <x:c r="T208" s="1"/>
      <x:c r="U208" s="1"/>
      <x:c r="V208" s="1"/>
      <x:c r="W208" s="1"/>
      <x:c r="X208" s="1"/>
      <x:c r="Y208" s="1"/>
      <x:c r="Z208" s="1"/>
    </x:row>
    <x:row r="209">
      <x:c r="A209" s="1"/>
      <x:c r="B209" s="1"/>
      <x:c r="C209" s="1"/>
      <x:c r="D209" s="1"/>
      <x:c r="E209" s="1"/>
      <x:c r="F209" s="1"/>
      <x:c r="G209" s="1"/>
      <x:c r="H209" s="1"/>
      <x:c r="I209" s="1"/>
      <x:c r="J209" s="1"/>
      <x:c r="K209" s="1"/>
      <x:c r="L209" s="1"/>
      <x:c r="M209" s="1"/>
      <x:c r="N209" s="1"/>
      <x:c r="O209" s="1"/>
      <x:c r="P209" s="1"/>
      <x:c r="Q209" s="1"/>
      <x:c r="R209" s="1"/>
      <x:c r="S209" s="1"/>
      <x:c r="T209" s="1"/>
      <x:c r="U209" s="1"/>
      <x:c r="V209" s="1"/>
      <x:c r="W209" s="1"/>
      <x:c r="X209" s="1"/>
      <x:c r="Y209" s="1"/>
      <x:c r="Z209" s="1"/>
    </x:row>
    <x:row r="210">
      <x:c r="A210" s="1"/>
      <x:c r="B210" s="1"/>
      <x:c r="C210" s="1"/>
      <x:c r="D210" s="1"/>
      <x:c r="E210" s="1"/>
      <x:c r="F210" s="1"/>
      <x:c r="G210" s="1"/>
      <x:c r="H210" s="1"/>
      <x:c r="I210" s="1"/>
      <x:c r="J210" s="1"/>
      <x:c r="K210" s="1"/>
      <x:c r="L210" s="1"/>
      <x:c r="M210" s="1"/>
      <x:c r="N210" s="1"/>
      <x:c r="O210" s="1"/>
      <x:c r="P210" s="1"/>
      <x:c r="Q210" s="1"/>
      <x:c r="R210" s="1"/>
      <x:c r="S210" s="1"/>
      <x:c r="T210" s="1"/>
      <x:c r="U210" s="1"/>
      <x:c r="V210" s="1"/>
      <x:c r="W210" s="1"/>
      <x:c r="X210" s="1"/>
      <x:c r="Y210" s="1"/>
      <x:c r="Z210" s="1"/>
    </x:row>
    <x:row r="211">
      <x:c r="A211" s="1"/>
      <x:c r="B211" s="1"/>
      <x:c r="C211" s="1"/>
      <x:c r="D211" s="1"/>
      <x:c r="E211" s="1"/>
      <x:c r="F211" s="1"/>
      <x:c r="G211" s="1"/>
      <x:c r="H211" s="1"/>
      <x:c r="I211" s="1"/>
      <x:c r="J211" s="1"/>
      <x:c r="K211" s="1"/>
      <x:c r="L211" s="1"/>
      <x:c r="M211" s="1"/>
      <x:c r="N211" s="1"/>
      <x:c r="O211" s="1"/>
      <x:c r="P211" s="1"/>
      <x:c r="Q211" s="1"/>
      <x:c r="R211" s="1"/>
      <x:c r="S211" s="1"/>
      <x:c r="T211" s="1"/>
      <x:c r="U211" s="1"/>
      <x:c r="V211" s="1"/>
      <x:c r="W211" s="1"/>
      <x:c r="X211" s="1"/>
      <x:c r="Y211" s="1"/>
      <x:c r="Z211" s="1"/>
    </x:row>
    <x:row r="212">
      <x:c r="A212" s="1"/>
      <x:c r="B212" s="1"/>
      <x:c r="C212" s="1"/>
      <x:c r="D212" s="1"/>
      <x:c r="E212" s="1"/>
      <x:c r="F212" s="1"/>
      <x:c r="G212" s="1"/>
      <x:c r="H212" s="1"/>
      <x:c r="I212" s="1"/>
      <x:c r="J212" s="1"/>
      <x:c r="K212" s="1"/>
      <x:c r="L212" s="1"/>
      <x:c r="M212" s="1"/>
      <x:c r="N212" s="1"/>
      <x:c r="O212" s="1"/>
      <x:c r="P212" s="1"/>
      <x:c r="Q212" s="1"/>
      <x:c r="R212" s="1"/>
      <x:c r="S212" s="1"/>
      <x:c r="T212" s="1"/>
      <x:c r="U212" s="1"/>
      <x:c r="V212" s="1"/>
      <x:c r="W212" s="1"/>
      <x:c r="X212" s="1"/>
      <x:c r="Y212" s="1"/>
      <x:c r="Z212" s="1"/>
    </x:row>
    <x:row r="213">
      <x:c r="A213" s="1"/>
      <x:c r="B213" s="1"/>
      <x:c r="C213" s="1"/>
      <x:c r="D213" s="1"/>
      <x:c r="E213" s="1"/>
      <x:c r="F213" s="1"/>
      <x:c r="G213" s="1"/>
      <x:c r="H213" s="1"/>
      <x:c r="I213" s="1"/>
      <x:c r="J213" s="1"/>
      <x:c r="K213" s="1"/>
      <x:c r="L213" s="1"/>
      <x:c r="M213" s="1"/>
      <x:c r="N213" s="1"/>
      <x:c r="O213" s="1"/>
      <x:c r="P213" s="1"/>
      <x:c r="Q213" s="1"/>
      <x:c r="R213" s="1"/>
      <x:c r="S213" s="1"/>
      <x:c r="T213" s="1"/>
      <x:c r="U213" s="1"/>
      <x:c r="V213" s="1"/>
      <x:c r="W213" s="1"/>
      <x:c r="X213" s="1"/>
      <x:c r="Y213" s="1"/>
      <x:c r="Z213" s="1"/>
    </x:row>
    <x:row r="214">
      <x:c r="A214" s="1"/>
      <x:c r="B214" s="1"/>
      <x:c r="C214" s="1"/>
      <x:c r="D214" s="1"/>
      <x:c r="E214" s="1"/>
      <x:c r="F214" s="1"/>
      <x:c r="G214" s="1"/>
      <x:c r="H214" s="1"/>
      <x:c r="I214" s="1"/>
      <x:c r="J214" s="1"/>
      <x:c r="K214" s="1"/>
      <x:c r="L214" s="1"/>
      <x:c r="M214" s="1"/>
      <x:c r="N214" s="1"/>
      <x:c r="O214" s="1"/>
      <x:c r="P214" s="1"/>
      <x:c r="Q214" s="1"/>
      <x:c r="R214" s="1"/>
      <x:c r="S214" s="1"/>
      <x:c r="T214" s="1"/>
      <x:c r="U214" s="1"/>
      <x:c r="V214" s="1"/>
      <x:c r="W214" s="1"/>
      <x:c r="X214" s="1"/>
      <x:c r="Y214" s="1"/>
      <x:c r="Z214" s="1"/>
    </x:row>
    <x:row r="215">
      <x:c r="A215" s="1"/>
      <x:c r="B215" s="1"/>
      <x:c r="C215" s="1"/>
      <x:c r="D215" s="1"/>
      <x:c r="E215" s="1"/>
      <x:c r="F215" s="1"/>
      <x:c r="G215" s="1"/>
      <x:c r="H215" s="1"/>
      <x:c r="I215" s="1"/>
      <x:c r="J215" s="1"/>
      <x:c r="K215" s="1"/>
      <x:c r="L215" s="1"/>
      <x:c r="M215" s="1"/>
      <x:c r="N215" s="1"/>
      <x:c r="O215" s="1"/>
      <x:c r="P215" s="1"/>
      <x:c r="Q215" s="1"/>
      <x:c r="R215" s="1"/>
      <x:c r="S215" s="1"/>
      <x:c r="T215" s="1"/>
      <x:c r="U215" s="1"/>
      <x:c r="V215" s="1"/>
      <x:c r="W215" s="1"/>
      <x:c r="X215" s="1"/>
      <x:c r="Y215" s="1"/>
      <x:c r="Z215" s="1"/>
    </x:row>
    <x:row r="216">
      <x:c r="A216" s="1"/>
      <x:c r="B216" s="1"/>
      <x:c r="C216" s="1"/>
      <x:c r="D216" s="1"/>
      <x:c r="E216" s="1"/>
      <x:c r="F216" s="1"/>
      <x:c r="G216" s="1"/>
      <x:c r="H216" s="1"/>
      <x:c r="I216" s="1"/>
      <x:c r="J216" s="1"/>
      <x:c r="K216" s="1"/>
      <x:c r="L216" s="1"/>
      <x:c r="M216" s="1"/>
      <x:c r="N216" s="1"/>
      <x:c r="O216" s="1"/>
      <x:c r="P216" s="1"/>
      <x:c r="Q216" s="1"/>
      <x:c r="R216" s="1"/>
      <x:c r="S216" s="1"/>
      <x:c r="T216" s="1"/>
      <x:c r="U216" s="1"/>
      <x:c r="V216" s="1"/>
      <x:c r="W216" s="1"/>
      <x:c r="X216" s="1"/>
      <x:c r="Y216" s="1"/>
      <x:c r="Z216" s="1"/>
    </x:row>
    <x:row r="217">
      <x:c r="A217" s="1"/>
      <x:c r="B217" s="1"/>
      <x:c r="C217" s="1"/>
      <x:c r="D217" s="1"/>
      <x:c r="E217" s="1"/>
      <x:c r="F217" s="1"/>
      <x:c r="G217" s="1"/>
      <x:c r="H217" s="1"/>
      <x:c r="I217" s="1"/>
      <x:c r="J217" s="1"/>
      <x:c r="K217" s="1"/>
      <x:c r="L217" s="1"/>
      <x:c r="M217" s="1"/>
      <x:c r="N217" s="1"/>
      <x:c r="O217" s="1"/>
      <x:c r="P217" s="1"/>
      <x:c r="Q217" s="1"/>
      <x:c r="R217" s="1"/>
      <x:c r="S217" s="1"/>
      <x:c r="T217" s="1"/>
      <x:c r="U217" s="1"/>
      <x:c r="V217" s="1"/>
      <x:c r="W217" s="1"/>
      <x:c r="X217" s="1"/>
      <x:c r="Y217" s="1"/>
      <x:c r="Z217" s="1"/>
    </x:row>
    <x:row r="218">
      <x:c r="A218" s="1"/>
      <x:c r="B218" s="1"/>
      <x:c r="C218" s="1"/>
      <x:c r="D218" s="1"/>
      <x:c r="E218" s="1"/>
      <x:c r="F218" s="1"/>
      <x:c r="G218" s="1"/>
      <x:c r="H218" s="1"/>
      <x:c r="I218" s="1"/>
      <x:c r="J218" s="1"/>
      <x:c r="K218" s="1"/>
      <x:c r="L218" s="1"/>
      <x:c r="M218" s="1"/>
      <x:c r="N218" s="1"/>
      <x:c r="O218" s="1"/>
      <x:c r="P218" s="1"/>
      <x:c r="Q218" s="1"/>
      <x:c r="R218" s="1"/>
      <x:c r="S218" s="1"/>
      <x:c r="T218" s="1"/>
      <x:c r="U218" s="1"/>
      <x:c r="V218" s="1"/>
      <x:c r="W218" s="1"/>
      <x:c r="X218" s="1"/>
      <x:c r="Y218" s="1"/>
      <x:c r="Z218" s="1"/>
    </x:row>
    <x:row r="219">
      <x:c r="A219" s="1"/>
      <x:c r="B219" s="1"/>
      <x:c r="C219" s="1"/>
      <x:c r="D219" s="1"/>
      <x:c r="E219" s="1"/>
      <x:c r="F219" s="1"/>
      <x:c r="G219" s="1"/>
      <x:c r="H219" s="1"/>
      <x:c r="I219" s="1"/>
      <x:c r="J219" s="1"/>
      <x:c r="K219" s="1"/>
      <x:c r="L219" s="1"/>
      <x:c r="M219" s="1"/>
      <x:c r="N219" s="1"/>
      <x:c r="O219" s="1"/>
      <x:c r="P219" s="1"/>
      <x:c r="Q219" s="1"/>
      <x:c r="R219" s="1"/>
      <x:c r="S219" s="1"/>
      <x:c r="T219" s="1"/>
      <x:c r="U219" s="1"/>
      <x:c r="V219" s="1"/>
      <x:c r="W219" s="1"/>
      <x:c r="X219" s="1"/>
      <x:c r="Y219" s="1"/>
      <x:c r="Z219" s="1"/>
    </x:row>
    <x:row r="220">
      <x:c r="A220" s="1"/>
      <x:c r="B220" s="1"/>
      <x:c r="C220" s="1"/>
      <x:c r="D220" s="1"/>
      <x:c r="E220" s="1"/>
      <x:c r="F220" s="1"/>
      <x:c r="G220" s="1"/>
      <x:c r="H220" s="1"/>
      <x:c r="I220" s="1"/>
      <x:c r="J220" s="1"/>
      <x:c r="K220" s="1"/>
      <x:c r="L220" s="1"/>
      <x:c r="M220" s="1"/>
      <x:c r="N220" s="1"/>
      <x:c r="O220" s="1"/>
      <x:c r="P220" s="1"/>
      <x:c r="Q220" s="1"/>
      <x:c r="R220" s="1"/>
      <x:c r="S220" s="1"/>
      <x:c r="T220" s="1"/>
      <x:c r="U220" s="1"/>
      <x:c r="V220" s="1"/>
      <x:c r="W220" s="1"/>
      <x:c r="X220" s="1"/>
      <x:c r="Y220" s="1"/>
      <x:c r="Z220" s="1"/>
    </x:row>
    <x:row r="221">
      <x:c r="A221" s="1"/>
      <x:c r="B221" s="1"/>
      <x:c r="C221" s="1"/>
      <x:c r="D221" s="1"/>
      <x:c r="E221" s="1"/>
      <x:c r="F221" s="1"/>
      <x:c r="G221" s="1"/>
      <x:c r="H221" s="1"/>
      <x:c r="I221" s="1"/>
      <x:c r="J221" s="1"/>
      <x:c r="K221" s="1"/>
      <x:c r="L221" s="1"/>
      <x:c r="M221" s="1"/>
      <x:c r="N221" s="1"/>
      <x:c r="O221" s="1"/>
      <x:c r="P221" s="1"/>
      <x:c r="Q221" s="1"/>
      <x:c r="R221" s="1"/>
      <x:c r="S221" s="1"/>
      <x:c r="T221" s="1"/>
      <x:c r="U221" s="1"/>
      <x:c r="V221" s="1"/>
      <x:c r="W221" s="1"/>
      <x:c r="X221" s="1"/>
      <x:c r="Y221" s="1"/>
      <x:c r="Z221" s="1"/>
    </x:row>
    <x:row r="222">
      <x:c r="A222" s="1"/>
      <x:c r="B222" s="1"/>
      <x:c r="C222" s="1"/>
      <x:c r="D222" s="1"/>
      <x:c r="E222" s="1"/>
      <x:c r="F222" s="1"/>
      <x:c r="G222" s="1"/>
      <x:c r="H222" s="1"/>
      <x:c r="I222" s="1"/>
      <x:c r="J222" s="1"/>
      <x:c r="K222" s="1"/>
      <x:c r="L222" s="1"/>
      <x:c r="M222" s="1"/>
      <x:c r="N222" s="1"/>
      <x:c r="O222" s="1"/>
      <x:c r="P222" s="1"/>
      <x:c r="Q222" s="1"/>
      <x:c r="R222" s="1"/>
      <x:c r="S222" s="1"/>
      <x:c r="T222" s="1"/>
      <x:c r="U222" s="1"/>
      <x:c r="V222" s="1"/>
      <x:c r="W222" s="1"/>
      <x:c r="X222" s="1"/>
      <x:c r="Y222" s="1"/>
      <x:c r="Z222" s="1"/>
    </x:row>
    <x:row r="223">
      <x:c r="A223" s="1"/>
      <x:c r="B223" s="1"/>
      <x:c r="C223" s="1"/>
      <x:c r="D223" s="1"/>
      <x:c r="E223" s="1"/>
      <x:c r="F223" s="1"/>
      <x:c r="G223" s="1"/>
      <x:c r="H223" s="1"/>
      <x:c r="I223" s="1"/>
      <x:c r="J223" s="1"/>
      <x:c r="K223" s="1"/>
      <x:c r="L223" s="1"/>
      <x:c r="M223" s="1"/>
      <x:c r="N223" s="1"/>
      <x:c r="O223" s="1"/>
      <x:c r="P223" s="1"/>
      <x:c r="Q223" s="1"/>
      <x:c r="R223" s="1"/>
      <x:c r="S223" s="1"/>
      <x:c r="T223" s="1"/>
      <x:c r="U223" s="1"/>
      <x:c r="V223" s="1"/>
      <x:c r="W223" s="1"/>
      <x:c r="X223" s="1"/>
      <x:c r="Y223" s="1"/>
      <x:c r="Z223" s="1"/>
    </x:row>
    <x:row r="224">
      <x:c r="A224" s="1"/>
      <x:c r="B224" s="1"/>
      <x:c r="C224" s="1"/>
      <x:c r="D224" s="1"/>
      <x:c r="E224" s="1"/>
      <x:c r="F224" s="1"/>
      <x:c r="G224" s="1"/>
      <x:c r="H224" s="1"/>
      <x:c r="I224" s="1"/>
      <x:c r="J224" s="1"/>
      <x:c r="K224" s="1"/>
      <x:c r="L224" s="1"/>
      <x:c r="M224" s="1"/>
      <x:c r="N224" s="1"/>
      <x:c r="O224" s="1"/>
      <x:c r="P224" s="1"/>
      <x:c r="Q224" s="1"/>
      <x:c r="R224" s="1"/>
      <x:c r="S224" s="1"/>
      <x:c r="T224" s="1"/>
      <x:c r="U224" s="1"/>
      <x:c r="V224" s="1"/>
      <x:c r="W224" s="1"/>
      <x:c r="X224" s="1"/>
      <x:c r="Y224" s="1"/>
      <x:c r="Z224" s="1"/>
    </x:row>
    <x:row r="225">
      <x:c r="A225" s="1"/>
      <x:c r="B225" s="1"/>
      <x:c r="C225" s="1"/>
      <x:c r="D225" s="1"/>
      <x:c r="E225" s="1"/>
      <x:c r="F225" s="1"/>
      <x:c r="G225" s="1"/>
      <x:c r="H225" s="1"/>
      <x:c r="I225" s="1"/>
      <x:c r="J225" s="1"/>
      <x:c r="K225" s="1"/>
      <x:c r="L225" s="1"/>
      <x:c r="M225" s="1"/>
      <x:c r="N225" s="1"/>
      <x:c r="O225" s="1"/>
      <x:c r="P225" s="1"/>
      <x:c r="Q225" s="1"/>
      <x:c r="R225" s="1"/>
      <x:c r="S225" s="1"/>
      <x:c r="T225" s="1"/>
      <x:c r="U225" s="1"/>
      <x:c r="V225" s="1"/>
      <x:c r="W225" s="1"/>
      <x:c r="X225" s="1"/>
      <x:c r="Y225" s="1"/>
      <x:c r="Z225" s="1"/>
    </x:row>
    <x:row r="226">
      <x:c r="A226" s="1"/>
      <x:c r="B226" s="1"/>
      <x:c r="C226" s="1"/>
      <x:c r="D226" s="1"/>
      <x:c r="E226" s="1"/>
      <x:c r="F226" s="1"/>
      <x:c r="G226" s="1"/>
      <x:c r="H226" s="1"/>
      <x:c r="I226" s="1"/>
      <x:c r="J226" s="1"/>
      <x:c r="K226" s="1"/>
      <x:c r="L226" s="1"/>
      <x:c r="M226" s="1"/>
      <x:c r="N226" s="1"/>
      <x:c r="O226" s="1"/>
      <x:c r="P226" s="1"/>
      <x:c r="Q226" s="1"/>
      <x:c r="R226" s="1"/>
      <x:c r="S226" s="1"/>
      <x:c r="T226" s="1"/>
      <x:c r="U226" s="1"/>
      <x:c r="V226" s="1"/>
      <x:c r="W226" s="1"/>
      <x:c r="X226" s="1"/>
      <x:c r="Y226" s="1"/>
      <x:c r="Z226" s="1"/>
    </x:row>
    <x:row r="227">
      <x:c r="A227" s="1"/>
      <x:c r="B227" s="1"/>
      <x:c r="C227" s="1"/>
      <x:c r="D227" s="1"/>
      <x:c r="E227" s="1"/>
      <x:c r="F227" s="1"/>
      <x:c r="G227" s="1"/>
      <x:c r="H227" s="1"/>
      <x:c r="I227" s="1"/>
      <x:c r="J227" s="1"/>
      <x:c r="K227" s="1"/>
      <x:c r="L227" s="1"/>
      <x:c r="M227" s="1"/>
      <x:c r="N227" s="1"/>
      <x:c r="O227" s="1"/>
      <x:c r="P227" s="1"/>
      <x:c r="Q227" s="1"/>
      <x:c r="R227" s="1"/>
      <x:c r="S227" s="1"/>
      <x:c r="T227" s="1"/>
      <x:c r="U227" s="1"/>
      <x:c r="V227" s="1"/>
      <x:c r="W227" s="1"/>
      <x:c r="X227" s="1"/>
      <x:c r="Y227" s="1"/>
      <x:c r="Z227" s="1"/>
    </x:row>
    <x:row r="228">
      <x:c r="A228" s="1"/>
      <x:c r="B228" s="1"/>
      <x:c r="C228" s="1"/>
      <x:c r="D228" s="1"/>
      <x:c r="E228" s="1"/>
      <x:c r="F228" s="1"/>
      <x:c r="G228" s="1"/>
      <x:c r="H228" s="1"/>
      <x:c r="I228" s="1"/>
      <x:c r="J228" s="1"/>
      <x:c r="K228" s="1"/>
      <x:c r="L228" s="1"/>
      <x:c r="M228" s="1"/>
      <x:c r="N228" s="1"/>
      <x:c r="O228" s="1"/>
      <x:c r="P228" s="1"/>
      <x:c r="Q228" s="1"/>
      <x:c r="R228" s="1"/>
      <x:c r="S228" s="1"/>
      <x:c r="T228" s="1"/>
      <x:c r="U228" s="1"/>
      <x:c r="V228" s="1"/>
      <x:c r="W228" s="1"/>
      <x:c r="X228" s="1"/>
      <x:c r="Y228" s="1"/>
      <x:c r="Z228" s="1"/>
    </x:row>
    <x:row r="229">
      <x:c r="A229" s="1"/>
      <x:c r="B229" s="1"/>
      <x:c r="C229" s="1"/>
      <x:c r="D229" s="1"/>
      <x:c r="E229" s="1"/>
      <x:c r="F229" s="1"/>
      <x:c r="G229" s="1"/>
      <x:c r="H229" s="1"/>
      <x:c r="I229" s="1"/>
      <x:c r="J229" s="1"/>
      <x:c r="K229" s="1"/>
      <x:c r="L229" s="1"/>
      <x:c r="M229" s="1"/>
      <x:c r="N229" s="1"/>
      <x:c r="O229" s="1"/>
      <x:c r="P229" s="1"/>
      <x:c r="Q229" s="1"/>
      <x:c r="R229" s="1"/>
      <x:c r="S229" s="1"/>
      <x:c r="T229" s="1"/>
      <x:c r="U229" s="1"/>
      <x:c r="V229" s="1"/>
      <x:c r="W229" s="1"/>
      <x:c r="X229" s="1"/>
      <x:c r="Y229" s="1"/>
      <x:c r="Z229" s="1"/>
    </x:row>
    <x:row r="230">
      <x:c r="A230" s="1"/>
      <x:c r="B230" s="1"/>
      <x:c r="C230" s="1"/>
      <x:c r="D230" s="1"/>
      <x:c r="E230" s="1"/>
      <x:c r="F230" s="1"/>
      <x:c r="G230" s="1"/>
      <x:c r="H230" s="1"/>
      <x:c r="I230" s="1"/>
      <x:c r="J230" s="1"/>
      <x:c r="K230" s="1"/>
      <x:c r="L230" s="1"/>
      <x:c r="M230" s="1"/>
      <x:c r="N230" s="1"/>
      <x:c r="O230" s="1"/>
      <x:c r="P230" s="1"/>
      <x:c r="Q230" s="1"/>
      <x:c r="R230" s="1"/>
      <x:c r="S230" s="1"/>
      <x:c r="T230" s="1"/>
      <x:c r="U230" s="1"/>
      <x:c r="V230" s="1"/>
      <x:c r="W230" s="1"/>
      <x:c r="X230" s="1"/>
      <x:c r="Y230" s="1"/>
      <x:c r="Z230" s="1"/>
    </x:row>
    <x:row r="231">
      <x:c r="A231" s="1"/>
      <x:c r="B231" s="1"/>
      <x:c r="C231" s="1"/>
      <x:c r="D231" s="1"/>
      <x:c r="E231" s="1"/>
      <x:c r="F231" s="1"/>
      <x:c r="G231" s="1"/>
      <x:c r="H231" s="1"/>
      <x:c r="I231" s="1"/>
      <x:c r="J231" s="1"/>
      <x:c r="K231" s="1"/>
      <x:c r="L231" s="1"/>
      <x:c r="M231" s="1"/>
      <x:c r="N231" s="1"/>
      <x:c r="O231" s="1"/>
      <x:c r="P231" s="1"/>
      <x:c r="Q231" s="1"/>
      <x:c r="R231" s="1"/>
      <x:c r="S231" s="1"/>
      <x:c r="T231" s="1"/>
      <x:c r="U231" s="1"/>
      <x:c r="V231" s="1"/>
      <x:c r="W231" s="1"/>
      <x:c r="X231" s="1"/>
      <x:c r="Y231" s="1"/>
      <x:c r="Z231" s="1"/>
    </x:row>
    <x:row r="232">
      <x:c r="A232" s="1"/>
      <x:c r="B232" s="1"/>
      <x:c r="C232" s="1"/>
      <x:c r="D232" s="1"/>
      <x:c r="E232" s="1"/>
      <x:c r="F232" s="1"/>
      <x:c r="G232" s="1"/>
      <x:c r="H232" s="1"/>
      <x:c r="I232" s="1"/>
      <x:c r="J232" s="1"/>
      <x:c r="K232" s="1"/>
      <x:c r="L232" s="1"/>
      <x:c r="M232" s="1"/>
      <x:c r="N232" s="1"/>
      <x:c r="O232" s="1"/>
      <x:c r="P232" s="1"/>
      <x:c r="Q232" s="1"/>
      <x:c r="R232" s="1"/>
      <x:c r="S232" s="1"/>
      <x:c r="T232" s="1"/>
      <x:c r="U232" s="1"/>
      <x:c r="V232" s="1"/>
      <x:c r="W232" s="1"/>
      <x:c r="X232" s="1"/>
      <x:c r="Y232" s="1"/>
      <x:c r="Z232" s="1"/>
    </x:row>
    <x:row r="233">
      <x:c r="A233" s="1"/>
      <x:c r="B233" s="1"/>
      <x:c r="C233" s="1"/>
      <x:c r="D233" s="1"/>
      <x:c r="E233" s="1"/>
      <x:c r="F233" s="1"/>
      <x:c r="G233" s="1"/>
      <x:c r="H233" s="1"/>
      <x:c r="I233" s="1"/>
      <x:c r="J233" s="1"/>
      <x:c r="K233" s="1"/>
      <x:c r="L233" s="1"/>
      <x:c r="M233" s="1"/>
      <x:c r="N233" s="1"/>
      <x:c r="O233" s="1"/>
      <x:c r="P233" s="1"/>
      <x:c r="Q233" s="1"/>
      <x:c r="R233" s="1"/>
      <x:c r="S233" s="1"/>
      <x:c r="T233" s="1"/>
      <x:c r="U233" s="1"/>
      <x:c r="V233" s="1"/>
      <x:c r="W233" s="1"/>
      <x:c r="X233" s="1"/>
      <x:c r="Y233" s="1"/>
      <x:c r="Z233" s="1"/>
    </x:row>
    <x:row r="234">
      <x:c r="A234" s="1"/>
      <x:c r="B234" s="1"/>
      <x:c r="C234" s="1"/>
      <x:c r="D234" s="1"/>
      <x:c r="E234" s="1"/>
      <x:c r="F234" s="1"/>
      <x:c r="G234" s="1"/>
      <x:c r="H234" s="1"/>
      <x:c r="I234" s="1"/>
      <x:c r="J234" s="1"/>
      <x:c r="K234" s="1"/>
      <x:c r="L234" s="1"/>
      <x:c r="M234" s="1"/>
      <x:c r="N234" s="1"/>
      <x:c r="O234" s="1"/>
      <x:c r="P234" s="1"/>
      <x:c r="Q234" s="1"/>
      <x:c r="R234" s="1"/>
      <x:c r="S234" s="1"/>
      <x:c r="T234" s="1"/>
      <x:c r="U234" s="1"/>
      <x:c r="V234" s="1"/>
      <x:c r="W234" s="1"/>
      <x:c r="X234" s="1"/>
      <x:c r="Y234" s="1"/>
      <x:c r="Z234" s="1"/>
    </x:row>
    <x:row r="235">
      <x:c r="A235" s="1"/>
      <x:c r="B235" s="1"/>
      <x:c r="C235" s="1"/>
      <x:c r="D235" s="1"/>
      <x:c r="E235" s="1"/>
      <x:c r="F235" s="1"/>
      <x:c r="G235" s="1"/>
      <x:c r="H235" s="1"/>
      <x:c r="I235" s="1"/>
      <x:c r="J235" s="1"/>
      <x:c r="K235" s="1"/>
      <x:c r="L235" s="1"/>
      <x:c r="M235" s="1"/>
      <x:c r="N235" s="1"/>
      <x:c r="O235" s="1"/>
      <x:c r="P235" s="1"/>
      <x:c r="Q235" s="1"/>
      <x:c r="R235" s="1"/>
      <x:c r="S235" s="1"/>
      <x:c r="T235" s="1"/>
      <x:c r="U235" s="1"/>
      <x:c r="V235" s="1"/>
      <x:c r="W235" s="1"/>
      <x:c r="X235" s="1"/>
      <x:c r="Y235" s="1"/>
      <x:c r="Z235" s="1"/>
    </x:row>
    <x:row r="236">
      <x:c r="A236" s="1"/>
      <x:c r="B236" s="1"/>
      <x:c r="C236" s="1"/>
      <x:c r="D236" s="1"/>
      <x:c r="E236" s="1"/>
      <x:c r="F236" s="1"/>
      <x:c r="G236" s="1"/>
      <x:c r="H236" s="1"/>
      <x:c r="I236" s="1"/>
      <x:c r="J236" s="1"/>
      <x:c r="K236" s="1"/>
      <x:c r="L236" s="1"/>
      <x:c r="M236" s="1"/>
      <x:c r="N236" s="1"/>
      <x:c r="O236" s="1"/>
      <x:c r="P236" s="1"/>
      <x:c r="Q236" s="1"/>
      <x:c r="R236" s="1"/>
      <x:c r="S236" s="1"/>
      <x:c r="T236" s="1"/>
      <x:c r="U236" s="1"/>
      <x:c r="V236" s="1"/>
      <x:c r="W236" s="1"/>
      <x:c r="X236" s="1"/>
      <x:c r="Y236" s="1"/>
      <x:c r="Z236" s="1"/>
    </x:row>
    <x:row r="237">
      <x:c r="A237" s="1"/>
      <x:c r="B237" s="1"/>
      <x:c r="C237" s="1"/>
      <x:c r="D237" s="1"/>
      <x:c r="E237" s="1"/>
      <x:c r="F237" s="1"/>
      <x:c r="G237" s="1"/>
      <x:c r="H237" s="1"/>
      <x:c r="I237" s="1"/>
      <x:c r="J237" s="1"/>
      <x:c r="K237" s="1"/>
      <x:c r="L237" s="1"/>
      <x:c r="M237" s="1"/>
      <x:c r="N237" s="1"/>
      <x:c r="O237" s="1"/>
      <x:c r="P237" s="1"/>
      <x:c r="Q237" s="1"/>
      <x:c r="R237" s="1"/>
      <x:c r="S237" s="1"/>
      <x:c r="T237" s="1"/>
      <x:c r="U237" s="1"/>
      <x:c r="V237" s="1"/>
      <x:c r="W237" s="1"/>
      <x:c r="X237" s="1"/>
      <x:c r="Y237" s="1"/>
      <x:c r="Z237" s="1"/>
    </x:row>
    <x:row r="238">
      <x:c r="A238" s="1"/>
      <x:c r="B238" s="1"/>
      <x:c r="C238" s="1"/>
      <x:c r="D238" s="1"/>
      <x:c r="E238" s="1"/>
      <x:c r="F238" s="1"/>
      <x:c r="G238" s="1"/>
      <x:c r="H238" s="1"/>
      <x:c r="I238" s="1"/>
      <x:c r="J238" s="1"/>
      <x:c r="K238" s="1"/>
      <x:c r="L238" s="1"/>
      <x:c r="M238" s="1"/>
      <x:c r="N238" s="1"/>
      <x:c r="O238" s="1"/>
      <x:c r="P238" s="1"/>
      <x:c r="Q238" s="1"/>
      <x:c r="R238" s="1"/>
      <x:c r="S238" s="1"/>
      <x:c r="T238" s="1"/>
      <x:c r="U238" s="1"/>
      <x:c r="V238" s="1"/>
      <x:c r="W238" s="1"/>
      <x:c r="X238" s="1"/>
      <x:c r="Y238" s="1"/>
      <x:c r="Z238" s="1"/>
    </x:row>
    <x:row r="239">
      <x:c r="A239" s="1"/>
      <x:c r="B239" s="1"/>
      <x:c r="C239" s="1"/>
      <x:c r="D239" s="1"/>
      <x:c r="E239" s="1"/>
      <x:c r="F239" s="1"/>
      <x:c r="G239" s="1"/>
      <x:c r="H239" s="1"/>
      <x:c r="I239" s="1"/>
      <x:c r="J239" s="1"/>
      <x:c r="K239" s="1"/>
      <x:c r="L239" s="1"/>
      <x:c r="M239" s="1"/>
      <x:c r="N239" s="1"/>
      <x:c r="O239" s="1"/>
      <x:c r="P239" s="1"/>
      <x:c r="Q239" s="1"/>
      <x:c r="R239" s="1"/>
      <x:c r="S239" s="1"/>
      <x:c r="T239" s="1"/>
      <x:c r="U239" s="1"/>
      <x:c r="V239" s="1"/>
      <x:c r="W239" s="1"/>
      <x:c r="X239" s="1"/>
      <x:c r="Y239" s="1"/>
      <x:c r="Z239" s="1"/>
    </x:row>
    <x:row r="240">
      <x:c r="A240" s="1"/>
      <x:c r="B240" s="1"/>
      <x:c r="C240" s="1"/>
      <x:c r="D240" s="1"/>
      <x:c r="E240" s="1"/>
      <x:c r="F240" s="1"/>
      <x:c r="G240" s="1"/>
      <x:c r="H240" s="1"/>
      <x:c r="I240" s="1"/>
      <x:c r="J240" s="1"/>
      <x:c r="K240" s="1"/>
      <x:c r="L240" s="1"/>
      <x:c r="M240" s="1"/>
      <x:c r="N240" s="1"/>
      <x:c r="O240" s="1"/>
      <x:c r="P240" s="1"/>
      <x:c r="Q240" s="1"/>
      <x:c r="R240" s="1"/>
      <x:c r="S240" s="1"/>
      <x:c r="T240" s="1"/>
      <x:c r="U240" s="1"/>
      <x:c r="V240" s="1"/>
      <x:c r="W240" s="1"/>
      <x:c r="X240" s="1"/>
      <x:c r="Y240" s="1"/>
      <x:c r="Z240" s="1"/>
    </x:row>
    <x:row r="241">
      <x:c r="A241" s="1"/>
      <x:c r="B241" s="1"/>
      <x:c r="C241" s="1"/>
      <x:c r="D241" s="1"/>
      <x:c r="E241" s="1"/>
      <x:c r="F241" s="1"/>
      <x:c r="G241" s="1"/>
      <x:c r="H241" s="1"/>
      <x:c r="I241" s="1"/>
      <x:c r="J241" s="1"/>
      <x:c r="K241" s="1"/>
      <x:c r="L241" s="1"/>
      <x:c r="M241" s="1"/>
      <x:c r="N241" s="1"/>
      <x:c r="O241" s="1"/>
      <x:c r="P241" s="1"/>
      <x:c r="Q241" s="1"/>
      <x:c r="R241" s="1"/>
      <x:c r="S241" s="1"/>
      <x:c r="T241" s="1"/>
      <x:c r="U241" s="1"/>
      <x:c r="V241" s="1"/>
      <x:c r="W241" s="1"/>
      <x:c r="X241" s="1"/>
      <x:c r="Y241" s="1"/>
      <x:c r="Z241" s="1"/>
    </x:row>
    <x:row r="242">
      <x:c r="A242" s="1"/>
      <x:c r="B242" s="1"/>
      <x:c r="C242" s="1"/>
      <x:c r="D242" s="1"/>
      <x:c r="E242" s="1"/>
      <x:c r="F242" s="1"/>
      <x:c r="G242" s="1"/>
      <x:c r="H242" s="1"/>
      <x:c r="I242" s="1"/>
      <x:c r="J242" s="1"/>
      <x:c r="K242" s="1"/>
      <x:c r="L242" s="1"/>
      <x:c r="M242" s="1"/>
      <x:c r="N242" s="1"/>
      <x:c r="O242" s="1"/>
      <x:c r="P242" s="1"/>
      <x:c r="Q242" s="1"/>
      <x:c r="R242" s="1"/>
      <x:c r="S242" s="1"/>
      <x:c r="T242" s="1"/>
      <x:c r="U242" s="1"/>
      <x:c r="V242" s="1"/>
      <x:c r="W242" s="1"/>
      <x:c r="X242" s="1"/>
      <x:c r="Y242" s="1"/>
      <x:c r="Z242" s="1"/>
    </x:row>
    <x:row r="243">
      <x:c r="A243" s="1"/>
      <x:c r="B243" s="1"/>
      <x:c r="C243" s="1"/>
      <x:c r="D243" s="1"/>
      <x:c r="E243" s="1"/>
      <x:c r="F243" s="1"/>
      <x:c r="G243" s="1"/>
      <x:c r="H243" s="1"/>
      <x:c r="I243" s="1"/>
      <x:c r="J243" s="1"/>
      <x:c r="K243" s="1"/>
      <x:c r="L243" s="1"/>
      <x:c r="M243" s="1"/>
      <x:c r="N243" s="1"/>
      <x:c r="O243" s="1"/>
      <x:c r="P243" s="1"/>
      <x:c r="Q243" s="1"/>
      <x:c r="R243" s="1"/>
      <x:c r="S243" s="1"/>
      <x:c r="T243" s="1"/>
      <x:c r="U243" s="1"/>
      <x:c r="V243" s="1"/>
      <x:c r="W243" s="1"/>
      <x:c r="X243" s="1"/>
      <x:c r="Y243" s="1"/>
      <x:c r="Z243" s="1"/>
    </x:row>
    <x:row r="244">
      <x:c r="A244" s="1"/>
      <x:c r="B244" s="1"/>
      <x:c r="C244" s="1"/>
      <x:c r="D244" s="1"/>
      <x:c r="E244" s="1"/>
      <x:c r="F244" s="1"/>
      <x:c r="G244" s="1"/>
      <x:c r="H244" s="1"/>
      <x:c r="I244" s="1"/>
      <x:c r="J244" s="1"/>
      <x:c r="K244" s="1"/>
      <x:c r="L244" s="1"/>
      <x:c r="M244" s="1"/>
      <x:c r="N244" s="1"/>
      <x:c r="O244" s="1"/>
      <x:c r="P244" s="1"/>
      <x:c r="Q244" s="1"/>
      <x:c r="R244" s="1"/>
      <x:c r="S244" s="1"/>
      <x:c r="T244" s="1"/>
      <x:c r="U244" s="1"/>
      <x:c r="V244" s="1"/>
      <x:c r="W244" s="1"/>
      <x:c r="X244" s="1"/>
      <x:c r="Y244" s="1"/>
      <x:c r="Z244" s="1"/>
    </x:row>
    <x:row r="245">
      <x:c r="A245" s="1"/>
      <x:c r="B245" s="1"/>
      <x:c r="C245" s="1"/>
      <x:c r="D245" s="1"/>
      <x:c r="E245" s="1"/>
      <x:c r="F245" s="1"/>
      <x:c r="G245" s="1"/>
      <x:c r="H245" s="1"/>
      <x:c r="I245" s="1"/>
      <x:c r="J245" s="1"/>
      <x:c r="K245" s="1"/>
      <x:c r="L245" s="1"/>
      <x:c r="M245" s="1"/>
      <x:c r="N245" s="1"/>
      <x:c r="O245" s="1"/>
      <x:c r="P245" s="1"/>
      <x:c r="Q245" s="1"/>
      <x:c r="R245" s="1"/>
      <x:c r="S245" s="1"/>
      <x:c r="T245" s="1"/>
      <x:c r="U245" s="1"/>
      <x:c r="V245" s="1"/>
      <x:c r="W245" s="1"/>
      <x:c r="X245" s="1"/>
      <x:c r="Y245" s="1"/>
      <x:c r="Z245" s="1"/>
    </x:row>
    <x:row r="246">
      <x:c r="A246" s="1"/>
      <x:c r="B246" s="1"/>
      <x:c r="C246" s="1"/>
      <x:c r="D246" s="1"/>
      <x:c r="E246" s="1"/>
      <x:c r="F246" s="1"/>
      <x:c r="G246" s="1"/>
      <x:c r="H246" s="1"/>
      <x:c r="I246" s="1"/>
      <x:c r="J246" s="1"/>
      <x:c r="K246" s="1"/>
      <x:c r="L246" s="1"/>
      <x:c r="M246" s="1"/>
      <x:c r="N246" s="1"/>
      <x:c r="O246" s="1"/>
      <x:c r="P246" s="1"/>
      <x:c r="Q246" s="1"/>
      <x:c r="R246" s="1"/>
      <x:c r="S246" s="1"/>
      <x:c r="T246" s="1"/>
      <x:c r="U246" s="1"/>
      <x:c r="V246" s="1"/>
      <x:c r="W246" s="1"/>
      <x:c r="X246" s="1"/>
      <x:c r="Y246" s="1"/>
      <x:c r="Z246" s="1"/>
    </x:row>
    <x:row r="247">
      <x:c r="A247" s="1"/>
      <x:c r="B247" s="1"/>
      <x:c r="C247" s="1"/>
      <x:c r="D247" s="1"/>
      <x:c r="E247" s="1"/>
      <x:c r="F247" s="1"/>
      <x:c r="G247" s="1"/>
      <x:c r="H247" s="1"/>
      <x:c r="I247" s="1"/>
      <x:c r="J247" s="1"/>
      <x:c r="K247" s="1"/>
      <x:c r="L247" s="1"/>
      <x:c r="M247" s="1"/>
      <x:c r="N247" s="1"/>
      <x:c r="O247" s="1"/>
      <x:c r="P247" s="1"/>
      <x:c r="Q247" s="1"/>
      <x:c r="R247" s="1"/>
      <x:c r="S247" s="1"/>
      <x:c r="T247" s="1"/>
      <x:c r="U247" s="1"/>
      <x:c r="V247" s="1"/>
      <x:c r="W247" s="1"/>
      <x:c r="X247" s="1"/>
      <x:c r="Y247" s="1"/>
      <x:c r="Z247" s="1"/>
    </x:row>
    <x:row r="248">
      <x:c r="A248" s="1"/>
      <x:c r="B248" s="1"/>
      <x:c r="C248" s="1"/>
      <x:c r="D248" s="1"/>
      <x:c r="E248" s="1"/>
      <x:c r="F248" s="1"/>
      <x:c r="G248" s="1"/>
      <x:c r="H248" s="1"/>
      <x:c r="I248" s="1"/>
      <x:c r="J248" s="1"/>
      <x:c r="K248" s="1"/>
      <x:c r="L248" s="1"/>
      <x:c r="M248" s="1"/>
      <x:c r="N248" s="1"/>
      <x:c r="O248" s="1"/>
      <x:c r="P248" s="1"/>
      <x:c r="Q248" s="1"/>
      <x:c r="R248" s="1"/>
      <x:c r="S248" s="1"/>
      <x:c r="T248" s="1"/>
      <x:c r="U248" s="1"/>
      <x:c r="V248" s="1"/>
      <x:c r="W248" s="1"/>
      <x:c r="X248" s="1"/>
      <x:c r="Y248" s="1"/>
      <x:c r="Z248" s="1"/>
    </x:row>
    <x:row r="249">
      <x:c r="A249" s="1"/>
      <x:c r="B249" s="1"/>
      <x:c r="C249" s="1"/>
      <x:c r="D249" s="1"/>
      <x:c r="E249" s="1"/>
      <x:c r="F249" s="1"/>
      <x:c r="G249" s="1"/>
      <x:c r="H249" s="1"/>
      <x:c r="I249" s="1"/>
      <x:c r="J249" s="1"/>
      <x:c r="K249" s="1"/>
      <x:c r="L249" s="1"/>
      <x:c r="M249" s="1"/>
      <x:c r="N249" s="1"/>
      <x:c r="O249" s="1"/>
      <x:c r="P249" s="1"/>
      <x:c r="Q249" s="1"/>
      <x:c r="R249" s="1"/>
      <x:c r="S249" s="1"/>
      <x:c r="T249" s="1"/>
      <x:c r="U249" s="1"/>
      <x:c r="V249" s="1"/>
      <x:c r="W249" s="1"/>
      <x:c r="X249" s="1"/>
      <x:c r="Y249" s="1"/>
      <x:c r="Z249" s="1"/>
    </x:row>
    <x:row r="250">
      <x:c r="A250" s="1"/>
      <x:c r="B250" s="1"/>
      <x:c r="C250" s="1"/>
      <x:c r="D250" s="1"/>
      <x:c r="E250" s="1"/>
      <x:c r="F250" s="1"/>
      <x:c r="G250" s="1"/>
      <x:c r="H250" s="1"/>
      <x:c r="I250" s="1"/>
      <x:c r="J250" s="1"/>
      <x:c r="K250" s="1"/>
      <x:c r="L250" s="1"/>
      <x:c r="M250" s="1"/>
      <x:c r="N250" s="1"/>
      <x:c r="O250" s="1"/>
      <x:c r="P250" s="1"/>
      <x:c r="Q250" s="1"/>
      <x:c r="R250" s="1"/>
      <x:c r="S250" s="1"/>
      <x:c r="T250" s="1"/>
      <x:c r="U250" s="1"/>
      <x:c r="V250" s="1"/>
      <x:c r="W250" s="1"/>
      <x:c r="X250" s="1"/>
      <x:c r="Y250" s="1"/>
      <x:c r="Z250" s="1"/>
    </x:row>
    <x:row r="251">
      <x:c r="A251" s="1"/>
      <x:c r="B251" s="1"/>
      <x:c r="C251" s="1"/>
      <x:c r="D251" s="1"/>
      <x:c r="E251" s="1"/>
      <x:c r="F251" s="1"/>
      <x:c r="G251" s="1"/>
      <x:c r="H251" s="1"/>
      <x:c r="I251" s="1"/>
      <x:c r="J251" s="1"/>
      <x:c r="K251" s="1"/>
      <x:c r="L251" s="1"/>
      <x:c r="M251" s="1"/>
      <x:c r="N251" s="1"/>
      <x:c r="O251" s="1"/>
      <x:c r="P251" s="1"/>
      <x:c r="Q251" s="1"/>
      <x:c r="R251" s="1"/>
      <x:c r="S251" s="1"/>
      <x:c r="T251" s="1"/>
      <x:c r="U251" s="1"/>
      <x:c r="V251" s="1"/>
      <x:c r="W251" s="1"/>
      <x:c r="X251" s="1"/>
      <x:c r="Y251" s="1"/>
      <x:c r="Z251" s="1"/>
    </x:row>
    <x:row r="252">
      <x:c r="A252" s="1"/>
      <x:c r="B252" s="1"/>
      <x:c r="C252" s="1"/>
      <x:c r="D252" s="1"/>
      <x:c r="E252" s="1"/>
      <x:c r="F252" s="1"/>
      <x:c r="G252" s="1"/>
      <x:c r="H252" s="1"/>
      <x:c r="I252" s="1"/>
      <x:c r="J252" s="1"/>
      <x:c r="K252" s="1"/>
      <x:c r="L252" s="1"/>
      <x:c r="M252" s="1"/>
      <x:c r="N252" s="1"/>
      <x:c r="O252" s="1"/>
      <x:c r="P252" s="1"/>
      <x:c r="Q252" s="1"/>
      <x:c r="R252" s="1"/>
      <x:c r="S252" s="1"/>
      <x:c r="T252" s="1"/>
      <x:c r="U252" s="1"/>
      <x:c r="V252" s="1"/>
      <x:c r="W252" s="1"/>
      <x:c r="X252" s="1"/>
      <x:c r="Y252" s="1"/>
      <x:c r="Z252" s="1"/>
    </x:row>
    <x:row r="253">
      <x:c r="A253" s="1"/>
      <x:c r="B253" s="1"/>
      <x:c r="C253" s="1"/>
      <x:c r="D253" s="1"/>
      <x:c r="E253" s="1"/>
      <x:c r="F253" s="1"/>
      <x:c r="G253" s="1"/>
      <x:c r="H253" s="1"/>
      <x:c r="I253" s="1"/>
      <x:c r="J253" s="1"/>
      <x:c r="K253" s="1"/>
      <x:c r="L253" s="1"/>
      <x:c r="M253" s="1"/>
      <x:c r="N253" s="1"/>
      <x:c r="O253" s="1"/>
      <x:c r="P253" s="1"/>
      <x:c r="Q253" s="1"/>
      <x:c r="R253" s="1"/>
      <x:c r="S253" s="1"/>
      <x:c r="T253" s="1"/>
      <x:c r="U253" s="1"/>
      <x:c r="V253" s="1"/>
      <x:c r="W253" s="1"/>
      <x:c r="X253" s="1"/>
      <x:c r="Y253" s="1"/>
      <x:c r="Z253" s="1"/>
    </x:row>
    <x:row r="254">
      <x:c r="A254" s="1"/>
      <x:c r="B254" s="1"/>
      <x:c r="C254" s="1"/>
      <x:c r="D254" s="1"/>
      <x:c r="E254" s="1"/>
      <x:c r="F254" s="1"/>
      <x:c r="G254" s="1"/>
      <x:c r="H254" s="1"/>
      <x:c r="I254" s="1"/>
      <x:c r="J254" s="1"/>
      <x:c r="K254" s="1"/>
      <x:c r="L254" s="1"/>
      <x:c r="M254" s="1"/>
      <x:c r="N254" s="1"/>
      <x:c r="O254" s="1"/>
      <x:c r="P254" s="1"/>
      <x:c r="Q254" s="1"/>
      <x:c r="R254" s="1"/>
      <x:c r="S254" s="1"/>
      <x:c r="T254" s="1"/>
      <x:c r="U254" s="1"/>
      <x:c r="V254" s="1"/>
      <x:c r="W254" s="1"/>
      <x:c r="X254" s="1"/>
      <x:c r="Y254" s="1"/>
      <x:c r="Z254" s="1"/>
    </x:row>
    <x:row r="255">
      <x:c r="A255" s="1"/>
      <x:c r="B255" s="1"/>
      <x:c r="C255" s="1"/>
      <x:c r="D255" s="1"/>
      <x:c r="E255" s="1"/>
      <x:c r="F255" s="1"/>
      <x:c r="G255" s="1"/>
      <x:c r="H255" s="1"/>
      <x:c r="I255" s="1"/>
      <x:c r="J255" s="1"/>
      <x:c r="K255" s="1"/>
      <x:c r="L255" s="1"/>
      <x:c r="M255" s="1"/>
      <x:c r="N255" s="1"/>
      <x:c r="O255" s="1"/>
      <x:c r="P255" s="1"/>
      <x:c r="Q255" s="1"/>
      <x:c r="R255" s="1"/>
      <x:c r="S255" s="1"/>
      <x:c r="T255" s="1"/>
      <x:c r="U255" s="1"/>
      <x:c r="V255" s="1"/>
      <x:c r="W255" s="1"/>
      <x:c r="X255" s="1"/>
      <x:c r="Y255" s="1"/>
      <x:c r="Z255" s="1"/>
    </x:row>
    <x:row r="256">
      <x:c r="A256" s="1"/>
      <x:c r="B256" s="1"/>
      <x:c r="C256" s="1"/>
      <x:c r="D256" s="1"/>
      <x:c r="E256" s="1"/>
      <x:c r="F256" s="1"/>
      <x:c r="G256" s="1"/>
      <x:c r="H256" s="1"/>
      <x:c r="I256" s="1"/>
      <x:c r="J256" s="1"/>
      <x:c r="K256" s="1"/>
      <x:c r="L256" s="1"/>
      <x:c r="M256" s="1"/>
      <x:c r="N256" s="1"/>
      <x:c r="O256" s="1"/>
      <x:c r="P256" s="1"/>
      <x:c r="Q256" s="1"/>
      <x:c r="R256" s="1"/>
      <x:c r="S256" s="1"/>
      <x:c r="T256" s="1"/>
      <x:c r="U256" s="1"/>
      <x:c r="V256" s="1"/>
      <x:c r="W256" s="1"/>
      <x:c r="X256" s="1"/>
      <x:c r="Y256" s="1"/>
      <x:c r="Z256" s="1"/>
    </x:row>
    <x:row r="257">
      <x:c r="A257" s="1"/>
      <x:c r="B257" s="1"/>
      <x:c r="C257" s="1"/>
      <x:c r="D257" s="1"/>
      <x:c r="E257" s="1"/>
      <x:c r="F257" s="1"/>
      <x:c r="G257" s="1"/>
      <x:c r="H257" s="1"/>
      <x:c r="I257" s="1"/>
      <x:c r="J257" s="1"/>
      <x:c r="K257" s="1"/>
      <x:c r="L257" s="1"/>
      <x:c r="M257" s="1"/>
      <x:c r="N257" s="1"/>
      <x:c r="O257" s="1"/>
      <x:c r="P257" s="1"/>
      <x:c r="Q257" s="1"/>
      <x:c r="R257" s="1"/>
      <x:c r="S257" s="1"/>
      <x:c r="T257" s="1"/>
      <x:c r="U257" s="1"/>
      <x:c r="V257" s="1"/>
      <x:c r="W257" s="1"/>
      <x:c r="X257" s="1"/>
      <x:c r="Y257" s="1"/>
      <x:c r="Z257" s="1"/>
    </x:row>
    <x:row r="258">
      <x:c r="A258" s="1"/>
      <x:c r="B258" s="1"/>
      <x:c r="C258" s="1"/>
      <x:c r="D258" s="1"/>
      <x:c r="E258" s="1"/>
      <x:c r="F258" s="1"/>
      <x:c r="G258" s="1"/>
      <x:c r="H258" s="1"/>
      <x:c r="I258" s="1"/>
      <x:c r="J258" s="1"/>
      <x:c r="K258" s="1"/>
      <x:c r="L258" s="1"/>
      <x:c r="M258" s="1"/>
      <x:c r="N258" s="1"/>
      <x:c r="O258" s="1"/>
      <x:c r="P258" s="1"/>
      <x:c r="Q258" s="1"/>
      <x:c r="R258" s="1"/>
      <x:c r="S258" s="1"/>
      <x:c r="T258" s="1"/>
      <x:c r="U258" s="1"/>
      <x:c r="V258" s="1"/>
      <x:c r="W258" s="1"/>
      <x:c r="X258" s="1"/>
      <x:c r="Y258" s="1"/>
      <x:c r="Z258" s="1"/>
    </x:row>
    <x:row r="259">
      <x:c r="A259" s="1"/>
      <x:c r="B259" s="1"/>
      <x:c r="C259" s="1"/>
      <x:c r="D259" s="1"/>
      <x:c r="E259" s="1"/>
      <x:c r="F259" s="1"/>
      <x:c r="G259" s="1"/>
      <x:c r="H259" s="1"/>
      <x:c r="I259" s="1"/>
      <x:c r="J259" s="1"/>
      <x:c r="K259" s="1"/>
      <x:c r="L259" s="1"/>
      <x:c r="M259" s="1"/>
      <x:c r="N259" s="1"/>
      <x:c r="O259" s="1"/>
      <x:c r="P259" s="1"/>
      <x:c r="Q259" s="1"/>
      <x:c r="R259" s="1"/>
      <x:c r="S259" s="1"/>
      <x:c r="T259" s="1"/>
      <x:c r="U259" s="1"/>
      <x:c r="V259" s="1"/>
      <x:c r="W259" s="1"/>
      <x:c r="X259" s="1"/>
      <x:c r="Y259" s="1"/>
      <x:c r="Z259" s="1"/>
    </x:row>
    <x:row r="260">
      <x:c r="A260" s="1"/>
      <x:c r="B260" s="1"/>
      <x:c r="C260" s="1"/>
      <x:c r="D260" s="1"/>
      <x:c r="E260" s="1"/>
      <x:c r="F260" s="1"/>
      <x:c r="G260" s="1"/>
      <x:c r="H260" s="1"/>
      <x:c r="I260" s="1"/>
      <x:c r="J260" s="1"/>
      <x:c r="K260" s="1"/>
      <x:c r="L260" s="1"/>
      <x:c r="M260" s="1"/>
      <x:c r="N260" s="1"/>
      <x:c r="O260" s="1"/>
      <x:c r="P260" s="1"/>
      <x:c r="Q260" s="1"/>
      <x:c r="R260" s="1"/>
      <x:c r="S260" s="1"/>
      <x:c r="T260" s="1"/>
      <x:c r="U260" s="1"/>
      <x:c r="V260" s="1"/>
      <x:c r="W260" s="1"/>
      <x:c r="X260" s="1"/>
      <x:c r="Y260" s="1"/>
      <x:c r="Z260" s="1"/>
    </x:row>
    <x:row r="261">
      <x:c r="A261" s="1"/>
      <x:c r="B261" s="1"/>
      <x:c r="C261" s="1"/>
      <x:c r="D261" s="1"/>
      <x:c r="E261" s="1"/>
      <x:c r="F261" s="1"/>
      <x:c r="G261" s="1"/>
      <x:c r="H261" s="1"/>
      <x:c r="I261" s="1"/>
      <x:c r="J261" s="1"/>
      <x:c r="K261" s="1"/>
      <x:c r="L261" s="1"/>
      <x:c r="M261" s="1"/>
      <x:c r="N261" s="1"/>
      <x:c r="O261" s="1"/>
      <x:c r="P261" s="1"/>
      <x:c r="Q261" s="1"/>
      <x:c r="R261" s="1"/>
      <x:c r="S261" s="1"/>
      <x:c r="T261" s="1"/>
      <x:c r="U261" s="1"/>
      <x:c r="V261" s="1"/>
      <x:c r="W261" s="1"/>
      <x:c r="X261" s="1"/>
      <x:c r="Y261" s="1"/>
      <x:c r="Z261" s="1"/>
    </x:row>
    <x:row r="262">
      <x:c r="A262" s="1"/>
      <x:c r="B262" s="1"/>
      <x:c r="C262" s="1"/>
      <x:c r="D262" s="1"/>
      <x:c r="E262" s="1"/>
      <x:c r="F262" s="1"/>
      <x:c r="G262" s="1"/>
      <x:c r="H262" s="1"/>
      <x:c r="I262" s="1"/>
      <x:c r="J262" s="1"/>
      <x:c r="K262" s="1"/>
      <x:c r="L262" s="1"/>
      <x:c r="M262" s="1"/>
      <x:c r="N262" s="1"/>
      <x:c r="O262" s="1"/>
      <x:c r="P262" s="1"/>
      <x:c r="Q262" s="1"/>
      <x:c r="R262" s="1"/>
      <x:c r="S262" s="1"/>
      <x:c r="T262" s="1"/>
      <x:c r="U262" s="1"/>
      <x:c r="V262" s="1"/>
      <x:c r="W262" s="1"/>
      <x:c r="X262" s="1"/>
      <x:c r="Y262" s="1"/>
      <x:c r="Z262" s="1"/>
    </x:row>
    <x:row r="263">
      <x:c r="A263" s="1"/>
      <x:c r="B263" s="1"/>
      <x:c r="C263" s="1"/>
      <x:c r="D263" s="1"/>
      <x:c r="E263" s="1"/>
      <x:c r="F263" s="1"/>
      <x:c r="G263" s="1"/>
      <x:c r="H263" s="1"/>
      <x:c r="I263" s="1"/>
      <x:c r="J263" s="1"/>
      <x:c r="K263" s="1"/>
      <x:c r="L263" s="1"/>
      <x:c r="M263" s="1"/>
      <x:c r="N263" s="1"/>
      <x:c r="O263" s="1"/>
      <x:c r="P263" s="1"/>
      <x:c r="Q263" s="1"/>
      <x:c r="R263" s="1"/>
      <x:c r="S263" s="1"/>
      <x:c r="T263" s="1"/>
      <x:c r="U263" s="1"/>
      <x:c r="V263" s="1"/>
      <x:c r="W263" s="1"/>
      <x:c r="X263" s="1"/>
      <x:c r="Y263" s="1"/>
      <x:c r="Z263" s="1"/>
    </x:row>
    <x:row r="264">
      <x:c r="A264" s="1"/>
      <x:c r="B264" s="1"/>
      <x:c r="C264" s="1"/>
      <x:c r="D264" s="1"/>
      <x:c r="E264" s="1"/>
      <x:c r="F264" s="1"/>
      <x:c r="G264" s="1"/>
      <x:c r="H264" s="1"/>
      <x:c r="I264" s="1"/>
      <x:c r="J264" s="1"/>
      <x:c r="K264" s="1"/>
      <x:c r="L264" s="1"/>
      <x:c r="M264" s="1"/>
      <x:c r="N264" s="1"/>
      <x:c r="O264" s="1"/>
      <x:c r="P264" s="1"/>
      <x:c r="Q264" s="1"/>
      <x:c r="R264" s="1"/>
      <x:c r="S264" s="1"/>
      <x:c r="T264" s="1"/>
      <x:c r="U264" s="1"/>
      <x:c r="V264" s="1"/>
      <x:c r="W264" s="1"/>
      <x:c r="X264" s="1"/>
      <x:c r="Y264" s="1"/>
      <x:c r="Z264" s="1"/>
    </x:row>
    <x:row r="265">
      <x:c r="A265" s="1"/>
      <x:c r="B265" s="1"/>
      <x:c r="C265" s="1"/>
      <x:c r="D265" s="1"/>
      <x:c r="E265" s="1"/>
      <x:c r="F265" s="1"/>
      <x:c r="G265" s="1"/>
      <x:c r="H265" s="1"/>
      <x:c r="I265" s="1"/>
      <x:c r="J265" s="1"/>
      <x:c r="K265" s="1"/>
      <x:c r="L265" s="1"/>
      <x:c r="M265" s="1"/>
      <x:c r="N265" s="1"/>
      <x:c r="O265" s="1"/>
      <x:c r="P265" s="1"/>
      <x:c r="Q265" s="1"/>
      <x:c r="R265" s="1"/>
      <x:c r="S265" s="1"/>
      <x:c r="T265" s="1"/>
      <x:c r="U265" s="1"/>
      <x:c r="V265" s="1"/>
      <x:c r="W265" s="1"/>
      <x:c r="X265" s="1"/>
      <x:c r="Y265" s="1"/>
      <x:c r="Z265" s="1"/>
    </x:row>
    <x:row r="266">
      <x:c r="A266" s="1"/>
      <x:c r="B266" s="1"/>
      <x:c r="C266" s="1"/>
      <x:c r="D266" s="1"/>
      <x:c r="E266" s="1"/>
      <x:c r="F266" s="1"/>
      <x:c r="G266" s="1"/>
      <x:c r="H266" s="1"/>
      <x:c r="I266" s="1"/>
      <x:c r="J266" s="1"/>
      <x:c r="K266" s="1"/>
      <x:c r="L266" s="1"/>
      <x:c r="M266" s="1"/>
      <x:c r="N266" s="1"/>
      <x:c r="O266" s="1"/>
      <x:c r="P266" s="1"/>
      <x:c r="Q266" s="1"/>
      <x:c r="R266" s="1"/>
      <x:c r="S266" s="1"/>
      <x:c r="T266" s="1"/>
      <x:c r="U266" s="1"/>
      <x:c r="V266" s="1"/>
      <x:c r="W266" s="1"/>
      <x:c r="X266" s="1"/>
      <x:c r="Y266" s="1"/>
      <x:c r="Z266" s="1"/>
    </x:row>
    <x:row r="267">
      <x:c r="A267" s="1"/>
      <x:c r="B267" s="1"/>
      <x:c r="C267" s="1"/>
      <x:c r="D267" s="1"/>
      <x:c r="E267" s="1"/>
      <x:c r="F267" s="1"/>
      <x:c r="G267" s="1"/>
      <x:c r="H267" s="1"/>
      <x:c r="I267" s="1"/>
      <x:c r="J267" s="1"/>
      <x:c r="K267" s="1"/>
      <x:c r="L267" s="1"/>
      <x:c r="M267" s="1"/>
      <x:c r="N267" s="1"/>
      <x:c r="O267" s="1"/>
      <x:c r="P267" s="1"/>
      <x:c r="Q267" s="1"/>
      <x:c r="R267" s="1"/>
      <x:c r="S267" s="1"/>
      <x:c r="T267" s="1"/>
      <x:c r="U267" s="1"/>
      <x:c r="V267" s="1"/>
      <x:c r="W267" s="1"/>
      <x:c r="X267" s="1"/>
      <x:c r="Y267" s="1"/>
      <x:c r="Z267" s="1"/>
    </x:row>
    <x:row r="268">
      <x:c r="A268" s="1"/>
      <x:c r="B268" s="1"/>
      <x:c r="C268" s="1"/>
      <x:c r="D268" s="1"/>
      <x:c r="E268" s="1"/>
      <x:c r="F268" s="1"/>
      <x:c r="G268" s="1"/>
      <x:c r="H268" s="1"/>
      <x:c r="I268" s="1"/>
      <x:c r="J268" s="1"/>
      <x:c r="K268" s="1"/>
      <x:c r="L268" s="1"/>
      <x:c r="M268" s="1"/>
      <x:c r="N268" s="1"/>
      <x:c r="O268" s="1"/>
      <x:c r="P268" s="1"/>
      <x:c r="Q268" s="1"/>
      <x:c r="R268" s="1"/>
      <x:c r="S268" s="1"/>
      <x:c r="T268" s="1"/>
      <x:c r="U268" s="1"/>
      <x:c r="V268" s="1"/>
      <x:c r="W268" s="1"/>
      <x:c r="X268" s="1"/>
      <x:c r="Y268" s="1"/>
      <x:c r="Z268" s="1"/>
    </x:row>
    <x:row r="269">
      <x:c r="A269" s="1"/>
      <x:c r="B269" s="1"/>
      <x:c r="C269" s="1"/>
      <x:c r="D269" s="1"/>
      <x:c r="E269" s="1"/>
      <x:c r="F269" s="1"/>
      <x:c r="G269" s="1"/>
      <x:c r="H269" s="1"/>
      <x:c r="I269" s="1"/>
      <x:c r="J269" s="1"/>
      <x:c r="K269" s="1"/>
      <x:c r="L269" s="1"/>
      <x:c r="M269" s="1"/>
      <x:c r="N269" s="1"/>
      <x:c r="O269" s="1"/>
      <x:c r="P269" s="1"/>
      <x:c r="Q269" s="1"/>
      <x:c r="R269" s="1"/>
      <x:c r="S269" s="1"/>
      <x:c r="T269" s="1"/>
      <x:c r="U269" s="1"/>
      <x:c r="V269" s="1"/>
      <x:c r="W269" s="1"/>
      <x:c r="X269" s="1"/>
      <x:c r="Y269" s="1"/>
      <x:c r="Z269" s="1"/>
    </x:row>
    <x:row r="270">
      <x:c r="A270" s="1"/>
      <x:c r="B270" s="1"/>
      <x:c r="C270" s="1"/>
      <x:c r="D270" s="1"/>
      <x:c r="E270" s="1"/>
      <x:c r="F270" s="1"/>
      <x:c r="G270" s="1"/>
      <x:c r="H270" s="1"/>
      <x:c r="I270" s="1"/>
      <x:c r="J270" s="1"/>
      <x:c r="K270" s="1"/>
      <x:c r="L270" s="1"/>
      <x:c r="M270" s="1"/>
      <x:c r="N270" s="1"/>
      <x:c r="O270" s="1"/>
      <x:c r="P270" s="1"/>
      <x:c r="Q270" s="1"/>
      <x:c r="R270" s="1"/>
      <x:c r="S270" s="1"/>
      <x:c r="T270" s="1"/>
      <x:c r="U270" s="1"/>
      <x:c r="V270" s="1"/>
      <x:c r="W270" s="1"/>
      <x:c r="X270" s="1"/>
      <x:c r="Y270" s="1"/>
      <x:c r="Z270" s="1"/>
    </x:row>
    <x:row r="271">
      <x:c r="A271" s="1"/>
      <x:c r="B271" s="1"/>
      <x:c r="C271" s="1"/>
      <x:c r="D271" s="1"/>
      <x:c r="E271" s="1"/>
      <x:c r="F271" s="1"/>
      <x:c r="G271" s="1"/>
      <x:c r="H271" s="1"/>
      <x:c r="I271" s="1"/>
      <x:c r="J271" s="1"/>
      <x:c r="K271" s="1"/>
      <x:c r="L271" s="1"/>
      <x:c r="M271" s="1"/>
      <x:c r="N271" s="1"/>
      <x:c r="O271" s="1"/>
      <x:c r="P271" s="1"/>
      <x:c r="Q271" s="1"/>
      <x:c r="R271" s="1"/>
      <x:c r="S271" s="1"/>
      <x:c r="T271" s="1"/>
      <x:c r="U271" s="1"/>
      <x:c r="V271" s="1"/>
      <x:c r="W271" s="1"/>
      <x:c r="X271" s="1"/>
      <x:c r="Y271" s="1"/>
      <x:c r="Z271" s="1"/>
    </x:row>
    <x:row r="272">
      <x:c r="A272" s="1"/>
      <x:c r="B272" s="1"/>
      <x:c r="C272" s="1"/>
      <x:c r="D272" s="1"/>
      <x:c r="E272" s="1"/>
      <x:c r="F272" s="1"/>
      <x:c r="G272" s="1"/>
      <x:c r="H272" s="1"/>
      <x:c r="I272" s="1"/>
      <x:c r="J272" s="1"/>
      <x:c r="K272" s="1"/>
      <x:c r="L272" s="1"/>
      <x:c r="M272" s="1"/>
      <x:c r="N272" s="1"/>
      <x:c r="O272" s="1"/>
      <x:c r="P272" s="1"/>
      <x:c r="Q272" s="1"/>
      <x:c r="R272" s="1"/>
      <x:c r="S272" s="1"/>
      <x:c r="T272" s="1"/>
      <x:c r="U272" s="1"/>
      <x:c r="V272" s="1"/>
      <x:c r="W272" s="1"/>
      <x:c r="X272" s="1"/>
      <x:c r="Y272" s="1"/>
      <x:c r="Z272" s="1"/>
    </x:row>
    <x:row r="273">
      <x:c r="A273" s="1"/>
      <x:c r="B273" s="1"/>
      <x:c r="C273" s="1"/>
      <x:c r="D273" s="1"/>
      <x:c r="E273" s="1"/>
      <x:c r="F273" s="1"/>
      <x:c r="G273" s="1"/>
      <x:c r="H273" s="1"/>
      <x:c r="I273" s="1"/>
      <x:c r="J273" s="1"/>
      <x:c r="K273" s="1"/>
      <x:c r="L273" s="1"/>
      <x:c r="M273" s="1"/>
      <x:c r="N273" s="1"/>
      <x:c r="O273" s="1"/>
      <x:c r="P273" s="1"/>
      <x:c r="Q273" s="1"/>
      <x:c r="R273" s="1"/>
      <x:c r="S273" s="1"/>
      <x:c r="T273" s="1"/>
      <x:c r="U273" s="1"/>
      <x:c r="V273" s="1"/>
      <x:c r="W273" s="1"/>
      <x:c r="X273" s="1"/>
      <x:c r="Y273" s="1"/>
      <x:c r="Z273" s="1"/>
    </x:row>
    <x:row r="274">
      <x:c r="A274" s="1"/>
      <x:c r="B274" s="1"/>
      <x:c r="C274" s="1"/>
      <x:c r="D274" s="1"/>
      <x:c r="E274" s="1"/>
      <x:c r="F274" s="1"/>
      <x:c r="G274" s="1"/>
      <x:c r="H274" s="1"/>
      <x:c r="I274" s="1"/>
      <x:c r="J274" s="1"/>
      <x:c r="K274" s="1"/>
      <x:c r="L274" s="1"/>
      <x:c r="M274" s="1"/>
      <x:c r="N274" s="1"/>
      <x:c r="O274" s="1"/>
      <x:c r="P274" s="1"/>
      <x:c r="Q274" s="1"/>
      <x:c r="R274" s="1"/>
      <x:c r="S274" s="1"/>
      <x:c r="T274" s="1"/>
      <x:c r="U274" s="1"/>
      <x:c r="V274" s="1"/>
      <x:c r="W274" s="1"/>
      <x:c r="X274" s="1"/>
      <x:c r="Y274" s="1"/>
      <x:c r="Z274" s="1"/>
    </x:row>
    <x:row r="275">
      <x:c r="A275" s="1"/>
      <x:c r="B275" s="1"/>
      <x:c r="C275" s="1"/>
      <x:c r="D275" s="1"/>
      <x:c r="E275" s="1"/>
      <x:c r="F275" s="1"/>
      <x:c r="G275" s="1"/>
      <x:c r="H275" s="1"/>
      <x:c r="I275" s="1"/>
      <x:c r="J275" s="1"/>
      <x:c r="K275" s="1"/>
      <x:c r="L275" s="1"/>
      <x:c r="M275" s="1"/>
      <x:c r="N275" s="1"/>
      <x:c r="O275" s="1"/>
      <x:c r="P275" s="1"/>
      <x:c r="Q275" s="1"/>
      <x:c r="R275" s="1"/>
      <x:c r="S275" s="1"/>
      <x:c r="T275" s="1"/>
      <x:c r="U275" s="1"/>
      <x:c r="V275" s="1"/>
      <x:c r="W275" s="1"/>
      <x:c r="X275" s="1"/>
      <x:c r="Y275" s="1"/>
      <x:c r="Z275" s="1"/>
    </x:row>
    <x:row r="276">
      <x:c r="A276" s="1"/>
      <x:c r="B276" s="1"/>
      <x:c r="C276" s="1"/>
      <x:c r="D276" s="1"/>
      <x:c r="E276" s="1"/>
      <x:c r="F276" s="1"/>
      <x:c r="G276" s="1"/>
      <x:c r="H276" s="1"/>
      <x:c r="I276" s="1"/>
      <x:c r="J276" s="1"/>
      <x:c r="K276" s="1"/>
      <x:c r="L276" s="1"/>
      <x:c r="M276" s="1"/>
      <x:c r="N276" s="1"/>
      <x:c r="O276" s="1"/>
      <x:c r="P276" s="1"/>
      <x:c r="Q276" s="1"/>
      <x:c r="R276" s="1"/>
      <x:c r="S276" s="1"/>
      <x:c r="T276" s="1"/>
      <x:c r="U276" s="1"/>
      <x:c r="V276" s="1"/>
      <x:c r="W276" s="1"/>
      <x:c r="X276" s="1"/>
      <x:c r="Y276" s="1"/>
      <x:c r="Z276" s="1"/>
    </x:row>
    <x:row r="277">
      <x:c r="A277" s="1"/>
      <x:c r="B277" s="1"/>
      <x:c r="C277" s="1"/>
      <x:c r="D277" s="1"/>
      <x:c r="E277" s="1"/>
      <x:c r="F277" s="1"/>
      <x:c r="G277" s="1"/>
      <x:c r="H277" s="1"/>
      <x:c r="I277" s="1"/>
      <x:c r="J277" s="1"/>
      <x:c r="K277" s="1"/>
      <x:c r="L277" s="1"/>
      <x:c r="M277" s="1"/>
      <x:c r="N277" s="1"/>
      <x:c r="O277" s="1"/>
      <x:c r="P277" s="1"/>
      <x:c r="Q277" s="1"/>
      <x:c r="R277" s="1"/>
      <x:c r="S277" s="1"/>
      <x:c r="T277" s="1"/>
      <x:c r="U277" s="1"/>
      <x:c r="V277" s="1"/>
      <x:c r="W277" s="1"/>
      <x:c r="X277" s="1"/>
      <x:c r="Y277" s="1"/>
      <x:c r="Z277" s="1"/>
    </x:row>
    <x:row r="278">
      <x:c r="A278" s="1"/>
      <x:c r="B278" s="1"/>
      <x:c r="C278" s="1"/>
      <x:c r="D278" s="1"/>
      <x:c r="E278" s="1"/>
      <x:c r="F278" s="1"/>
      <x:c r="G278" s="1"/>
      <x:c r="H278" s="1"/>
      <x:c r="I278" s="1"/>
      <x:c r="J278" s="1"/>
      <x:c r="K278" s="1"/>
      <x:c r="L278" s="1"/>
      <x:c r="M278" s="1"/>
      <x:c r="N278" s="1"/>
      <x:c r="O278" s="1"/>
      <x:c r="P278" s="1"/>
      <x:c r="Q278" s="1"/>
      <x:c r="R278" s="1"/>
      <x:c r="S278" s="1"/>
      <x:c r="T278" s="1"/>
      <x:c r="U278" s="1"/>
      <x:c r="V278" s="1"/>
      <x:c r="W278" s="1"/>
      <x:c r="X278" s="1"/>
      <x:c r="Y278" s="1"/>
      <x:c r="Z278" s="1"/>
    </x:row>
    <x:row r="279">
      <x:c r="A279" s="1"/>
      <x:c r="B279" s="1"/>
      <x:c r="C279" s="1"/>
      <x:c r="D279" s="1"/>
      <x:c r="E279" s="1"/>
      <x:c r="F279" s="1"/>
      <x:c r="G279" s="1"/>
      <x:c r="H279" s="1"/>
      <x:c r="I279" s="1"/>
      <x:c r="J279" s="1"/>
      <x:c r="K279" s="1"/>
      <x:c r="L279" s="1"/>
      <x:c r="M279" s="1"/>
      <x:c r="N279" s="1"/>
      <x:c r="O279" s="1"/>
      <x:c r="P279" s="1"/>
      <x:c r="Q279" s="1"/>
      <x:c r="R279" s="1"/>
      <x:c r="S279" s="1"/>
      <x:c r="T279" s="1"/>
      <x:c r="U279" s="1"/>
      <x:c r="V279" s="1"/>
      <x:c r="W279" s="1"/>
      <x:c r="X279" s="1"/>
      <x:c r="Y279" s="1"/>
      <x:c r="Z279" s="1"/>
    </x:row>
    <x:row r="280">
      <x:c r="A280" s="1"/>
      <x:c r="B280" s="1"/>
      <x:c r="C280" s="1"/>
      <x:c r="D280" s="1"/>
      <x:c r="E280" s="1"/>
      <x:c r="F280" s="1"/>
      <x:c r="G280" s="1"/>
      <x:c r="H280" s="1"/>
      <x:c r="I280" s="1"/>
      <x:c r="J280" s="1"/>
      <x:c r="K280" s="1"/>
      <x:c r="L280" s="1"/>
      <x:c r="M280" s="1"/>
      <x:c r="N280" s="1"/>
      <x:c r="O280" s="1"/>
      <x:c r="P280" s="1"/>
      <x:c r="Q280" s="1"/>
      <x:c r="R280" s="1"/>
      <x:c r="S280" s="1"/>
      <x:c r="T280" s="1"/>
      <x:c r="U280" s="1"/>
      <x:c r="V280" s="1"/>
      <x:c r="W280" s="1"/>
      <x:c r="X280" s="1"/>
      <x:c r="Y280" s="1"/>
      <x:c r="Z280" s="1"/>
    </x:row>
    <x:row r="281">
      <x:c r="A281" s="1"/>
      <x:c r="B281" s="1"/>
      <x:c r="C281" s="1"/>
      <x:c r="D281" s="1"/>
      <x:c r="E281" s="1"/>
      <x:c r="F281" s="1"/>
      <x:c r="G281" s="1"/>
      <x:c r="H281" s="1"/>
      <x:c r="I281" s="1"/>
      <x:c r="J281" s="1"/>
      <x:c r="K281" s="1"/>
      <x:c r="L281" s="1"/>
      <x:c r="M281" s="1"/>
      <x:c r="N281" s="1"/>
      <x:c r="O281" s="1"/>
      <x:c r="P281" s="1"/>
      <x:c r="Q281" s="1"/>
      <x:c r="R281" s="1"/>
      <x:c r="S281" s="1"/>
      <x:c r="T281" s="1"/>
      <x:c r="U281" s="1"/>
      <x:c r="V281" s="1"/>
      <x:c r="W281" s="1"/>
      <x:c r="X281" s="1"/>
      <x:c r="Y281" s="1"/>
      <x:c r="Z281" s="1"/>
    </x:row>
    <x:row r="282">
      <x:c r="A282" s="1"/>
      <x:c r="B282" s="1"/>
      <x:c r="C282" s="1"/>
      <x:c r="D282" s="1"/>
      <x:c r="E282" s="1"/>
      <x:c r="F282" s="1"/>
      <x:c r="G282" s="1"/>
      <x:c r="H282" s="1"/>
      <x:c r="I282" s="1"/>
      <x:c r="J282" s="1"/>
      <x:c r="K282" s="1"/>
      <x:c r="L282" s="1"/>
      <x:c r="M282" s="1"/>
      <x:c r="N282" s="1"/>
      <x:c r="O282" s="1"/>
      <x:c r="P282" s="1"/>
      <x:c r="Q282" s="1"/>
      <x:c r="R282" s="1"/>
      <x:c r="S282" s="1"/>
      <x:c r="T282" s="1"/>
      <x:c r="U282" s="1"/>
      <x:c r="V282" s="1"/>
      <x:c r="W282" s="1"/>
      <x:c r="X282" s="1"/>
      <x:c r="Y282" s="1"/>
      <x:c r="Z282" s="1"/>
    </x:row>
    <x:row r="283">
      <x:c r="A283" s="1"/>
      <x:c r="B283" s="1"/>
      <x:c r="C283" s="1"/>
      <x:c r="D283" s="1"/>
      <x:c r="E283" s="1"/>
      <x:c r="F283" s="1"/>
      <x:c r="G283" s="1"/>
      <x:c r="H283" s="1"/>
      <x:c r="I283" s="1"/>
      <x:c r="J283" s="1"/>
      <x:c r="K283" s="1"/>
      <x:c r="L283" s="1"/>
      <x:c r="M283" s="1"/>
      <x:c r="N283" s="1"/>
      <x:c r="O283" s="1"/>
      <x:c r="P283" s="1"/>
      <x:c r="Q283" s="1"/>
      <x:c r="R283" s="1"/>
      <x:c r="S283" s="1"/>
      <x:c r="T283" s="1"/>
      <x:c r="U283" s="1"/>
      <x:c r="V283" s="1"/>
      <x:c r="W283" s="1"/>
      <x:c r="X283" s="1"/>
      <x:c r="Y283" s="1"/>
      <x:c r="Z283" s="1"/>
    </x:row>
    <x:row r="284">
      <x:c r="A284" s="1"/>
      <x:c r="B284" s="1"/>
      <x:c r="C284" s="1"/>
      <x:c r="D284" s="1"/>
      <x:c r="E284" s="1"/>
      <x:c r="F284" s="1"/>
      <x:c r="G284" s="1"/>
      <x:c r="H284" s="1"/>
      <x:c r="I284" s="1"/>
      <x:c r="J284" s="1"/>
      <x:c r="K284" s="1"/>
      <x:c r="L284" s="1"/>
      <x:c r="M284" s="1"/>
      <x:c r="N284" s="1"/>
      <x:c r="O284" s="1"/>
      <x:c r="P284" s="1"/>
      <x:c r="Q284" s="1"/>
      <x:c r="R284" s="1"/>
      <x:c r="S284" s="1"/>
      <x:c r="T284" s="1"/>
      <x:c r="U284" s="1"/>
      <x:c r="V284" s="1"/>
      <x:c r="W284" s="1"/>
      <x:c r="X284" s="1"/>
      <x:c r="Y284" s="1"/>
      <x:c r="Z284" s="1"/>
    </x:row>
    <x:row r="285">
      <x:c r="A285" s="1"/>
      <x:c r="B285" s="1"/>
      <x:c r="C285" s="1"/>
      <x:c r="D285" s="1"/>
      <x:c r="E285" s="1"/>
      <x:c r="F285" s="1"/>
      <x:c r="G285" s="1"/>
      <x:c r="H285" s="1"/>
      <x:c r="I285" s="1"/>
      <x:c r="J285" s="1"/>
      <x:c r="K285" s="1"/>
      <x:c r="L285" s="1"/>
      <x:c r="M285" s="1"/>
      <x:c r="N285" s="1"/>
      <x:c r="O285" s="1"/>
      <x:c r="P285" s="1"/>
      <x:c r="Q285" s="1"/>
      <x:c r="R285" s="1"/>
      <x:c r="S285" s="1"/>
      <x:c r="T285" s="1"/>
      <x:c r="U285" s="1"/>
      <x:c r="V285" s="1"/>
      <x:c r="W285" s="1"/>
      <x:c r="X285" s="1"/>
      <x:c r="Y285" s="1"/>
      <x:c r="Z285" s="1"/>
    </x:row>
    <x:row r="286">
      <x:c r="A286" s="1"/>
      <x:c r="B286" s="1"/>
      <x:c r="C286" s="1"/>
      <x:c r="D286" s="1"/>
      <x:c r="E286" s="1"/>
      <x:c r="F286" s="1"/>
      <x:c r="G286" s="1"/>
      <x:c r="H286" s="1"/>
      <x:c r="I286" s="1"/>
      <x:c r="J286" s="1"/>
      <x:c r="K286" s="1"/>
      <x:c r="L286" s="1"/>
      <x:c r="M286" s="1"/>
      <x:c r="N286" s="1"/>
      <x:c r="O286" s="1"/>
      <x:c r="P286" s="1"/>
      <x:c r="Q286" s="1"/>
      <x:c r="R286" s="1"/>
      <x:c r="S286" s="1"/>
      <x:c r="T286" s="1"/>
      <x:c r="U286" s="1"/>
      <x:c r="V286" s="1"/>
      <x:c r="W286" s="1"/>
      <x:c r="X286" s="1"/>
      <x:c r="Y286" s="1"/>
      <x:c r="Z286" s="1"/>
    </x:row>
    <x:row r="287">
      <x:c r="A287" s="1"/>
      <x:c r="B287" s="1"/>
      <x:c r="C287" s="1"/>
      <x:c r="D287" s="1"/>
      <x:c r="E287" s="1"/>
      <x:c r="F287" s="1"/>
      <x:c r="G287" s="1"/>
      <x:c r="H287" s="1"/>
      <x:c r="I287" s="1"/>
      <x:c r="J287" s="1"/>
      <x:c r="K287" s="1"/>
      <x:c r="L287" s="1"/>
      <x:c r="M287" s="1"/>
      <x:c r="N287" s="1"/>
      <x:c r="O287" s="1"/>
      <x:c r="P287" s="1"/>
      <x:c r="Q287" s="1"/>
      <x:c r="R287" s="1"/>
      <x:c r="S287" s="1"/>
      <x:c r="T287" s="1"/>
      <x:c r="U287" s="1"/>
      <x:c r="V287" s="1"/>
      <x:c r="W287" s="1"/>
      <x:c r="X287" s="1"/>
      <x:c r="Y287" s="1"/>
      <x:c r="Z287" s="1"/>
    </x:row>
    <x:row r="288">
      <x:c r="A288" s="1"/>
      <x:c r="B288" s="1"/>
      <x:c r="C288" s="1"/>
      <x:c r="D288" s="1"/>
      <x:c r="E288" s="1"/>
      <x:c r="F288" s="1"/>
      <x:c r="G288" s="1"/>
      <x:c r="H288" s="1"/>
      <x:c r="I288" s="1"/>
      <x:c r="J288" s="1"/>
      <x:c r="K288" s="1"/>
      <x:c r="L288" s="1"/>
      <x:c r="M288" s="1"/>
      <x:c r="N288" s="1"/>
      <x:c r="O288" s="1"/>
      <x:c r="P288" s="1"/>
      <x:c r="Q288" s="1"/>
      <x:c r="R288" s="1"/>
      <x:c r="S288" s="1"/>
      <x:c r="T288" s="1"/>
      <x:c r="U288" s="1"/>
      <x:c r="V288" s="1"/>
      <x:c r="W288" s="1"/>
      <x:c r="X288" s="1"/>
      <x:c r="Y288" s="1"/>
      <x:c r="Z288" s="1"/>
    </x:row>
    <x:row r="289">
      <x:c r="A289" s="1"/>
      <x:c r="B289" s="1"/>
      <x:c r="C289" s="1"/>
      <x:c r="D289" s="1"/>
      <x:c r="E289" s="1"/>
      <x:c r="F289" s="1"/>
      <x:c r="G289" s="1"/>
      <x:c r="H289" s="1"/>
      <x:c r="I289" s="1"/>
      <x:c r="J289" s="1"/>
      <x:c r="K289" s="1"/>
      <x:c r="L289" s="1"/>
      <x:c r="M289" s="1"/>
      <x:c r="N289" s="1"/>
      <x:c r="O289" s="1"/>
      <x:c r="P289" s="1"/>
      <x:c r="Q289" s="1"/>
      <x:c r="R289" s="1"/>
      <x:c r="S289" s="1"/>
      <x:c r="T289" s="1"/>
      <x:c r="U289" s="1"/>
      <x:c r="V289" s="1"/>
      <x:c r="W289" s="1"/>
      <x:c r="X289" s="1"/>
      <x:c r="Y289" s="1"/>
      <x:c r="Z289" s="1"/>
    </x:row>
    <x:row r="290">
      <x:c r="A290" s="1"/>
      <x:c r="B290" s="1"/>
      <x:c r="C290" s="1"/>
      <x:c r="D290" s="1"/>
      <x:c r="E290" s="1"/>
      <x:c r="F290" s="1"/>
      <x:c r="G290" s="1"/>
      <x:c r="H290" s="1"/>
      <x:c r="I290" s="1"/>
      <x:c r="J290" s="1"/>
      <x:c r="K290" s="1"/>
      <x:c r="L290" s="1"/>
      <x:c r="M290" s="1"/>
      <x:c r="N290" s="1"/>
      <x:c r="O290" s="1"/>
      <x:c r="P290" s="1"/>
      <x:c r="Q290" s="1"/>
      <x:c r="R290" s="1"/>
      <x:c r="S290" s="1"/>
      <x:c r="T290" s="1"/>
      <x:c r="U290" s="1"/>
      <x:c r="V290" s="1"/>
      <x:c r="W290" s="1"/>
      <x:c r="X290" s="1"/>
      <x:c r="Y290" s="1"/>
      <x:c r="Z290" s="1"/>
    </x:row>
    <x:row r="291">
      <x:c r="A291" s="1"/>
      <x:c r="B291" s="1"/>
      <x:c r="C291" s="1"/>
      <x:c r="D291" s="1"/>
      <x:c r="E291" s="1"/>
      <x:c r="F291" s="1"/>
      <x:c r="G291" s="1"/>
      <x:c r="H291" s="1"/>
      <x:c r="I291" s="1"/>
      <x:c r="J291" s="1"/>
      <x:c r="K291" s="1"/>
      <x:c r="L291" s="1"/>
      <x:c r="M291" s="1"/>
      <x:c r="N291" s="1"/>
      <x:c r="O291" s="1"/>
      <x:c r="P291" s="1"/>
      <x:c r="Q291" s="1"/>
      <x:c r="R291" s="1"/>
      <x:c r="S291" s="1"/>
      <x:c r="T291" s="1"/>
      <x:c r="U291" s="1"/>
      <x:c r="V291" s="1"/>
      <x:c r="W291" s="1"/>
      <x:c r="X291" s="1"/>
      <x:c r="Y291" s="1"/>
      <x:c r="Z291" s="1"/>
    </x:row>
    <x:row r="292">
      <x:c r="A292" s="1"/>
      <x:c r="B292" s="1"/>
      <x:c r="C292" s="1"/>
      <x:c r="D292" s="1"/>
      <x:c r="E292" s="1"/>
      <x:c r="F292" s="1"/>
      <x:c r="G292" s="1"/>
      <x:c r="H292" s="1"/>
      <x:c r="I292" s="1"/>
      <x:c r="J292" s="1"/>
      <x:c r="K292" s="1"/>
      <x:c r="L292" s="1"/>
      <x:c r="M292" s="1"/>
      <x:c r="N292" s="1"/>
      <x:c r="O292" s="1"/>
      <x:c r="P292" s="1"/>
      <x:c r="Q292" s="1"/>
      <x:c r="R292" s="1"/>
      <x:c r="S292" s="1"/>
      <x:c r="T292" s="1"/>
      <x:c r="U292" s="1"/>
      <x:c r="V292" s="1"/>
      <x:c r="W292" s="1"/>
      <x:c r="X292" s="1"/>
      <x:c r="Y292" s="1"/>
      <x:c r="Z292" s="1"/>
    </x:row>
    <x:row r="293">
      <x:c r="A293" s="1"/>
      <x:c r="B293" s="1"/>
      <x:c r="C293" s="1"/>
      <x:c r="D293" s="1"/>
      <x:c r="E293" s="1"/>
      <x:c r="F293" s="1"/>
      <x:c r="G293" s="1"/>
      <x:c r="H293" s="1"/>
      <x:c r="I293" s="1"/>
      <x:c r="J293" s="1"/>
      <x:c r="K293" s="1"/>
      <x:c r="L293" s="1"/>
      <x:c r="M293" s="1"/>
      <x:c r="N293" s="1"/>
      <x:c r="O293" s="1"/>
      <x:c r="P293" s="1"/>
      <x:c r="Q293" s="1"/>
      <x:c r="R293" s="1"/>
      <x:c r="S293" s="1"/>
      <x:c r="T293" s="1"/>
      <x:c r="U293" s="1"/>
      <x:c r="V293" s="1"/>
      <x:c r="W293" s="1"/>
      <x:c r="X293" s="1"/>
      <x:c r="Y293" s="1"/>
      <x:c r="Z293" s="1"/>
    </x:row>
    <x:row r="294">
      <x:c r="A294" s="1"/>
      <x:c r="B294" s="1"/>
      <x:c r="C294" s="1"/>
      <x:c r="D294" s="1"/>
      <x:c r="E294" s="1"/>
      <x:c r="F294" s="1"/>
      <x:c r="G294" s="1"/>
      <x:c r="H294" s="1"/>
      <x:c r="I294" s="1"/>
      <x:c r="J294" s="1"/>
      <x:c r="K294" s="1"/>
      <x:c r="L294" s="1"/>
      <x:c r="M294" s="1"/>
      <x:c r="N294" s="1"/>
      <x:c r="O294" s="1"/>
      <x:c r="P294" s="1"/>
      <x:c r="Q294" s="1"/>
      <x:c r="R294" s="1"/>
      <x:c r="S294" s="1"/>
      <x:c r="T294" s="1"/>
      <x:c r="U294" s="1"/>
      <x:c r="V294" s="1"/>
      <x:c r="W294" s="1"/>
      <x:c r="X294" s="1"/>
      <x:c r="Y294" s="1"/>
      <x:c r="Z294" s="1"/>
    </x:row>
    <x:row r="295">
      <x:c r="A295" s="1"/>
      <x:c r="B295" s="1"/>
      <x:c r="C295" s="1"/>
      <x:c r="D295" s="1"/>
      <x:c r="E295" s="1"/>
      <x:c r="F295" s="1"/>
      <x:c r="G295" s="1"/>
      <x:c r="H295" s="1"/>
      <x:c r="I295" s="1"/>
      <x:c r="J295" s="1"/>
      <x:c r="K295" s="1"/>
      <x:c r="L295" s="1"/>
      <x:c r="M295" s="1"/>
      <x:c r="N295" s="1"/>
      <x:c r="O295" s="1"/>
      <x:c r="P295" s="1"/>
      <x:c r="Q295" s="1"/>
      <x:c r="R295" s="1"/>
      <x:c r="S295" s="1"/>
      <x:c r="T295" s="1"/>
      <x:c r="U295" s="1"/>
      <x:c r="V295" s="1"/>
      <x:c r="W295" s="1"/>
      <x:c r="X295" s="1"/>
      <x:c r="Y295" s="1"/>
      <x:c r="Z295" s="1"/>
    </x:row>
    <x:row r="296">
      <x:c r="A296" s="1"/>
      <x:c r="B296" s="1"/>
      <x:c r="C296" s="1"/>
      <x:c r="D296" s="1"/>
      <x:c r="E296" s="1"/>
      <x:c r="F296" s="1"/>
      <x:c r="G296" s="1"/>
      <x:c r="H296" s="1"/>
      <x:c r="I296" s="1"/>
      <x:c r="J296" s="1"/>
      <x:c r="K296" s="1"/>
      <x:c r="L296" s="1"/>
      <x:c r="M296" s="1"/>
      <x:c r="N296" s="1"/>
      <x:c r="O296" s="1"/>
      <x:c r="P296" s="1"/>
      <x:c r="Q296" s="1"/>
      <x:c r="R296" s="1"/>
      <x:c r="S296" s="1"/>
      <x:c r="T296" s="1"/>
      <x:c r="U296" s="1"/>
      <x:c r="V296" s="1"/>
      <x:c r="W296" s="1"/>
      <x:c r="X296" s="1"/>
      <x:c r="Y296" s="1"/>
      <x:c r="Z296" s="1"/>
    </x:row>
    <x:row r="297">
      <x:c r="A297" s="1"/>
      <x:c r="B297" s="1"/>
      <x:c r="C297" s="1"/>
      <x:c r="D297" s="1"/>
      <x:c r="E297" s="1"/>
      <x:c r="F297" s="1"/>
      <x:c r="G297" s="1"/>
      <x:c r="H297" s="1"/>
      <x:c r="I297" s="1"/>
      <x:c r="J297" s="1"/>
      <x:c r="K297" s="1"/>
      <x:c r="L297" s="1"/>
      <x:c r="M297" s="1"/>
      <x:c r="N297" s="1"/>
      <x:c r="O297" s="1"/>
      <x:c r="P297" s="1"/>
      <x:c r="Q297" s="1"/>
      <x:c r="R297" s="1"/>
      <x:c r="S297" s="1"/>
      <x:c r="T297" s="1"/>
      <x:c r="U297" s="1"/>
      <x:c r="V297" s="1"/>
      <x:c r="W297" s="1"/>
      <x:c r="X297" s="1"/>
      <x:c r="Y297" s="1"/>
      <x:c r="Z297" s="1"/>
    </x:row>
    <x:row r="298">
      <x:c r="A298" s="1"/>
      <x:c r="B298" s="1"/>
      <x:c r="C298" s="1"/>
      <x:c r="D298" s="1"/>
      <x:c r="E298" s="1"/>
      <x:c r="F298" s="1"/>
      <x:c r="G298" s="1"/>
      <x:c r="H298" s="1"/>
      <x:c r="I298" s="1"/>
      <x:c r="J298" s="1"/>
      <x:c r="K298" s="1"/>
      <x:c r="L298" s="1"/>
      <x:c r="M298" s="1"/>
      <x:c r="N298" s="1"/>
      <x:c r="O298" s="1"/>
      <x:c r="P298" s="1"/>
      <x:c r="Q298" s="1"/>
      <x:c r="R298" s="1"/>
      <x:c r="S298" s="1"/>
      <x:c r="T298" s="1"/>
      <x:c r="U298" s="1"/>
      <x:c r="V298" s="1"/>
      <x:c r="W298" s="1"/>
      <x:c r="X298" s="1"/>
      <x:c r="Y298" s="1"/>
      <x:c r="Z298" s="1"/>
    </x:row>
    <x:row r="299">
      <x:c r="A299" s="1"/>
      <x:c r="B299" s="1"/>
      <x:c r="C299" s="1"/>
      <x:c r="D299" s="1"/>
      <x:c r="E299" s="1"/>
      <x:c r="F299" s="1"/>
      <x:c r="G299" s="1"/>
      <x:c r="H299" s="1"/>
      <x:c r="I299" s="1"/>
      <x:c r="J299" s="1"/>
      <x:c r="K299" s="1"/>
      <x:c r="L299" s="1"/>
      <x:c r="M299" s="1"/>
      <x:c r="N299" s="1"/>
      <x:c r="O299" s="1"/>
      <x:c r="P299" s="1"/>
      <x:c r="Q299" s="1"/>
      <x:c r="R299" s="1"/>
      <x:c r="S299" s="1"/>
      <x:c r="T299" s="1"/>
      <x:c r="U299" s="1"/>
      <x:c r="V299" s="1"/>
      <x:c r="W299" s="1"/>
      <x:c r="X299" s="1"/>
      <x:c r="Y299" s="1"/>
      <x:c r="Z299" s="1"/>
    </x:row>
    <x:row r="300">
      <x:c r="A300" s="1"/>
      <x:c r="B300" s="1"/>
      <x:c r="C300" s="1"/>
      <x:c r="D300" s="1"/>
      <x:c r="E300" s="1"/>
      <x:c r="F300" s="1"/>
      <x:c r="G300" s="1"/>
      <x:c r="H300" s="1"/>
      <x:c r="I300" s="1"/>
      <x:c r="J300" s="1"/>
      <x:c r="K300" s="1"/>
      <x:c r="L300" s="1"/>
      <x:c r="M300" s="1"/>
      <x:c r="N300" s="1"/>
      <x:c r="O300" s="1"/>
      <x:c r="P300" s="1"/>
      <x:c r="Q300" s="1"/>
      <x:c r="R300" s="1"/>
      <x:c r="S300" s="1"/>
      <x:c r="T300" s="1"/>
      <x:c r="U300" s="1"/>
      <x:c r="V300" s="1"/>
      <x:c r="W300" s="1"/>
      <x:c r="X300" s="1"/>
      <x:c r="Y300" s="1"/>
      <x:c r="Z300" s="1"/>
    </x:row>
  </x:sheetData>
  <x:mergeCells>
    <x:mergeCell ref="A1:N2"/>
    <x:mergeCell ref="A3:N3"/>
    <x:mergeCell ref="A5:B5"/>
    <x:mergeCell ref="A6:B7"/>
    <x:mergeCell ref="C5:D5"/>
    <x:mergeCell ref="C6:D7"/>
    <x:mergeCell ref="E5:F5"/>
    <x:mergeCell ref="E6:F7"/>
    <x:mergeCell ref="A9:B9"/>
    <x:mergeCell ref="A10:B11"/>
    <x:mergeCell ref="C9:D9"/>
    <x:mergeCell ref="C10:D11"/>
    <x:mergeCell ref="E9:F9"/>
    <x:mergeCell ref="E10:F11"/>
    <x:mergeCell ref="A13:F13"/>
    <x:mergeCell ref="A14:F16"/>
    <x:mergeCell ref="A18:F18"/>
    <x:mergeCell ref="A29:F29"/>
    <x:mergeCell ref="B30:F30"/>
    <x:mergeCell ref="B31:F31"/>
    <x:mergeCell ref="B32:F32"/>
    <x:mergeCell ref="B33:F33"/>
    <x:mergeCell ref="B34:F34"/>
    <x:mergeCell ref="B35:F35"/>
    <x:mergeCell ref="H5:N5"/>
  </x:mergeCells>
  <x:pageMargins left="0.7" right="0.7" top="0.75" bottom="0.75" header="0.3" footer="0.3"/>
  <x:drawing xmlns:r="http://schemas.openxmlformats.org/officeDocument/2006/relationships" r:id="R5c745d06fc3d4ca9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6" hidden="0" customWidth="1"/>
    <x:col min="3" max="3" width="16" hidden="0" customWidth="1"/>
    <x:col min="4" max="4" width="18" hidden="0" customWidth="1"/>
    <x:col min="5" max="5" width="18" hidden="0" customWidth="1"/>
    <x:col min="6" max="6" width="16" hidden="0" customWidth="1"/>
    <x:col min="7" max="7" width="16" hidden="0" customWidth="1"/>
    <x:col min="8" max="8" width="16" hidden="0" customWidth="1"/>
    <x:col min="9" max="9" width="24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</x:cols>
  <x:sheetData>
    <x:row r="1" ht="30" customHeight="1">
      <x:c r="A1" s="4" t="str">
        <x:v>Datos fuente mensuales</x:v>
      </x:c>
      <x:c r="B1" s="4" t="str">
        <x:v>Datos fuente mensuales</x:v>
      </x:c>
      <x:c r="C1" s="4" t="str">
        <x:v>Datos fuente mensuales</x:v>
      </x:c>
      <x:c r="D1" s="4" t="str">
        <x:v>Datos fuente mensuales</x:v>
      </x:c>
      <x:c r="E1" s="4" t="str">
        <x:v>Datos fuente mensuales</x:v>
      </x:c>
      <x:c r="F1" s="4" t="str">
        <x:v>Datos fuente mensuales</x:v>
      </x:c>
      <x:c r="G1" s="4" t="str">
        <x:v>Datos fuente mensuales</x:v>
      </x:c>
      <x:c r="H1" s="4" t="str">
        <x:v>Datos fuente mensuales</x:v>
      </x:c>
      <x:c r="I1" s="4" t="str">
        <x:v>Datos fuente mensuales</x:v>
      </x:c>
      <x:c r="J1" s="4" t="str">
        <x:v>Datos fuente mensuales</x:v>
      </x:c>
      <x:c r="K1" s="4" t="str">
        <x:v>Datos fuente mensuales</x:v>
      </x:c>
      <x:c r="L1" s="4" t="str">
        <x:v>Datos fuente mensuales</x:v>
      </x:c>
      <x:c r="M1" s="4" t="str">
        <x:v>Datos fuente mensuales</x:v>
      </x:c>
      <x:c r="N1" s="4" t="str">
        <x:v>Datos fuente mensuales</x:v>
      </x:c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 ht="36" customHeight="1">
      <x:c r="A2" s="7" t="str">
        <x:v>Niveles utilizados para construir el modelo. Los indicadores diarios se convierten a promedio mensual. Los espacios en blanco representan observaciones no disponibles; no se imputan con ceros.</x:v>
      </x:c>
      <x:c r="B2" s="7" t="str">
        <x:v>Niveles utilizados para construir el modelo. Los indicadores diarios se convierten a promedio mensual. Los espacios en blanco representan observaciones no disponibles; no se imputan con ceros.</x:v>
      </x:c>
      <x:c r="C2" s="7" t="str">
        <x:v>Niveles utilizados para construir el modelo. Los indicadores diarios se convierten a promedio mensual. Los espacios en blanco representan observaciones no disponibles; no se imputan con ceros.</x:v>
      </x:c>
      <x:c r="D2" s="7" t="str">
        <x:v>Niveles utilizados para construir el modelo. Los indicadores diarios se convierten a promedio mensual. Los espacios en blanco representan observaciones no disponibles; no se imputan con ceros.</x:v>
      </x:c>
      <x:c r="E2" s="7" t="str">
        <x:v>Niveles utilizados para construir el modelo. Los indicadores diarios se convierten a promedio mensual. Los espacios en blanco representan observaciones no disponibles; no se imputan con ceros.</x:v>
      </x:c>
      <x:c r="F2" s="7" t="str">
        <x:v>Niveles utilizados para construir el modelo. Los indicadores diarios se convierten a promedio mensual. Los espacios en blanco representan observaciones no disponibles; no se imputan con ceros.</x:v>
      </x:c>
      <x:c r="G2" s="7" t="str">
        <x:v>Niveles utilizados para construir el modelo. Los indicadores diarios se convierten a promedio mensual. Los espacios en blanco representan observaciones no disponibles; no se imputan con ceros.</x:v>
      </x:c>
      <x:c r="H2" s="7" t="str">
        <x:v>Niveles utilizados para construir el modelo. Los indicadores diarios se convierten a promedio mensual. Los espacios en blanco representan observaciones no disponibles; no se imputan con ceros.</x:v>
      </x:c>
      <x:c r="I2" s="7" t="str">
        <x:v>Niveles utilizados para construir el modelo. Los indicadores diarios se convierten a promedio mensual. Los espacios en blanco representan observaciones no disponibles; no se imputan con ceros.</x:v>
      </x:c>
      <x:c r="J2" s="7" t="str">
        <x:v>Niveles utilizados para construir el modelo. Los indicadores diarios se convierten a promedio mensual. Los espacios en blanco representan observaciones no disponibles; no se imputan con ceros.</x:v>
      </x:c>
      <x:c r="K2" s="7" t="str">
        <x:v>Niveles utilizados para construir el modelo. Los indicadores diarios se convierten a promedio mensual. Los espacios en blanco representan observaciones no disponibles; no se imputan con ceros.</x:v>
      </x:c>
      <x:c r="L2" s="7" t="str">
        <x:v>Niveles utilizados para construir el modelo. Los indicadores diarios se convierten a promedio mensual. Los espacios en blanco representan observaciones no disponibles; no se imputan con ceros.</x:v>
      </x:c>
      <x:c r="M2" s="7" t="str">
        <x:v>Niveles utilizados para construir el modelo. Los indicadores diarios se convierten a promedio mensual. Los espacios en blanco representan observaciones no disponibles; no se imputan con ceros.</x:v>
      </x:c>
      <x:c r="N2" s="7" t="str">
        <x:v>Niveles utilizados para construir el modelo. Los indicadores diarios se convierten a promedio mensual. Los espacios en blanco representan observaciones no disponibles; no se imputan con ceros.</x:v>
      </x:c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 ht="36" customHeight="1">
      <x:c r="A3" s="7" t="str">
        <x:v>Niveles utilizados para construir el modelo. Los indicadores diarios se convierten a promedio mensual. Los espacios en blanco representan observaciones no disponibles; no se imputan con ceros.</x:v>
      </x:c>
      <x:c r="B3" s="7" t="str">
        <x:v>Niveles utilizados para construir el modelo. Los indicadores diarios se convierten a promedio mensual. Los espacios en blanco representan observaciones no disponibles; no se imputan con ceros.</x:v>
      </x:c>
      <x:c r="C3" s="7" t="str">
        <x:v>Niveles utilizados para construir el modelo. Los indicadores diarios se convierten a promedio mensual. Los espacios en blanco representan observaciones no disponibles; no se imputan con ceros.</x:v>
      </x:c>
      <x:c r="D3" s="7" t="str">
        <x:v>Niveles utilizados para construir el modelo. Los indicadores diarios se convierten a promedio mensual. Los espacios en blanco representan observaciones no disponibles; no se imputan con ceros.</x:v>
      </x:c>
      <x:c r="E3" s="7" t="str">
        <x:v>Niveles utilizados para construir el modelo. Los indicadores diarios se convierten a promedio mensual. Los espacios en blanco representan observaciones no disponibles; no se imputan con ceros.</x:v>
      </x:c>
      <x:c r="F3" s="7" t="str">
        <x:v>Niveles utilizados para construir el modelo. Los indicadores diarios se convierten a promedio mensual. Los espacios en blanco representan observaciones no disponibles; no se imputan con ceros.</x:v>
      </x:c>
      <x:c r="G3" s="7" t="str">
        <x:v>Niveles utilizados para construir el modelo. Los indicadores diarios se convierten a promedio mensual. Los espacios en blanco representan observaciones no disponibles; no se imputan con ceros.</x:v>
      </x:c>
      <x:c r="H3" s="7" t="str">
        <x:v>Niveles utilizados para construir el modelo. Los indicadores diarios se convierten a promedio mensual. Los espacios en blanco representan observaciones no disponibles; no se imputan con ceros.</x:v>
      </x:c>
      <x:c r="I3" s="7" t="str">
        <x:v>Niveles utilizados para construir el modelo. Los indicadores diarios se convierten a promedio mensual. Los espacios en blanco representan observaciones no disponibles; no se imputan con ceros.</x:v>
      </x:c>
      <x:c r="J3" s="7" t="str">
        <x:v>Niveles utilizados para construir el modelo. Los indicadores diarios se convierten a promedio mensual. Los espacios en blanco representan observaciones no disponibles; no se imputan con ceros.</x:v>
      </x:c>
      <x:c r="K3" s="7" t="str">
        <x:v>Niveles utilizados para construir el modelo. Los indicadores diarios se convierten a promedio mensual. Los espacios en blanco representan observaciones no disponibles; no se imputan con ceros.</x:v>
      </x:c>
      <x:c r="L3" s="7" t="str">
        <x:v>Niveles utilizados para construir el modelo. Los indicadores diarios se convierten a promedio mensual. Los espacios en blanco representan observaciones no disponibles; no se imputan con ceros.</x:v>
      </x:c>
      <x:c r="M3" s="7" t="str">
        <x:v>Niveles utilizados para construir el modelo. Los indicadores diarios se convierten a promedio mensual. Los espacios en blanco representan observaciones no disponibles; no se imputan con ceros.</x:v>
      </x:c>
      <x:c r="N3" s="7" t="str">
        <x:v>Niveles utilizados para construir el modelo. Los indicadores diarios se convierten a promedio mensual. Los espacios en blanco representan observaciones no disponibles; no se imputan con ceros.</x:v>
      </x:c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 ht="42" customHeight="1">
      <x:c r="A5" s="54" t="str">
        <x:v>Mes</x:v>
      </x:c>
      <x:c r="B5" s="54" t="str">
        <x:v>TRM (COP/USD)</x:v>
      </x:c>
      <x:c r="C5" s="54" t="str">
        <x:v>Brent (USD/barril)</x:v>
      </x:c>
      <x:c r="D5" s="54" t="str">
        <x:v>Remesas (USD mill.)</x:v>
      </x:c>
      <x:c r="E5" s="54" t="str">
        <x:v>Remesas 12m (USD mill.)</x:v>
      </x:c>
      <x:c r="F5" s="54" t="str">
        <x:v>Tasa política Colombia (%)</x:v>
      </x:c>
      <x:c r="G5" s="54" t="str">
        <x:v>Fed funds (%)</x:v>
      </x:c>
      <x:c r="H5" s="54" t="str">
        <x:v>Diferencial tasas (pp)</x:v>
      </x:c>
      <x:c r="I5" s="54" t="str">
        <x:v>Balance fiscal mensual (miles mill. COP)</x:v>
      </x:c>
      <x:c r="J5" s="54" t="str">
        <x:v>Déficit fiscal 12m (% PIB)</x:v>
      </x:c>
      <x:c r="K5" s="54" t="str">
        <x:v>Índice dólar amplio</x:v>
      </x:c>
      <x:c r="L5" s="54" t="str">
        <x:v>VIX</x:v>
      </x:c>
      <x:c r="M5" s="54" t="str">
        <x:v>Términos de intercambio</x:v>
      </x:c>
      <x:c r="N5" s="54" t="str">
        <x:v>Dummy pandemia</x:v>
      </x:c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>
      <x:c r="A6" s="72" t="str">
        <x:v>2005-12</x:v>
      </x:c>
      <x:c r="B6" s="83" t="n">
        <x:v>2278.539355</x:v>
      </x:c>
      <x:c r="C6" s="83" t="n">
        <x:v>56.85571429</x:v>
      </x:c>
      <x:c r="D6" s="83" t="n">
        <x:v>348.03</x:v>
      </x:c>
      <x:c r="E6" s="83" t="n">
        <x:v>3313.73</x:v>
      </x:c>
      <x:c r="F6" s="84" t="n">
        <x:v>6</x:v>
      </x:c>
      <x:c r="G6" s="84" t="n">
        <x:v>4.16</x:v>
      </x:c>
      <x:c r="H6" s="84" t="n">
        <x:v>1.84</x:v>
      </x:c>
      <x:c r="I6" s="85" t="n">
        <x:v>-2824.564673</x:v>
      </x:c>
      <x:c r="J6" s="84" t="n">
        <x:v>3.997397732</x:v>
      </x:c>
      <x:c r="K6" s="84"/>
      <x:c r="L6" s="84" t="n">
        <x:v>11.26</x:v>
      </x:c>
      <x:c r="M6" s="84" t="n">
        <x:v>122.69</x:v>
      </x:c>
      <x:c r="N6" s="86" t="n">
        <x:v>0</x:v>
      </x:c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>
      <x:c r="A7" s="72" t="str">
        <x:v>2006-01</x:v>
      </x:c>
      <x:c r="B7" s="83" t="n">
        <x:v>2273.710968</x:v>
      </x:c>
      <x:c r="C7" s="83" t="n">
        <x:v>62.9852381</x:v>
      </x:c>
      <x:c r="D7" s="83" t="n">
        <x:v>266.88</x:v>
      </x:c>
      <x:c r="E7" s="83" t="n">
        <x:v>3356.38</x:v>
      </x:c>
      <x:c r="F7" s="84" t="n">
        <x:v>6</x:v>
      </x:c>
      <x:c r="G7" s="84" t="n">
        <x:v>4.29</x:v>
      </x:c>
      <x:c r="H7" s="84" t="n">
        <x:v>1.71</x:v>
      </x:c>
      <x:c r="I7" s="85" t="n">
        <x:v>-2383.791927</x:v>
      </x:c>
      <x:c r="J7" s="84" t="n">
        <x:v>3.697683412</x:v>
      </x:c>
      <x:c r="K7" s="84" t="n">
        <x:v>100.0000045</x:v>
      </x:c>
      <x:c r="L7" s="84" t="n">
        <x:v>12.036</x:v>
      </x:c>
      <x:c r="M7" s="84" t="n">
        <x:v>128.63</x:v>
      </x:c>
      <x:c r="N7" s="86" t="n">
        <x:v>0</x:v>
      </x:c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>
      <x:c r="A8" s="72" t="str">
        <x:v>2006-02</x:v>
      </x:c>
      <x:c r="B8" s="83" t="n">
        <x:v>2255.771429</x:v>
      </x:c>
      <x:c r="C8" s="83" t="n">
        <x:v>60.21</x:v>
      </x:c>
      <x:c r="D8" s="83" t="n">
        <x:v>264.75</x:v>
      </x:c>
      <x:c r="E8" s="83" t="n">
        <x:v>3385.22</x:v>
      </x:c>
      <x:c r="F8" s="84" t="n">
        <x:v>6</x:v>
      </x:c>
      <x:c r="G8" s="84" t="n">
        <x:v>4.49</x:v>
      </x:c>
      <x:c r="H8" s="84" t="n">
        <x:v>1.51</x:v>
      </x:c>
      <x:c r="I8" s="85" t="n">
        <x:v>-3256.28879</x:v>
      </x:c>
      <x:c r="J8" s="84" t="n">
        <x:v>3.95151495</x:v>
      </x:c>
      <x:c r="K8" s="84" t="n">
        <x:v>100.21117</x:v>
      </x:c>
      <x:c r="L8" s="84" t="n">
        <x:v>12.47105263</x:v>
      </x:c>
      <x:c r="M8" s="84" t="n">
        <x:v>128.04</x:v>
      </x:c>
      <x:c r="N8" s="86" t="n">
        <x:v>0</x:v>
      </x:c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>
      <x:c r="A9" s="72" t="str">
        <x:v>2006-03</x:v>
      </x:c>
      <x:c r="B9" s="83" t="n">
        <x:v>2261.91871</x:v>
      </x:c>
      <x:c r="C9" s="83" t="n">
        <x:v>62.06478261</x:v>
      </x:c>
      <x:c r="D9" s="83" t="n">
        <x:v>324.26</x:v>
      </x:c>
      <x:c r="E9" s="83" t="n">
        <x:v>3438.49</x:v>
      </x:c>
      <x:c r="F9" s="84" t="n">
        <x:v>6</x:v>
      </x:c>
      <x:c r="G9" s="84" t="n">
        <x:v>4.59</x:v>
      </x:c>
      <x:c r="H9" s="84" t="n">
        <x:v>1.41</x:v>
      </x:c>
      <x:c r="I9" s="85" t="n">
        <x:v>-855.8288329</x:v>
      </x:c>
      <x:c r="J9" s="84" t="n">
        <x:v>3.6276424</x:v>
      </x:c>
      <x:c r="K9" s="84" t="n">
        <x:v>100.428087</x:v>
      </x:c>
      <x:c r="L9" s="84" t="n">
        <x:v>11.69391304</x:v>
      </x:c>
      <x:c r="M9" s="84" t="n">
        <x:v>130.99</x:v>
      </x:c>
      <x:c r="N9" s="86" t="n">
        <x:v>0</x:v>
      </x:c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>
      <x:c r="A10" s="72" t="str">
        <x:v>2006-04</x:v>
      </x:c>
      <x:c r="B10" s="83" t="n">
        <x:v>2335.137667</x:v>
      </x:c>
      <x:c r="C10" s="83" t="n">
        <x:v>70.26</x:v>
      </x:c>
      <x:c r="D10" s="83" t="n">
        <x:v>283.26</x:v>
      </x:c>
      <x:c r="E10" s="83" t="n">
        <x:v>3460.06</x:v>
      </x:c>
      <x:c r="F10" s="84" t="n">
        <x:v>6</x:v>
      </x:c>
      <x:c r="G10" s="84" t="n">
        <x:v>4.79</x:v>
      </x:c>
      <x:c r="H10" s="84" t="n">
        <x:v>1.21</x:v>
      </x:c>
      <x:c r="I10" s="85" t="n">
        <x:v>-3018.330331</x:v>
      </x:c>
      <x:c r="J10" s="84" t="n">
        <x:v>4.354903969</x:v>
      </x:c>
      <x:c r="K10" s="84" t="n">
        <x:v>99.74348</x:v>
      </x:c>
      <x:c r="L10" s="84" t="n">
        <x:v>11.84736842</x:v>
      </x:c>
      <x:c r="M10" s="84" t="n">
        <x:v>136.46</x:v>
      </x:c>
      <x:c r="N10" s="86" t="n">
        <x:v>0</x:v>
      </x:c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>
      <x:c r="A11" s="72" t="str">
        <x:v>2006-05</x:v>
      </x:c>
      <x:c r="B11" s="83" t="n">
        <x:v>2418.649355</x:v>
      </x:c>
      <x:c r="C11" s="83" t="n">
        <x:v>69.77695652</x:v>
      </x:c>
      <x:c r="D11" s="83" t="n">
        <x:v>366.98</x:v>
      </x:c>
      <x:c r="E11" s="83" t="n">
        <x:v>3556.98</x:v>
      </x:c>
      <x:c r="F11" s="84" t="n">
        <x:v>6.241935484</x:v>
      </x:c>
      <x:c r="G11" s="84" t="n">
        <x:v>4.94</x:v>
      </x:c>
      <x:c r="H11" s="84" t="n">
        <x:v>1.301935484</x:v>
      </x:c>
      <x:c r="I11" s="85" t="n">
        <x:v>2052.972861</x:v>
      </x:c>
      <x:c r="J11" s="84" t="n">
        <x:v>3.865752534</x:v>
      </x:c>
      <x:c r="K11" s="84" t="n">
        <x:v>97.51177391</x:v>
      </x:c>
      <x:c r="L11" s="84" t="n">
        <x:v>14.45454545</x:v>
      </x:c>
      <x:c r="M11" s="84" t="n">
        <x:v>135.55</x:v>
      </x:c>
      <x:c r="N11" s="86" t="n">
        <x:v>0</x:v>
      </x:c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>
      <x:c r="A12" s="72" t="str">
        <x:v>2006-06</x:v>
      </x:c>
      <x:c r="B12" s="83" t="n">
        <x:v>2542.22</x:v>
      </x:c>
      <x:c r="C12" s="83" t="n">
        <x:v>68.55590909</x:v>
      </x:c>
      <x:c r="D12" s="83" t="n">
        <x:v>342.37</x:v>
      </x:c>
      <x:c r="E12" s="83" t="n">
        <x:v>3627.84</x:v>
      </x:c>
      <x:c r="F12" s="84" t="n">
        <x:v>6.333333333</x:v>
      </x:c>
      <x:c r="G12" s="84" t="n">
        <x:v>4.99</x:v>
      </x:c>
      <x:c r="H12" s="84" t="n">
        <x:v>1.343333333</x:v>
      </x:c>
      <x:c r="I12" s="85" t="n">
        <x:v>-539.8959368</x:v>
      </x:c>
      <x:c r="J12" s="84" t="n">
        <x:v>4.000523343</x:v>
      </x:c>
      <x:c r="K12" s="84" t="n">
        <x:v>98.69272273</x:v>
      </x:c>
      <x:c r="L12" s="84" t="n">
        <x:v>16.91863636</x:v>
      </x:c>
      <x:c r="M12" s="84" t="n">
        <x:v>135.31</x:v>
      </x:c>
      <x:c r="N12" s="86" t="n">
        <x:v>0</x:v>
      </x:c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>
      <x:c r="A13" s="72" t="str">
        <x:v>2006-07</x:v>
      </x:c>
      <x:c r="B13" s="83" t="n">
        <x:v>2513.698387</x:v>
      </x:c>
      <x:c r="C13" s="83" t="n">
        <x:v>73.67428571</x:v>
      </x:c>
      <x:c r="D13" s="83" t="n">
        <x:v>313.73</x:v>
      </x:c>
      <x:c r="E13" s="83" t="n">
        <x:v>3678.77</x:v>
      </x:c>
      <x:c r="F13" s="84" t="n">
        <x:v>6.5</x:v>
      </x:c>
      <x:c r="G13" s="84" t="n">
        <x:v>5.24</x:v>
      </x:c>
      <x:c r="H13" s="84" t="n">
        <x:v>1.26</x:v>
      </x:c>
      <x:c r="I13" s="85" t="n">
        <x:v>-626.3574207</x:v>
      </x:c>
      <x:c r="J13" s="84" t="n">
        <x:v>3.866772925</x:v>
      </x:c>
      <x:c r="K13" s="84" t="n">
        <x:v>98.43871429</x:v>
      </x:c>
      <x:c r="L13" s="84" t="n">
        <x:v>15.326</x:v>
      </x:c>
      <x:c r="M13" s="84" t="n">
        <x:v>137.8</x:v>
      </x:c>
      <x:c r="N13" s="86" t="n">
        <x:v>0</x:v>
      </x:c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>
      <x:c r="A14" s="72" t="str">
        <x:v>2006-08</x:v>
      </x:c>
      <x:c r="B14" s="83" t="n">
        <x:v>2388.983548</x:v>
      </x:c>
      <x:c r="C14" s="83" t="n">
        <x:v>73.23043478</x:v>
      </x:c>
      <x:c r="D14" s="83" t="n">
        <x:v>334.72</x:v>
      </x:c>
      <x:c r="E14" s="83" t="n">
        <x:v>3713.6</x:v>
      </x:c>
      <x:c r="F14" s="84" t="n">
        <x:v>6.580645161</x:v>
      </x:c>
      <x:c r="G14" s="84" t="n">
        <x:v>5.25</x:v>
      </x:c>
      <x:c r="H14" s="84" t="n">
        <x:v>1.330645161</x:v>
      </x:c>
      <x:c r="I14" s="85" t="n">
        <x:v>641.5375862</x:v>
      </x:c>
      <x:c r="J14" s="84" t="n">
        <x:v>3.885340436</x:v>
      </x:c>
      <x:c r="K14" s="84" t="n">
        <x:v>97.71376522</x:v>
      </x:c>
      <x:c r="L14" s="84" t="n">
        <x:v>13.35173913</x:v>
      </x:c>
      <x:c r="M14" s="84" t="n">
        <x:v>134.31</x:v>
      </x:c>
      <x:c r="N14" s="86" t="n">
        <x:v>0</x:v>
      </x:c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>
      <x:c r="A15" s="72" t="str">
        <x:v>2006-09</x:v>
      </x:c>
      <x:c r="B15" s="83" t="n">
        <x:v>2398.708667</x:v>
      </x:c>
      <x:c r="C15" s="83" t="n">
        <x:v>61.95857143</x:v>
      </x:c>
      <x:c r="D15" s="83" t="n">
        <x:v>324.12</x:v>
      </x:c>
      <x:c r="E15" s="83" t="n">
        <x:v>3748.93</x:v>
      </x:c>
      <x:c r="F15" s="84" t="n">
        <x:v>6.75</x:v>
      </x:c>
      <x:c r="G15" s="84" t="n">
        <x:v>5.25</x:v>
      </x:c>
      <x:c r="H15" s="84" t="n">
        <x:v>1.5</x:v>
      </x:c>
      <x:c r="I15" s="85" t="n">
        <x:v>-100.4314416</x:v>
      </x:c>
      <x:c r="J15" s="84" t="n">
        <x:v>3.654184295</x:v>
      </x:c>
      <x:c r="K15" s="84" t="n">
        <x:v>97.9813619</x:v>
      </x:c>
      <x:c r="L15" s="84" t="n">
        <x:v>12.1845</x:v>
      </x:c>
      <x:c r="M15" s="84" t="n">
        <x:v>127.86</x:v>
      </x:c>
      <x:c r="N15" s="86" t="n">
        <x:v>0</x:v>
      </x:c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>
      <x:c r="A16" s="72" t="str">
        <x:v>2006-10</x:v>
      </x:c>
      <x:c r="B16" s="83" t="n">
        <x:v>2361.796452</x:v>
      </x:c>
      <x:c r="C16" s="83" t="n">
        <x:v>57.80818182</x:v>
      </x:c>
      <x:c r="D16" s="83" t="n">
        <x:v>331.6</x:v>
      </x:c>
      <x:c r="E16" s="83" t="n">
        <x:v>3795.01</x:v>
      </x:c>
      <x:c r="F16" s="84" t="n">
        <x:v>7.008064516</x:v>
      </x:c>
      <x:c r="G16" s="84" t="n">
        <x:v>5.25</x:v>
      </x:c>
      <x:c r="H16" s="84" t="n">
        <x:v>1.758064516</x:v>
      </x:c>
      <x:c r="I16" s="85" t="n">
        <x:v>-1093.300195</x:v>
      </x:c>
      <x:c r="J16" s="84" t="n">
        <x:v>3.895828134</x:v>
      </x:c>
      <x:c r="K16" s="84" t="n">
        <x:v>98.31565455</x:v>
      </x:c>
      <x:c r="L16" s="84" t="n">
        <x:v>11.30636364</x:v>
      </x:c>
      <x:c r="M16" s="84" t="n">
        <x:v>127.38</x:v>
      </x:c>
      <x:c r="N16" s="86" t="n">
        <x:v>0</x:v>
      </x:c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>
      <x:c r="A17" s="72" t="str">
        <x:v>2006-11</x:v>
      </x:c>
      <x:c r="B17" s="83" t="n">
        <x:v>2290.438</x:v>
      </x:c>
      <x:c r="C17" s="83" t="n">
        <x:v>58.76136364</x:v>
      </x:c>
      <x:c r="D17" s="83" t="n">
        <x:v>332.93</x:v>
      </x:c>
      <x:c r="E17" s="83" t="n">
        <x:v>3833.63</x:v>
      </x:c>
      <x:c r="F17" s="84" t="n">
        <x:v>7.25</x:v>
      </x:c>
      <x:c r="G17" s="84" t="n">
        <x:v>5.25</x:v>
      </x:c>
      <x:c r="H17" s="84" t="n">
        <x:v>2</x:v>
      </x:c>
      <x:c r="I17" s="85" t="n">
        <x:v>-1369.838992</x:v>
      </x:c>
      <x:c r="J17" s="84" t="n">
        <x:v>3.504711191</x:v>
      </x:c>
      <x:c r="K17" s="84" t="n">
        <x:v>97.51328182</x:v>
      </x:c>
      <x:c r="L17" s="84" t="n">
        <x:v>10.81761905</x:v>
      </x:c>
      <x:c r="M17" s="84" t="n">
        <x:v>127.06</x:v>
      </x:c>
      <x:c r="N17" s="86" t="n">
        <x:v>0</x:v>
      </x:c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>
      <x:c r="A18" s="72" t="str">
        <x:v>2006-12</x:v>
      </x:c>
      <x:c r="B18" s="83" t="n">
        <x:v>2260.705484</x:v>
      </x:c>
      <x:c r="C18" s="83" t="n">
        <x:v>62.47210526</x:v>
      </x:c>
      <x:c r="D18" s="83" t="n">
        <x:v>375.34</x:v>
      </x:c>
      <x:c r="E18" s="83" t="n">
        <x:v>3860.94</x:v>
      </x:c>
      <x:c r="F18" s="84" t="n">
        <x:v>7.362903226</x:v>
      </x:c>
      <x:c r="G18" s="84" t="n">
        <x:v>5.24</x:v>
      </x:c>
      <x:c r="H18" s="84" t="n">
        <x:v>2.122903226</x:v>
      </x:c>
      <x:c r="I18" s="85" t="n">
        <x:v>-2522.391247</x:v>
      </x:c>
      <x:c r="J18" s="84" t="n">
        <x:v>3.425526113</x:v>
      </x:c>
      <x:c r="K18" s="84" t="n">
        <x:v>96.79507143</x:v>
      </x:c>
      <x:c r="L18" s="84" t="n">
        <x:v>10.9645</x:v>
      </x:c>
      <x:c r="M18" s="84" t="n">
        <x:v>130.84</x:v>
      </x:c>
      <x:c r="N18" s="86" t="n">
        <x:v>0</x:v>
      </x:c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>
      <x:c r="A19" s="72" t="str">
        <x:v>2007-01</x:v>
      </x:c>
      <x:c r="B19" s="83" t="n">
        <x:v>2236.202258</x:v>
      </x:c>
      <x:c r="C19" s="83" t="n">
        <x:v>53.68142857</x:v>
      </x:c>
      <x:c r="D19" s="83" t="n">
        <x:v>305.28</x:v>
      </x:c>
      <x:c r="E19" s="83" t="n">
        <x:v>3899.34</x:v>
      </x:c>
      <x:c r="F19" s="84" t="n">
        <x:v>7.524193548</x:v>
      </x:c>
      <x:c r="G19" s="84" t="n">
        <x:v>5.25</x:v>
      </x:c>
      <x:c r="H19" s="84" t="n">
        <x:v>2.274193548</x:v>
      </x:c>
      <x:c r="I19" s="85" t="n">
        <x:v>-994.5023411</x:v>
      </x:c>
      <x:c r="J19" s="84" t="n">
        <x:v>2.726369078</x:v>
      </x:c>
      <x:c r="K19" s="84" t="n">
        <x:v>97.83377727</x:v>
      </x:c>
      <x:c r="L19" s="84" t="n">
        <x:v>11.0425</x:v>
      </x:c>
      <x:c r="M19" s="84" t="n">
        <x:v>125.16</x:v>
      </x:c>
      <x:c r="N19" s="86" t="n">
        <x:v>0</x:v>
      </x:c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>
      <x:c r="A20" s="72" t="str">
        <x:v>2007-02</x:v>
      </x:c>
      <x:c r="B20" s="83" t="n">
        <x:v>2227.569643</x:v>
      </x:c>
      <x:c r="C20" s="83" t="n">
        <x:v>57.55578947</x:v>
      </x:c>
      <x:c r="D20" s="83" t="n">
        <x:v>299.97</x:v>
      </x:c>
      <x:c r="E20" s="83" t="n">
        <x:v>3934.56</x:v>
      </x:c>
      <x:c r="F20" s="84" t="n">
        <x:v>7.776785714</x:v>
      </x:c>
      <x:c r="G20" s="84" t="n">
        <x:v>5.26</x:v>
      </x:c>
      <x:c r="H20" s="84" t="n">
        <x:v>2.516785714</x:v>
      </x:c>
      <x:c r="I20" s="85" t="n">
        <x:v>-3259.482586</x:v>
      </x:c>
      <x:c r="J20" s="84" t="n">
        <x:v>2.727114411</x:v>
      </x:c>
      <x:c r="K20" s="84" t="n">
        <x:v>97.476425</x:v>
      </x:c>
      <x:c r="L20" s="84" t="n">
        <x:v>11.15526316</x:v>
      </x:c>
      <x:c r="M20" s="84" t="n">
        <x:v>129.93</x:v>
      </x:c>
      <x:c r="N20" s="86" t="n">
        <x:v>0</x:v>
      </x:c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>
      <x:c r="A21" s="72" t="str">
        <x:v>2007-03</x:v>
      </x:c>
      <x:c r="B21" s="83" t="n">
        <x:v>2202.844516</x:v>
      </x:c>
      <x:c r="C21" s="83" t="n">
        <x:v>62.05045455</x:v>
      </x:c>
      <x:c r="D21" s="83" t="n">
        <x:v>338.83</x:v>
      </x:c>
      <x:c r="E21" s="83" t="n">
        <x:v>3949.13</x:v>
      </x:c>
      <x:c r="F21" s="84" t="n">
        <x:v>8.048387097</x:v>
      </x:c>
      <x:c r="G21" s="84" t="n">
        <x:v>5.26</x:v>
      </x:c>
      <x:c r="H21" s="84" t="n">
        <x:v>2.788387097</x:v>
      </x:c>
      <x:c r="I21" s="85" t="n">
        <x:v>-1554.130205</x:v>
      </x:c>
      <x:c r="J21" s="84" t="n">
        <x:v>2.890076276</x:v>
      </x:c>
      <x:c r="K21" s="84" t="n">
        <x:v>97.01175455</x:v>
      </x:c>
      <x:c r="L21" s="84" t="n">
        <x:v>15.16272727</x:v>
      </x:c>
      <x:c r="M21" s="84" t="n">
        <x:v>130.28</x:v>
      </x:c>
      <x:c r="N21" s="86" t="n">
        <x:v>0</x:v>
      </x:c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>
      <x:c r="A22" s="72" t="str">
        <x:v>2007-04</x:v>
      </x:c>
      <x:c r="B22" s="83" t="n">
        <x:v>2144.900667</x:v>
      </x:c>
      <x:c r="C22" s="83" t="n">
        <x:v>67.48578947</x:v>
      </x:c>
      <x:c r="D22" s="83" t="n">
        <x:v>317.74</x:v>
      </x:c>
      <x:c r="E22" s="83" t="n">
        <x:v>3983.61</x:v>
      </x:c>
      <x:c r="F22" s="84" t="n">
        <x:v>8.25</x:v>
      </x:c>
      <x:c r="G22" s="84" t="n">
        <x:v>5.25</x:v>
      </x:c>
      <x:c r="H22" s="84" t="n">
        <x:v>3</x:v>
      </x:c>
      <x:c r="I22" s="85" t="n">
        <x:v>-1980.651221</x:v>
      </x:c>
      <x:c r="J22" s="84" t="n">
        <x:v>2.647914181</x:v>
      </x:c>
      <x:c r="K22" s="84" t="n">
        <x:v>95.6322</x:v>
      </x:c>
      <x:c r="L22" s="84" t="n">
        <x:v>12.933</x:v>
      </x:c>
      <x:c r="M22" s="84" t="n">
        <x:v>134.8</x:v>
      </x:c>
      <x:c r="N22" s="86" t="n">
        <x:v>0</x:v>
      </x:c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>
      <x:c r="A23" s="72" t="str">
        <x:v>2007-05</x:v>
      </x:c>
      <x:c r="B23" s="83" t="n">
        <x:v>2009.415484</x:v>
      </x:c>
      <x:c r="C23" s="83" t="n">
        <x:v>67.21227273</x:v>
      </x:c>
      <x:c r="D23" s="83" t="n">
        <x:v>339.88</x:v>
      </x:c>
      <x:c r="E23" s="83" t="n">
        <x:v>3956.51</x:v>
      </x:c>
      <x:c r="F23" s="84" t="n">
        <x:v>8.572580645</x:v>
      </x:c>
      <x:c r="G23" s="84" t="n">
        <x:v>5.25</x:v>
      </x:c>
      <x:c r="H23" s="84" t="n">
        <x:v>3.322580645</x:v>
      </x:c>
      <x:c r="I23" s="85" t="n">
        <x:v>4532.533269</x:v>
      </x:c>
      <x:c r="J23" s="84" t="n">
        <x:v>2.069261745</x:v>
      </x:c>
      <x:c r="K23" s="84" t="n">
        <x:v>94.72254783</x:v>
      </x:c>
      <x:c r="L23" s="84" t="n">
        <x:v>13.29772727</x:v>
      </x:c>
      <x:c r="M23" s="84" t="n">
        <x:v>138.75</x:v>
      </x:c>
      <x:c r="N23" s="86" t="n">
        <x:v>0</x:v>
      </x:c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>
      <x:c r="A24" s="72" t="str">
        <x:v>2007-06</x:v>
      </x:c>
      <x:c r="B24" s="83" t="n">
        <x:v>1923.534333</x:v>
      </x:c>
      <x:c r="C24" s="83" t="n">
        <x:v>71.04571429</x:v>
      </x:c>
      <x:c r="D24" s="83" t="n">
        <x:v>334.95</x:v>
      </x:c>
      <x:c r="E24" s="83" t="n">
        <x:v>3949.09</x:v>
      </x:c>
      <x:c r="F24" s="84" t="n">
        <x:v>8.85</x:v>
      </x:c>
      <x:c r="G24" s="84" t="n">
        <x:v>5.25</x:v>
      </x:c>
      <x:c r="H24" s="84" t="n">
        <x:v>3.6</x:v>
      </x:c>
      <x:c r="I24" s="85" t="n">
        <x:v>-1488.785889</x:v>
      </x:c>
      <x:c r="J24" s="84" t="n">
        <x:v>2.290703207</x:v>
      </x:c>
      <x:c r="K24" s="84" t="n">
        <x:v>94.44490952</x:v>
      </x:c>
      <x:c r="L24" s="84" t="n">
        <x:v>14.94761905</x:v>
      </x:c>
      <x:c r="M24" s="84" t="n">
        <x:v>139.13</x:v>
      </x:c>
      <x:c r="N24" s="86" t="n">
        <x:v>0</x:v>
      </x:c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>
      <x:c r="A25" s="72" t="str">
        <x:v>2007-07</x:v>
      </x:c>
      <x:c r="B25" s="83" t="n">
        <x:v>1951.843548</x:v>
      </x:c>
      <x:c r="C25" s="83" t="n">
        <x:v>76.93</x:v>
      </x:c>
      <x:c r="D25" s="83" t="n">
        <x:v>368.63</x:v>
      </x:c>
      <x:c r="E25" s="83" t="n">
        <x:v>4003.99</x:v>
      </x:c>
      <x:c r="F25" s="84" t="n">
        <x:v>9.016129032</x:v>
      </x:c>
      <x:c r="G25" s="84" t="n">
        <x:v>5.26</x:v>
      </x:c>
      <x:c r="H25" s="84" t="n">
        <x:v>3.756129032</x:v>
      </x:c>
      <x:c r="I25" s="85" t="n">
        <x:v>-1624.422056</x:v>
      </x:c>
      <x:c r="J25" s="84" t="n">
        <x:v>2.523620514</x:v>
      </x:c>
      <x:c r="K25" s="84" t="n">
        <x:v>93.20591364</x:v>
      </x:c>
      <x:c r="L25" s="84" t="n">
        <x:v>17.27333333</x:v>
      </x:c>
      <x:c r="M25" s="84" t="n">
        <x:v>140.76</x:v>
      </x:c>
      <x:c r="N25" s="86" t="n">
        <x:v>0</x:v>
      </x:c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>
      <x:c r="A26" s="72" t="str">
        <x:v>2007-08</x:v>
      </x:c>
      <x:c r="B26" s="83" t="n">
        <x:v>2056.086774</x:v>
      </x:c>
      <x:c r="C26" s="83" t="n">
        <x:v>70.76086957</x:v>
      </x:c>
      <x:c r="D26" s="83" t="n">
        <x:v>412.73</x:v>
      </x:c>
      <x:c r="E26" s="83" t="n">
        <x:v>4082</x:v>
      </x:c>
      <x:c r="F26" s="84" t="n">
        <x:v>9.25</x:v>
      </x:c>
      <x:c r="G26" s="84" t="n">
        <x:v>5.02</x:v>
      </x:c>
      <x:c r="H26" s="84" t="n">
        <x:v>4.23</x:v>
      </x:c>
      <x:c r="I26" s="85" t="n">
        <x:v>1151.787206</x:v>
      </x:c>
      <x:c r="J26" s="84" t="n">
        <x:v>2.40454409</x:v>
      </x:c>
      <x:c r="K26" s="84" t="n">
        <x:v>93.76029565</x:v>
      </x:c>
      <x:c r="L26" s="84" t="n">
        <x:v>25.02608696</x:v>
      </x:c>
      <x:c r="M26" s="84" t="n">
        <x:v>136.63</x:v>
      </x:c>
      <x:c r="N26" s="86" t="n">
        <x:v>0</x:v>
      </x:c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>
      <x:c r="A27" s="72" t="str">
        <x:v>2007-09</x:v>
      </x:c>
      <x:c r="B27" s="83" t="n">
        <x:v>2113.369667</x:v>
      </x:c>
      <x:c r="C27" s="83" t="n">
        <x:v>77.17315789</x:v>
      </x:c>
      <x:c r="D27" s="83" t="n">
        <x:v>400.52</x:v>
      </x:c>
      <x:c r="E27" s="83" t="n">
        <x:v>4158.4</x:v>
      </x:c>
      <x:c r="F27" s="84" t="n">
        <x:v>9.25</x:v>
      </x:c>
      <x:c r="G27" s="84" t="n">
        <x:v>4.94</x:v>
      </x:c>
      <x:c r="H27" s="84" t="n">
        <x:v>4.31</x:v>
      </x:c>
      <x:c r="I27" s="85" t="n">
        <x:v>-1130.152235</x:v>
      </x:c>
      <x:c r="J27" s="84" t="n">
        <x:v>2.644848962</x:v>
      </x:c>
      <x:c r="K27" s="84" t="n">
        <x:v>92.436595</x:v>
      </x:c>
      <x:c r="L27" s="84" t="n">
        <x:v>22.19894737</x:v>
      </x:c>
      <x:c r="M27" s="84" t="n">
        <x:v>142.31</x:v>
      </x:c>
      <x:c r="N27" s="86" t="n">
        <x:v>0</x:v>
      </x:c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>
      <x:c r="A28" s="72" t="str">
        <x:v>2007-10</x:v>
      </x:c>
      <x:c r="B28" s="83" t="n">
        <x:v>2001.086129</x:v>
      </x:c>
      <x:c r="C28" s="83" t="n">
        <x:v>82.34</x:v>
      </x:c>
      <x:c r="D28" s="83" t="n">
        <x:v>427.78</x:v>
      </x:c>
      <x:c r="E28" s="83" t="n">
        <x:v>4254.58</x:v>
      </x:c>
      <x:c r="F28" s="84" t="n">
        <x:v>9.25</x:v>
      </x:c>
      <x:c r="G28" s="84" t="n">
        <x:v>4.76</x:v>
      </x:c>
      <x:c r="H28" s="84" t="n">
        <x:v>4.49</x:v>
      </x:c>
      <x:c r="I28" s="85" t="n">
        <x:v>-1390.805457</x:v>
      </x:c>
      <x:c r="J28" s="84" t="n">
        <x:v>2.714277456</x:v>
      </x:c>
      <x:c r="K28" s="84" t="n">
        <x:v>90.40017826</x:v>
      </x:c>
      <x:c r="L28" s="84" t="n">
        <x:v>19.11565217</x:v>
      </x:c>
      <x:c r="M28" s="84" t="n">
        <x:v>146.6</x:v>
      </x:c>
      <x:c r="N28" s="86" t="n">
        <x:v>0</x:v>
      </x:c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>
      <x:c r="A29" s="72" t="str">
        <x:v>2007-11</x:v>
      </x:c>
      <x:c r="B29" s="83" t="n">
        <x:v>2046.357</x:v>
      </x:c>
      <x:c r="C29" s="83" t="n">
        <x:v>92.41428571</x:v>
      </x:c>
      <x:c r="D29" s="83" t="n">
        <x:v>456.17</x:v>
      </x:c>
      <x:c r="E29" s="83" t="n">
        <x:v>4377.82</x:v>
      </x:c>
      <x:c r="F29" s="84" t="n">
        <x:v>9.291666667</x:v>
      </x:c>
      <x:c r="G29" s="84" t="n">
        <x:v>4.49</x:v>
      </x:c>
      <x:c r="H29" s="84" t="n">
        <x:v>4.801666667</x:v>
      </x:c>
      <x:c r="I29" s="85" t="n">
        <x:v>-1697.946855</x:v>
      </x:c>
      <x:c r="J29" s="84" t="n">
        <x:v>2.790847647</x:v>
      </x:c>
      <x:c r="K29" s="84" t="n">
        <x:v>89.05299545</x:v>
      </x:c>
      <x:c r="L29" s="84" t="n">
        <x:v>25.58238095</x:v>
      </x:c>
      <x:c r="M29" s="84" t="n">
        <x:v>145.74</x:v>
      </x:c>
      <x:c r="N29" s="86" t="n">
        <x:v>0</x:v>
      </x:c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>
      <x:c r="A30" s="72" t="str">
        <x:v>2007-12</x:v>
      </x:c>
      <x:c r="B30" s="83" t="n">
        <x:v>2013.834516</x:v>
      </x:c>
      <x:c r="C30" s="83" t="n">
        <x:v>90.92684211</x:v>
      </x:c>
      <x:c r="D30" s="83" t="n">
        <x:v>427.25</x:v>
      </x:c>
      <x:c r="E30" s="83" t="n">
        <x:v>4429.73</x:v>
      </x:c>
      <x:c r="F30" s="84" t="n">
        <x:v>9.5</x:v>
      </x:c>
      <x:c r="G30" s="84" t="n">
        <x:v>4.24</x:v>
      </x:c>
      <x:c r="H30" s="84" t="n">
        <x:v>5.26</x:v>
      </x:c>
      <x:c r="I30" s="85" t="n">
        <x:v>-2177.068846</x:v>
      </x:c>
      <x:c r="J30" s="84" t="n">
        <x:v>2.710260117</x:v>
      </x:c>
      <x:c r="K30" s="84" t="n">
        <x:v>90.00495714</x:v>
      </x:c>
      <x:c r="L30" s="84" t="n">
        <x:v>21.651</x:v>
      </x:c>
      <x:c r="M30" s="84" t="n">
        <x:v>147.1</x:v>
      </x:c>
      <x:c r="N30" s="86" t="n">
        <x:v>0</x:v>
      </x:c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>
      <x:c r="A31" s="72" t="str">
        <x:v>2008-01</x:v>
      </x:c>
      <x:c r="B31" s="83" t="n">
        <x:v>1983.184194</x:v>
      </x:c>
      <x:c r="C31" s="83" t="n">
        <x:v>92.17809524</x:v>
      </x:c>
      <x:c r="D31" s="83" t="n">
        <x:v>380.82</x:v>
      </x:c>
      <x:c r="E31" s="83" t="n">
        <x:v>4505.27</x:v>
      </x:c>
      <x:c r="F31" s="84" t="n">
        <x:v>9.5</x:v>
      </x:c>
      <x:c r="G31" s="84" t="n">
        <x:v>3.94</x:v>
      </x:c>
      <x:c r="H31" s="84" t="n">
        <x:v>5.56</x:v>
      </x:c>
      <x:c r="I31" s="85" t="n">
        <x:v>-1131.468567</x:v>
      </x:c>
      <x:c r="J31" s="84" t="n">
        <x:v>2.465742275</x:v>
      </x:c>
      <x:c r="K31" s="84" t="n">
        <x:v>89.39711739</x:v>
      </x:c>
      <x:c r="L31" s="84" t="n">
        <x:v>25.81619048</x:v>
      </x:c>
      <x:c r="M31" s="84" t="n">
        <x:v>145.36</x:v>
      </x:c>
      <x:c r="N31" s="86" t="n">
        <x:v>0</x:v>
      </x:c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>
      <x:c r="A32" s="72" t="str">
        <x:v>2008-02</x:v>
      </x:c>
      <x:c r="B32" s="83" t="n">
        <x:v>1905.294138</x:v>
      </x:c>
      <x:c r="C32" s="83" t="n">
        <x:v>94.9865</x:v>
      </x:c>
      <x:c r="D32" s="83" t="n">
        <x:v>357.81</x:v>
      </x:c>
      <x:c r="E32" s="83" t="n">
        <x:v>4563.11</x:v>
      </x:c>
      <x:c r="F32" s="84" t="n">
        <x:v>9.543103448</x:v>
      </x:c>
      <x:c r="G32" s="84" t="n">
        <x:v>2.98</x:v>
      </x:c>
      <x:c r="H32" s="84" t="n">
        <x:v>6.563103448</x:v>
      </x:c>
      <x:c r="I32" s="85" t="n">
        <x:v>-3897.160203</x:v>
      </x:c>
      <x:c r="J32" s="84" t="n">
        <x:v>2.599552424</x:v>
      </x:c>
      <x:c r="K32" s="84" t="n">
        <x:v>88.6434381</x:v>
      </x:c>
      <x:c r="L32" s="84" t="n">
        <x:v>25.456</x:v>
      </x:c>
      <x:c r="M32" s="84" t="n">
        <x:v>150.3</x:v>
      </x:c>
      <x:c r="N32" s="86" t="n">
        <x:v>0</x:v>
      </x:c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>
      <x:c r="A33" s="72" t="str">
        <x:v>2008-03</x:v>
      </x:c>
      <x:c r="B33" s="83" t="n">
        <x:v>1843.493226</x:v>
      </x:c>
      <x:c r="C33" s="83" t="n">
        <x:v>103.6355</x:v>
      </x:c>
      <x:c r="D33" s="83" t="n">
        <x:v>389.47</x:v>
      </x:c>
      <x:c r="E33" s="83" t="n">
        <x:v>4613.75</x:v>
      </x:c>
      <x:c r="F33" s="84" t="n">
        <x:v>9.75</x:v>
      </x:c>
      <x:c r="G33" s="84" t="n">
        <x:v>2.61</x:v>
      </x:c>
      <x:c r="H33" s="84" t="n">
        <x:v>7.14</x:v>
      </x:c>
      <x:c r="I33" s="85" t="n">
        <x:v>-487.437149</x:v>
      </x:c>
      <x:c r="J33" s="84" t="n">
        <x:v>2.375717758</x:v>
      </x:c>
      <x:c r="K33" s="84" t="n">
        <x:v>86.83986667</x:v>
      </x:c>
      <x:c r="L33" s="84" t="n">
        <x:v>27.1035</x:v>
      </x:c>
      <x:c r="M33" s="84" t="n">
        <x:v>156.16</x:v>
      </x:c>
      <x:c r="N33" s="86" t="n">
        <x:v>0</x:v>
      </x:c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>
      <x:c r="A34" s="72" t="str">
        <x:v>2008-04</x:v>
      </x:c>
      <x:c r="B34" s="83" t="n">
        <x:v>1795.103</x:v>
      </x:c>
      <x:c r="C34" s="83" t="n">
        <x:v>109.0713636</x:v>
      </x:c>
      <x:c r="D34" s="83" t="n">
        <x:v>405.98</x:v>
      </x:c>
      <x:c r="E34" s="83" t="n">
        <x:v>4701.99</x:v>
      </x:c>
      <x:c r="F34" s="84" t="n">
        <x:v>9.75</x:v>
      </x:c>
      <x:c r="G34" s="84" t="n">
        <x:v>2.28</x:v>
      </x:c>
      <x:c r="H34" s="84" t="n">
        <x:v>7.47</x:v>
      </x:c>
      <x:c r="I34" s="85" t="n">
        <x:v>1170.9732</x:v>
      </x:c>
      <x:c r="J34" s="84" t="n">
        <x:v>1.714381493</x:v>
      </x:c>
      <x:c r="K34" s="84" t="n">
        <x:v>86.54753636</x:v>
      </x:c>
      <x:c r="L34" s="84" t="n">
        <x:v>21.56272727</x:v>
      </x:c>
      <x:c r="M34" s="84" t="n">
        <x:v>154.39</x:v>
      </x:c>
      <x:c r="N34" s="86" t="n">
        <x:v>0</x:v>
      </x:c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>
      <x:c r="A35" s="72" t="str">
        <x:v>2008-05</x:v>
      </x:c>
      <x:c r="B35" s="83" t="n">
        <x:v>1775.156129</x:v>
      </x:c>
      <x:c r="C35" s="83" t="n">
        <x:v>122.7971429</x:v>
      </x:c>
      <x:c r="D35" s="83" t="n">
        <x:v>405.55</x:v>
      </x:c>
      <x:c r="E35" s="83" t="n">
        <x:v>4767.66</x:v>
      </x:c>
      <x:c r="F35" s="84" t="n">
        <x:v>9.75</x:v>
      </x:c>
      <x:c r="G35" s="84" t="n">
        <x:v>1.98</x:v>
      </x:c>
      <x:c r="H35" s="84" t="n">
        <x:v>7.77</x:v>
      </x:c>
      <x:c r="I35" s="85" t="n">
        <x:v>2254.996348</x:v>
      </x:c>
      <x:c r="J35" s="84" t="n">
        <x:v>2.192299404</x:v>
      </x:c>
      <x:c r="K35" s="84" t="n">
        <x:v>86.82446364</x:v>
      </x:c>
      <x:c r="L35" s="84" t="n">
        <x:v>18.30333333</x:v>
      </x:c>
      <x:c r="M35" s="84" t="n">
        <x:v>159.88</x:v>
      </x:c>
      <x:c r="N35" s="86" t="n">
        <x:v>0</x:v>
      </x:c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>
      <x:c r="A36" s="72" t="str">
        <x:v>2008-06</x:v>
      </x:c>
      <x:c r="B36" s="83" t="n">
        <x:v>1732.286333</x:v>
      </x:c>
      <x:c r="C36" s="83" t="n">
        <x:v>132.322381</x:v>
      </x:c>
      <x:c r="D36" s="83" t="n">
        <x:v>362.75</x:v>
      </x:c>
      <x:c r="E36" s="83" t="n">
        <x:v>4795.46</x:v>
      </x:c>
      <x:c r="F36" s="84" t="n">
        <x:v>9.75</x:v>
      </x:c>
      <x:c r="G36" s="84" t="n">
        <x:v>2</x:v>
      </x:c>
      <x:c r="H36" s="84" t="n">
        <x:v>7.75</x:v>
      </x:c>
      <x:c r="I36" s="85" t="n">
        <x:v>1772.505974</x:v>
      </x:c>
      <x:c r="J36" s="84" t="n">
        <x:v>1.507950545</x:v>
      </x:c>
      <x:c r="K36" s="84" t="n">
        <x:v>87.07280476</x:v>
      </x:c>
      <x:c r="L36" s="84" t="n">
        <x:v>22.11047619</x:v>
      </x:c>
      <x:c r="M36" s="84" t="n">
        <x:v>162.14</x:v>
      </x:c>
      <x:c r="N36" s="86" t="n">
        <x:v>0</x:v>
      </x:c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>
      <x:c r="A37" s="72" t="str">
        <x:v>2008-07</x:v>
      </x:c>
      <x:c r="B37" s="83" t="n">
        <x:v>1781.045161</x:v>
      </x:c>
      <x:c r="C37" s="83" t="n">
        <x:v>132.7181818</x:v>
      </x:c>
      <x:c r="D37" s="83" t="n">
        <x:v>465.82</x:v>
      </x:c>
      <x:c r="E37" s="83" t="n">
        <x:v>4892.65</x:v>
      </x:c>
      <x:c r="F37" s="84" t="n">
        <x:v>9.782258065</x:v>
      </x:c>
      <x:c r="G37" s="84" t="n">
        <x:v>2.01</x:v>
      </x:c>
      <x:c r="H37" s="84" t="n">
        <x:v>7.772258065</x:v>
      </x:c>
      <x:c r="I37" s="85" t="n">
        <x:v>-1018.414518</x:v>
      </x:c>
      <x:c r="J37" s="84" t="n">
        <x:v>1.38078604</x:v>
      </x:c>
      <x:c r="K37" s="84" t="n">
        <x:v>86.45375652</x:v>
      </x:c>
      <x:c r="L37" s="84" t="n">
        <x:v>24.32181818</x:v>
      </x:c>
      <x:c r="M37" s="84" t="n">
        <x:v>159.92</x:v>
      </x:c>
      <x:c r="N37" s="86" t="n">
        <x:v>0</x:v>
      </x:c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>
      <x:c r="A38" s="72" t="str">
        <x:v>2008-08</x:v>
      </x:c>
      <x:c r="B38" s="83" t="n">
        <x:v>1847.477419</x:v>
      </x:c>
      <x:c r="C38" s="83" t="n">
        <x:v>113.2433333</x:v>
      </x:c>
      <x:c r="D38" s="83" t="n">
        <x:v>369.55</x:v>
      </x:c>
      <x:c r="E38" s="83" t="n">
        <x:v>4849.47</x:v>
      </x:c>
      <x:c r="F38" s="84" t="n">
        <x:v>10</x:v>
      </x:c>
      <x:c r="G38" s="84" t="n">
        <x:v>2</x:v>
      </x:c>
      <x:c r="H38" s="84" t="n">
        <x:v>8</x:v>
      </x:c>
      <x:c r="I38" s="85" t="n">
        <x:v>-1108.479733</x:v>
      </x:c>
      <x:c r="J38" s="84" t="n">
        <x:v>1.855080021</x:v>
      </x:c>
      <x:c r="K38" s="84" t="n">
        <x:v>88.94499524</x:v>
      </x:c>
      <x:c r="L38" s="84" t="n">
        <x:v>20.69571429</x:v>
      </x:c>
      <x:c r="M38" s="84" t="n">
        <x:v>147.49</x:v>
      </x:c>
      <x:c r="N38" s="86" t="n">
        <x:v>0</x:v>
      </x:c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>
      <x:c r="A39" s="72" t="str">
        <x:v>2008-09</x:v>
      </x:c>
      <x:c r="B39" s="83" t="n">
        <x:v>2066.187</x:v>
      </x:c>
      <x:c r="C39" s="83" t="n">
        <x:v>97.2347619</x:v>
      </x:c>
      <x:c r="D39" s="83" t="n">
        <x:v>476.54</x:v>
      </x:c>
      <x:c r="E39" s="83" t="n">
        <x:v>4925.49</x:v>
      </x:c>
      <x:c r="F39" s="84" t="n">
        <x:v>10</x:v>
      </x:c>
      <x:c r="G39" s="84" t="n">
        <x:v>1.81</x:v>
      </x:c>
      <x:c r="H39" s="84" t="n">
        <x:v>8.19</x:v>
      </x:c>
      <x:c r="I39" s="85" t="n">
        <x:v>-692.0362976</x:v>
      </x:c>
      <x:c r="J39" s="84" t="n">
        <x:v>1.763145856</x:v>
      </x:c>
      <x:c r="K39" s="84" t="n">
        <x:v>91.26510909</x:v>
      </x:c>
      <x:c r="L39" s="84" t="n">
        <x:v>30.23857143</x:v>
      </x:c>
      <x:c r="M39" s="84" t="n">
        <x:v>144.57</x:v>
      </x:c>
      <x:c r="N39" s="86" t="n">
        <x:v>0</x:v>
      </x:c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>
      <x:c r="A40" s="72" t="str">
        <x:v>2008-10</x:v>
      </x:c>
      <x:c r="B40" s="83" t="n">
        <x:v>2288.858065</x:v>
      </x:c>
      <x:c r="C40" s="83" t="n">
        <x:v>71.58217391</x:v>
      </x:c>
      <x:c r="D40" s="83" t="n">
        <x:v>421.17</x:v>
      </x:c>
      <x:c r="E40" s="83" t="n">
        <x:v>4918.88</x:v>
      </x:c>
      <x:c r="F40" s="84" t="n">
        <x:v>10</x:v>
      </x:c>
      <x:c r="G40" s="84" t="n">
        <x:v>0.97</x:v>
      </x:c>
      <x:c r="H40" s="84" t="n">
        <x:v>9.03</x:v>
      </x:c>
      <x:c r="I40" s="85" t="n">
        <x:v>-1086.107683</x:v>
      </x:c>
      <x:c r="J40" s="84" t="n">
        <x:v>1.699208134</x:v>
      </x:c>
      <x:c r="K40" s="84" t="n">
        <x:v>98.04</x:v>
      </x:c>
      <x:c r="L40" s="84" t="n">
        <x:v>61.1773913</x:v>
      </x:c>
      <x:c r="M40" s="84" t="n">
        <x:v>132.19</x:v>
      </x:c>
      <x:c r="N40" s="86" t="n">
        <x:v>0</x:v>
      </x:c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>
      <x:c r="A41" s="72" t="str">
        <x:v>2008-11</x:v>
      </x:c>
      <x:c r="B41" s="83" t="n">
        <x:v>2333.660333</x:v>
      </x:c>
      <x:c r="C41" s="83" t="n">
        <x:v>52.45263158</x:v>
      </x:c>
      <x:c r="D41" s="83" t="n">
        <x:v>317.42</x:v>
      </x:c>
      <x:c r="E41" s="83" t="n">
        <x:v>4780.13</x:v>
      </x:c>
      <x:c r="F41" s="84" t="n">
        <x:v>10</x:v>
      </x:c>
      <x:c r="G41" s="84" t="n">
        <x:v>0.39</x:v>
      </x:c>
      <x:c r="H41" s="84" t="n">
        <x:v>9.61</x:v>
      </x:c>
      <x:c r="I41" s="85" t="n">
        <x:v>-4714.333891</x:v>
      </x:c>
      <x:c r="J41" s="84" t="n">
        <x:v>2.332166211</x:v>
      </x:c>
      <x:c r="K41" s="84" t="n">
        <x:v>100.76666</x:v>
      </x:c>
      <x:c r="L41" s="84" t="n">
        <x:v>62.66894737</x:v>
      </x:c>
      <x:c r="M41" s="84" t="n">
        <x:v>117.74</x:v>
      </x:c>
      <x:c r="N41" s="86" t="n">
        <x:v>0</x:v>
      </x:c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>
      <x:c r="A42" s="72" t="str">
        <x:v>2008-12</x:v>
      </x:c>
      <x:c r="B42" s="83" t="n">
        <x:v>2251.510323</x:v>
      </x:c>
      <x:c r="C42" s="83" t="n">
        <x:v>39.94681818</x:v>
      </x:c>
      <x:c r="D42" s="83" t="n">
        <x:v>432.04</x:v>
      </x:c>
      <x:c r="E42" s="83" t="n">
        <x:v>4784.92</x:v>
      </x:c>
      <x:c r="F42" s="84" t="n">
        <x:v>9.838709677</x:v>
      </x:c>
      <x:c r="G42" s="84" t="n">
        <x:v>0.16</x:v>
      </x:c>
      <x:c r="H42" s="84" t="n">
        <x:v>9.678709677</x:v>
      </x:c>
      <x:c r="I42" s="85" t="n">
        <x:v>-2130.803741</x:v>
      </x:c>
      <x:c r="J42" s="84" t="n">
        <x:v>2.32245795</x:v>
      </x:c>
      <x:c r="K42" s="84" t="n">
        <x:v>99.66224783</x:v>
      </x:c>
      <x:c r="L42" s="84" t="n">
        <x:v>52.405</x:v>
      </x:c>
      <x:c r="M42" s="84" t="n">
        <x:v>127.1</x:v>
      </x:c>
      <x:c r="N42" s="86" t="n">
        <x:v>0</x:v>
      </x:c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>
      <x:c r="A43" s="72" t="str">
        <x:v>2009-01</x:v>
      </x:c>
      <x:c r="B43" s="83" t="n">
        <x:v>2253.506129</x:v>
      </x:c>
      <x:c r="C43" s="83" t="n">
        <x:v>43.4395</x:v>
      </x:c>
      <x:c r="D43" s="83" t="n">
        <x:v>319.24</x:v>
      </x:c>
      <x:c r="E43" s="83" t="n">
        <x:v>4723.34</x:v>
      </x:c>
      <x:c r="F43" s="84" t="n">
        <x:v>9.5</x:v>
      </x:c>
      <x:c r="G43" s="84" t="n">
        <x:v>0.15</x:v>
      </x:c>
      <x:c r="H43" s="84" t="n">
        <x:v>9.35</x:v>
      </x:c>
      <x:c r="I43" s="85" t="n">
        <x:v>1131.622516</x:v>
      </x:c>
      <x:c r="J43" s="84" t="n">
        <x:v>1.755409008</x:v>
      </x:c>
      <x:c r="K43" s="84" t="n">
        <x:v>100.3520842</x:v>
      </x:c>
      <x:c r="L43" s="84" t="n">
        <x:v>44.683</x:v>
      </x:c>
      <x:c r="M43" s="84" t="n">
        <x:v>114.11</x:v>
      </x:c>
      <x:c r="N43" s="86" t="n">
        <x:v>0</x:v>
      </x:c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>
      <x:c r="A44" s="72" t="str">
        <x:v>2009-02</x:v>
      </x:c>
      <x:c r="B44" s="83" t="n">
        <x:v>2512.344286</x:v>
      </x:c>
      <x:c r="C44" s="83" t="n">
        <x:v>43.32473684</x:v>
      </x:c>
      <x:c r="D44" s="83" t="n">
        <x:v>374.71</x:v>
      </x:c>
      <x:c r="E44" s="83" t="n">
        <x:v>4740.24</x:v>
      </x:c>
      <x:c r="F44" s="84" t="n">
        <x:v>9.017857143</x:v>
      </x:c>
      <x:c r="G44" s="84" t="n">
        <x:v>0.22</x:v>
      </x:c>
      <x:c r="H44" s="84" t="n">
        <x:v>8.797857143</x:v>
      </x:c>
      <x:c r="I44" s="85" t="n">
        <x:v>-3211.483497</x:v>
      </x:c>
      <x:c r="J44" s="84" t="n">
        <x:v>1.618704014</x:v>
      </x:c>
      <x:c r="K44" s="84" t="n">
        <x:v>102.9737263</x:v>
      </x:c>
      <x:c r="L44" s="84" t="n">
        <x:v>45.57052632</x:v>
      </x:c>
      <x:c r="M44" s="84" t="n">
        <x:v>114.79</x:v>
      </x:c>
      <x:c r="N44" s="86" t="n">
        <x:v>0</x:v>
      </x:c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>
      <x:c r="A45" s="72" t="str">
        <x:v>2009-03</x:v>
      </x:c>
      <x:c r="B45" s="83" t="n">
        <x:v>2469.634839</x:v>
      </x:c>
      <x:c r="C45" s="83" t="n">
        <x:v>46.54045455</x:v>
      </x:c>
      <x:c r="D45" s="83" t="n">
        <x:v>385.91</x:v>
      </x:c>
      <x:c r="E45" s="83" t="n">
        <x:v>4736.68</x:v>
      </x:c>
      <x:c r="F45" s="84" t="n">
        <x:v>7.774193548</x:v>
      </x:c>
      <x:c r="G45" s="84" t="n">
        <x:v>0.18</x:v>
      </x:c>
      <x:c r="H45" s="84" t="n">
        <x:v>7.594193548</x:v>
      </x:c>
      <x:c r="I45" s="85" t="n">
        <x:v>-1171.186926</x:v>
      </x:c>
      <x:c r="J45" s="84" t="n">
        <x:v>1.755024832</x:v>
      </x:c>
      <x:c r="K45" s="84" t="n">
        <x:v>103.4397455</x:v>
      </x:c>
      <x:c r="L45" s="84" t="n">
        <x:v>44.79545455</x:v>
      </x:c>
      <x:c r="M45" s="84" t="n">
        <x:v>129.27</x:v>
      </x:c>
      <x:c r="N45" s="86" t="n">
        <x:v>0</x:v>
      </x:c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>
      <x:c r="A46" s="72" t="str">
        <x:v>2009-04</x:v>
      </x:c>
      <x:c r="B46" s="83" t="n">
        <x:v>2374.607667</x:v>
      </x:c>
      <x:c r="C46" s="83" t="n">
        <x:v>50.18190476</x:v>
      </x:c>
      <x:c r="D46" s="83" t="n">
        <x:v>340.08</x:v>
      </x:c>
      <x:c r="E46" s="83" t="n">
        <x:v>4670.78</x:v>
      </x:c>
      <x:c r="F46" s="84" t="n">
        <x:v>7</x:v>
      </x:c>
      <x:c r="G46" s="84" t="n">
        <x:v>0.15</x:v>
      </x:c>
      <x:c r="H46" s="84" t="n">
        <x:v>6.85</x:v>
      </x:c>
      <x:c r="I46" s="85" t="n">
        <x:v>2912.885466</x:v>
      </x:c>
      <x:c r="J46" s="84" t="n">
        <x:v>1.407735645</x:v>
      </x:c>
      <x:c r="K46" s="84" t="n">
        <x:v>100.7161864</x:v>
      </x:c>
      <x:c r="L46" s="84" t="n">
        <x:v>38.06380952</x:v>
      </x:c>
      <x:c r="M46" s="84" t="n">
        <x:v>127.57</x:v>
      </x:c>
      <x:c r="N46" s="86" t="n">
        <x:v>0</x:v>
      </x:c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>
      <x:c r="A47" s="72" t="str">
        <x:v>2009-05</x:v>
      </x:c>
      <x:c r="B47" s="83" t="n">
        <x:v>2227.317742</x:v>
      </x:c>
      <x:c r="C47" s="83" t="n">
        <x:v>57.3025</x:v>
      </x:c>
      <x:c r="D47" s="83" t="n">
        <x:v>341.62</x:v>
      </x:c>
      <x:c r="E47" s="83" t="n">
        <x:v>4606.85</x:v>
      </x:c>
      <x:c r="F47" s="84" t="n">
        <x:v>6.096774194</x:v>
      </x:c>
      <x:c r="G47" s="84" t="n">
        <x:v>0.18</x:v>
      </x:c>
      <x:c r="H47" s="84" t="n">
        <x:v>5.916774194</x:v>
      </x:c>
      <x:c r="I47" s="85" t="n">
        <x:v>-1876.659441</x:v>
      </x:c>
      <x:c r="J47" s="84" t="n">
        <x:v>2.231473675</x:v>
      </x:c>
      <x:c r="K47" s="84" t="n">
        <x:v>97.55188</x:v>
      </x:c>
      <x:c r="L47" s="84" t="n">
        <x:v>31.978</x:v>
      </x:c>
      <x:c r="M47" s="84" t="n">
        <x:v>139.83</x:v>
      </x:c>
      <x:c r="N47" s="86" t="n">
        <x:v>0</x:v>
      </x:c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>
      <x:c r="A48" s="72" t="str">
        <x:v>2009-06</x:v>
      </x:c>
      <x:c r="B48" s="83" t="n">
        <x:v>2089.460333</x:v>
      </x:c>
      <x:c r="C48" s="83" t="n">
        <x:v>68.60954545</x:v>
      </x:c>
      <x:c r="D48" s="83" t="n">
        <x:v>313.08</x:v>
      </x:c>
      <x:c r="E48" s="83" t="n">
        <x:v>4557.18</x:v>
      </x:c>
      <x:c r="F48" s="84" t="n">
        <x:v>4.866666667</x:v>
      </x:c>
      <x:c r="G48" s="84" t="n">
        <x:v>0.21</x:v>
      </x:c>
      <x:c r="H48" s="84" t="n">
        <x:v>4.656666667</x:v>
      </x:c>
      <x:c r="I48" s="85" t="n">
        <x:v>-2008.01347</x:v>
      </x:c>
      <x:c r="J48" s="84" t="n">
        <x:v>2.985204818</x:v>
      </x:c>
      <x:c r="K48" s="84" t="n">
        <x:v>96.04261818</x:v>
      </x:c>
      <x:c r="L48" s="84" t="n">
        <x:v>29.14045455</x:v>
      </x:c>
      <x:c r="M48" s="84" t="n">
        <x:v>146.13</x:v>
      </x:c>
      <x:c r="N48" s="86" t="n">
        <x:v>0</x:v>
      </x:c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>
      <x:c r="A49" s="72" t="str">
        <x:v>2009-07</x:v>
      </x:c>
      <x:c r="B49" s="83" t="n">
        <x:v>2049.239677</x:v>
      </x:c>
      <x:c r="C49" s="83" t="n">
        <x:v>64.43545455</x:v>
      </x:c>
      <x:c r="D49" s="83" t="n">
        <x:v>314.47</x:v>
      </x:c>
      <x:c r="E49" s="83" t="n">
        <x:v>4405.83</x:v>
      </x:c>
      <x:c r="F49" s="84" t="n">
        <x:v>4.5</x:v>
      </x:c>
      <x:c r="G49" s="84" t="n">
        <x:v>0.16</x:v>
      </x:c>
      <x:c r="H49" s="84" t="n">
        <x:v>4.34</x:v>
      </x:c>
      <x:c r="I49" s="85" t="n">
        <x:v>-2738.042198</x:v>
      </x:c>
      <x:c r="J49" s="84" t="n">
        <x:v>3.328051074</x:v>
      </x:c>
      <x:c r="K49" s="84" t="n">
        <x:v>95.66055909</x:v>
      </x:c>
      <x:c r="L49" s="84" t="n">
        <x:v>26.16272727</x:v>
      </x:c>
      <x:c r="M49" s="84" t="n">
        <x:v>137.48</x:v>
      </x:c>
      <x:c r="N49" s="86" t="n">
        <x:v>0</x:v>
      </x:c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>
      <x:c r="A50" s="72" t="str">
        <x:v>2009-08</x:v>
      </x:c>
      <x:c r="B50" s="83" t="n">
        <x:v>2017.618065</x:v>
      </x:c>
      <x:c r="C50" s="83" t="n">
        <x:v>72.50857143</x:v>
      </x:c>
      <x:c r="D50" s="83" t="n">
        <x:v>304.05</x:v>
      </x:c>
      <x:c r="E50" s="83" t="n">
        <x:v>4340.33</x:v>
      </x:c>
      <x:c r="F50" s="84" t="n">
        <x:v>4.5</x:v>
      </x:c>
      <x:c r="G50" s="84" t="n">
        <x:v>0.16</x:v>
      </x:c>
      <x:c r="H50" s="84" t="n">
        <x:v>4.34</x:v>
      </x:c>
      <x:c r="I50" s="85" t="n">
        <x:v>746.6916332</x:v>
      </x:c>
      <x:c r="J50" s="84" t="n">
        <x:v>2.958181152</x:v>
      </x:c>
      <x:c r="K50" s="84" t="n">
        <x:v>94.37304286</x:v>
      </x:c>
      <x:c r="L50" s="84" t="n">
        <x:v>25.33714286</x:v>
      </x:c>
      <x:c r="M50" s="84" t="n">
        <x:v>144.15</x:v>
      </x:c>
      <x:c r="N50" s="86" t="n">
        <x:v>0</x:v>
      </x:c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>
      <x:c r="A51" s="72" t="str">
        <x:v>2009-09</x:v>
      </x:c>
      <x:c r="B51" s="83" t="n">
        <x:v>1978.033</x:v>
      </x:c>
      <x:c r="C51" s="83" t="n">
        <x:v>67.64619048</x:v>
      </x:c>
      <x:c r="D51" s="83" t="n">
        <x:v>313.7</x:v>
      </x:c>
      <x:c r="E51" s="83" t="n">
        <x:v>4177.49</x:v>
      </x:c>
      <x:c r="F51" s="84" t="n">
        <x:v>4.45</x:v>
      </x:c>
      <x:c r="G51" s="84" t="n">
        <x:v>0.15</x:v>
      </x:c>
      <x:c r="H51" s="84" t="n">
        <x:v>4.3</x:v>
      </x:c>
      <x:c r="I51" s="85" t="n">
        <x:v>-1297.365731</x:v>
      </x:c>
      <x:c r="J51" s="84" t="n">
        <x:v>3.078867119</x:v>
      </x:c>
      <x:c r="K51" s="84" t="n">
        <x:v>93.6638</x:v>
      </x:c>
      <x:c r="L51" s="84" t="n">
        <x:v>24.92666667</x:v>
      </x:c>
      <x:c r="M51" s="84" t="n">
        <x:v>148.17</x:v>
      </x:c>
      <x:c r="N51" s="86" t="n">
        <x:v>0</x:v>
      </x:c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>
      <x:c r="A52" s="72" t="str">
        <x:v>2009-10</x:v>
      </x:c>
      <x:c r="B52" s="83" t="n">
        <x:v>1901.400323</x:v>
      </x:c>
      <x:c r="C52" s="83" t="n">
        <x:v>72.76954545</x:v>
      </x:c>
      <x:c r="D52" s="83" t="n">
        <x:v>334.92</x:v>
      </x:c>
      <x:c r="E52" s="83" t="n">
        <x:v>4091.24</x:v>
      </x:c>
      <x:c r="F52" s="84" t="n">
        <x:v>4</x:v>
      </x:c>
      <x:c r="G52" s="84" t="n">
        <x:v>0.12</x:v>
      </x:c>
      <x:c r="H52" s="84" t="n">
        <x:v>3.88</x:v>
      </x:c>
      <x:c r="I52" s="85" t="n">
        <x:v>-3707.944669</x:v>
      </x:c>
      <x:c r="J52" s="84" t="n">
        <x:v>3.601588988</x:v>
      </x:c>
      <x:c r="K52" s="84" t="n">
        <x:v>92.2597619</x:v>
      </x:c>
      <x:c r="L52" s="84" t="n">
        <x:v>24.25227273</x:v>
      </x:c>
      <x:c r="M52" s="84" t="n">
        <x:v>154.41</x:v>
      </x:c>
      <x:c r="N52" s="86" t="n">
        <x:v>0</x:v>
      </x:c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>
      <x:c r="A53" s="72" t="str">
        <x:v>2009-11</x:v>
      </x:c>
      <x:c r="B53" s="83" t="n">
        <x:v>1976.879333</x:v>
      </x:c>
      <x:c r="C53" s="83" t="n">
        <x:v>76.662</x:v>
      </x:c>
      <x:c r="D53" s="83" t="n">
        <x:v>340.87</x:v>
      </x:c>
      <x:c r="E53" s="83" t="n">
        <x:v>4114.69</x:v>
      </x:c>
      <x:c r="F53" s="84" t="n">
        <x:v>3.883333333</x:v>
      </x:c>
      <x:c r="G53" s="84" t="n">
        <x:v>0.12</x:v>
      </x:c>
      <x:c r="H53" s="84" t="n">
        <x:v>3.763333333</x:v>
      </x:c>
      <x:c r="I53" s="85" t="n">
        <x:v>-3446.245145</x:v>
      </x:c>
      <x:c r="J53" s="84" t="n">
        <x:v>3.348767122</x:v>
      </x:c>
      <x:c r="K53" s="84" t="n">
        <x:v>91.79961053</x:v>
      </x:c>
      <x:c r="L53" s="84" t="n">
        <x:v>23.789</x:v>
      </x:c>
      <x:c r="M53" s="84" t="n">
        <x:v>153.54</x:v>
      </x:c>
      <x:c r="N53" s="86" t="n">
        <x:v>0</x:v>
      </x:c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>
      <x:c r="A54" s="72" t="str">
        <x:v>2009-12</x:v>
      </x:c>
      <x:c r="B54" s="83" t="n">
        <x:v>2018.012581</x:v>
      </x:c>
      <x:c r="C54" s="83" t="n">
        <x:v>74.45636364</x:v>
      </x:c>
      <x:c r="D54" s="83" t="n">
        <x:v>407.63</x:v>
      </x:c>
      <x:c r="E54" s="83" t="n">
        <x:v>4090.28</x:v>
      </x:c>
      <x:c r="F54" s="84" t="n">
        <x:v>3.5</x:v>
      </x:c>
      <x:c r="G54" s="84" t="n">
        <x:v>0.12</x:v>
      </x:c>
      <x:c r="H54" s="84" t="n">
        <x:v>3.38</x:v>
      </x:c>
      <x:c r="I54" s="85" t="n">
        <x:v>-6049.282194</x:v>
      </x:c>
      <x:c r="J54" s="84" t="n">
        <x:v>4.13000348</x:v>
      </x:c>
      <x:c r="K54" s="84" t="n">
        <x:v>92.25861905</x:v>
      </x:c>
      <x:c r="L54" s="84" t="n">
        <x:v>21.23954545</x:v>
      </x:c>
      <x:c r="M54" s="84" t="n">
        <x:v>153.1</x:v>
      </x:c>
      <x:c r="N54" s="86" t="n">
        <x:v>0</x:v>
      </x:c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>
      <x:c r="A55" s="72" t="str">
        <x:v>2010-01</x:v>
      </x:c>
      <x:c r="B55" s="83" t="n">
        <x:v>1983.426774</x:v>
      </x:c>
      <x:c r="C55" s="83" t="n">
        <x:v>76.16736842</x:v>
      </x:c>
      <x:c r="D55" s="83" t="n">
        <x:v>265.31</x:v>
      </x:c>
      <x:c r="E55" s="83" t="n">
        <x:v>4036.35</x:v>
      </x:c>
      <x:c r="F55" s="84" t="n">
        <x:v>3.5</x:v>
      </x:c>
      <x:c r="G55" s="84" t="n">
        <x:v>0.11</x:v>
      </x:c>
      <x:c r="H55" s="84" t="n">
        <x:v>3.39</x:v>
      </x:c>
      <x:c r="I55" s="85" t="n">
        <x:v>2168.018762</x:v>
      </x:c>
      <x:c r="J55" s="84" t="n">
        <x:v>3.616995811</x:v>
      </x:c>
      <x:c r="K55" s="84" t="n">
        <x:v>92.4403</x:v>
      </x:c>
      <x:c r="L55" s="84" t="n">
        <x:v>20.64315789</x:v>
      </x:c>
      <x:c r="M55" s="84" t="n">
        <x:v>158.66</x:v>
      </x:c>
      <x:c r="N55" s="86" t="n">
        <x:v>0</x:v>
      </x:c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>
      <x:c r="A56" s="72" t="str">
        <x:v>2010-02</x:v>
      </x:c>
      <x:c r="B56" s="83" t="n">
        <x:v>1951.723929</x:v>
      </x:c>
      <x:c r="C56" s="83" t="n">
        <x:v>73.75210526</x:v>
      </x:c>
      <x:c r="D56" s="83" t="n">
        <x:v>273.2</x:v>
      </x:c>
      <x:c r="E56" s="83" t="n">
        <x:v>3934.84</x:v>
      </x:c>
      <x:c r="F56" s="84" t="n">
        <x:v>3.5</x:v>
      </x:c>
      <x:c r="G56" s="84" t="n">
        <x:v>0.13</x:v>
      </x:c>
      <x:c r="H56" s="84" t="n">
        <x:v>3.37</x:v>
      </x:c>
      <x:c r="I56" s="85" t="n">
        <x:v>-450.9388046</x:v>
      </x:c>
      <x:c r="J56" s="84" t="n">
        <x:v>3.109598706</x:v>
      </x:c>
      <x:c r="K56" s="84" t="n">
        <x:v>93.88668</x:v>
      </x:c>
      <x:c r="L56" s="84" t="n">
        <x:v>22.54</x:v>
      </x:c>
      <x:c r="M56" s="84" t="n">
        <x:v>154.55</x:v>
      </x:c>
      <x:c r="N56" s="86" t="n">
        <x:v>0</x:v>
      </x:c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>
      <x:c r="A57" s="72" t="str">
        <x:v>2010-03</x:v>
      </x:c>
      <x:c r="B57" s="83" t="n">
        <x:v>1908.991935</x:v>
      </x:c>
      <x:c r="C57" s="83" t="n">
        <x:v>78.8273913</x:v>
      </x:c>
      <x:c r="D57" s="83" t="n">
        <x:v>361.06</x:v>
      </x:c>
      <x:c r="E57" s="83" t="n">
        <x:v>3909.99</x:v>
      </x:c>
      <x:c r="F57" s="84" t="n">
        <x:v>3.5</x:v>
      </x:c>
      <x:c r="G57" s="84" t="n">
        <x:v>0.16</x:v>
      </x:c>
      <x:c r="H57" s="84" t="n">
        <x:v>3.34</x:v>
      </x:c>
      <x:c r="I57" s="85" t="n">
        <x:v>-989.6072038</x:v>
      </x:c>
      <x:c r="J57" s="84" t="n">
        <x:v>3.076223761</x:v>
      </x:c>
      <x:c r="K57" s="84" t="n">
        <x:v>93.14987826</x:v>
      </x:c>
      <x:c r="L57" s="84" t="n">
        <x:v>17.7673913</x:v>
      </x:c>
      <x:c r="M57" s="84" t="n">
        <x:v>159.54</x:v>
      </x:c>
      <x:c r="N57" s="86" t="n">
        <x:v>0</x:v>
      </x:c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>
      <x:c r="A58" s="72" t="str">
        <x:v>2010-04</x:v>
      </x:c>
      <x:c r="B58" s="83" t="n">
        <x:v>1937.449</x:v>
      </x:c>
      <x:c r="C58" s="83" t="n">
        <x:v>84.81761905</x:v>
      </x:c>
      <x:c r="D58" s="83" t="n">
        <x:v>317.54</x:v>
      </x:c>
      <x:c r="E58" s="83" t="n">
        <x:v>3887.45</x:v>
      </x:c>
      <x:c r="F58" s="84" t="n">
        <x:v>3.5</x:v>
      </x:c>
      <x:c r="G58" s="84" t="n">
        <x:v>0.2</x:v>
      </x:c>
      <x:c r="H58" s="84" t="n">
        <x:v>3.3</x:v>
      </x:c>
      <x:c r="I58" s="85" t="n">
        <x:v>314.8964864</x:v>
      </x:c>
      <x:c r="J58" s="84" t="n">
        <x:v>3.553742597</x:v>
      </x:c>
      <x:c r="K58" s="84" t="n">
        <x:v>92.63908636</x:v>
      </x:c>
      <x:c r="L58" s="84" t="n">
        <x:v>17.42428571</x:v>
      </x:c>
      <x:c r="M58" s="84" t="n">
        <x:v>164.62</x:v>
      </x:c>
      <x:c r="N58" s="86" t="n">
        <x:v>0</x:v>
      </x:c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>
      <x:c r="A59" s="72" t="str">
        <x:v>2010-05</x:v>
      </x:c>
      <x:c r="B59" s="83" t="n">
        <x:v>1983.593226</x:v>
      </x:c>
      <x:c r="C59" s="83" t="n">
        <x:v>75.9455</x:v>
      </x:c>
      <x:c r="D59" s="83" t="n">
        <x:v>329.87</x:v>
      </x:c>
      <x:c r="E59" s="83" t="n">
        <x:v>3875.7</x:v>
      </x:c>
      <x:c r="F59" s="84" t="n">
        <x:v>3.032258065</x:v>
      </x:c>
      <x:c r="G59" s="84" t="n">
        <x:v>0.2</x:v>
      </x:c>
      <x:c r="H59" s="84" t="n">
        <x:v>2.832258065</x:v>
      </x:c>
      <x:c r="I59" s="85" t="n">
        <x:v>-1793.193985</x:v>
      </x:c>
      <x:c r="J59" s="84" t="n">
        <x:v>3.538401375</x:v>
      </x:c>
      <x:c r="K59" s="84" t="n">
        <x:v>95.53064</x:v>
      </x:c>
      <x:c r="L59" s="84" t="n">
        <x:v>31.9295</x:v>
      </x:c>
      <x:c r="M59" s="84" t="n">
        <x:v>155.44</x:v>
      </x:c>
      <x:c r="N59" s="86" t="n">
        <x:v>0</x:v>
      </x:c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>
      <x:c r="A60" s="72" t="str">
        <x:v>2010-06</x:v>
      </x:c>
      <x:c r="B60" s="83" t="n">
        <x:v>1926.846</x:v>
      </x:c>
      <x:c r="C60" s="83" t="n">
        <x:v>74.76090909</x:v>
      </x:c>
      <x:c r="D60" s="83" t="n">
        <x:v>319.07</x:v>
      </x:c>
      <x:c r="E60" s="83" t="n">
        <x:v>3881.69</x:v>
      </x:c>
      <x:c r="F60" s="84" t="n">
        <x:v>3</x:v>
      </x:c>
      <x:c r="G60" s="84" t="n">
        <x:v>0.18</x:v>
      </x:c>
      <x:c r="H60" s="84" t="n">
        <x:v>2.82</x:v>
      </x:c>
      <x:c r="I60" s="85" t="n">
        <x:v>-3600.618051</x:v>
      </x:c>
      <x:c r="J60" s="84" t="n">
        <x:v>3.831127284</x:v>
      </x:c>
      <x:c r="K60" s="84" t="n">
        <x:v>96.06062727</x:v>
      </x:c>
      <x:c r="L60" s="84" t="n">
        <x:v>29.91636364</x:v>
      </x:c>
      <x:c r="M60" s="84" t="n">
        <x:v>160.18</x:v>
      </x:c>
      <x:c r="N60" s="86" t="n">
        <x:v>0</x:v>
      </x:c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>
      <x:c r="A61" s="72" t="str">
        <x:v>2010-07</x:v>
      </x:c>
      <x:c r="B61" s="83" t="n">
        <x:v>1874.41129</x:v>
      </x:c>
      <x:c r="C61" s="83" t="n">
        <x:v>75.58</x:v>
      </x:c>
      <x:c r="D61" s="83" t="n">
        <x:v>341.59</x:v>
      </x:c>
      <x:c r="E61" s="83" t="n">
        <x:v>3908.81</x:v>
      </x:c>
      <x:c r="F61" s="84" t="n">
        <x:v>3</x:v>
      </x:c>
      <x:c r="G61" s="84" t="n">
        <x:v>0.18</x:v>
      </x:c>
      <x:c r="H61" s="84" t="n">
        <x:v>2.82</x:v>
      </x:c>
      <x:c r="I61" s="85" t="n">
        <x:v>-2150.40688</x:v>
      </x:c>
      <x:c r="J61" s="84" t="n">
        <x:v>3.723117998</x:v>
      </x:c>
      <x:c r="K61" s="84" t="n">
        <x:v>94.45469048</x:v>
      </x:c>
      <x:c r="L61" s="84" t="n">
        <x:v>25.5652381</x:v>
      </x:c>
      <x:c r="M61" s="84" t="n">
        <x:v>155.63</x:v>
      </x:c>
      <x:c r="N61" s="86" t="n">
        <x:v>0</x:v>
      </x:c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>
      <x:c r="A62" s="72" t="str">
        <x:v>2010-08</x:v>
      </x:c>
      <x:c r="B62" s="83" t="n">
        <x:v>1821.200645</x:v>
      </x:c>
      <x:c r="C62" s="83" t="n">
        <x:v>77.03954545</x:v>
      </x:c>
      <x:c r="D62" s="83" t="n">
        <x:v>337</x:v>
      </x:c>
      <x:c r="E62" s="83" t="n">
        <x:v>3941.76</x:v>
      </x:c>
      <x:c r="F62" s="84" t="n">
        <x:v>3</x:v>
      </x:c>
      <x:c r="G62" s="84" t="n">
        <x:v>0.19</x:v>
      </x:c>
      <x:c r="H62" s="84" t="n">
        <x:v>2.81</x:v>
      </x:c>
      <x:c r="I62" s="85" t="n">
        <x:v>134.6172056</x:v>
      </x:c>
      <x:c r="J62" s="84" t="n">
        <x:v>3.835619272</x:v>
      </x:c>
      <x:c r="K62" s="84" t="n">
        <x:v>93.68223182</x:v>
      </x:c>
      <x:c r="L62" s="84" t="n">
        <x:v>24.74590909</x:v>
      </x:c>
      <x:c r="M62" s="84" t="n">
        <x:v>158.98</x:v>
      </x:c>
      <x:c r="N62" s="86" t="n">
        <x:v>0</x:v>
      </x:c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>
      <x:c r="A63" s="72" t="str">
        <x:v>2010-09</x:v>
      </x:c>
      <x:c r="B63" s="83" t="n">
        <x:v>1805.772333</x:v>
      </x:c>
      <x:c r="C63" s="83" t="n">
        <x:v>77.84047619</x:v>
      </x:c>
      <x:c r="D63" s="83" t="n">
        <x:v>330.33</x:v>
      </x:c>
      <x:c r="E63" s="83" t="n">
        <x:v>3958.39</x:v>
      </x:c>
      <x:c r="F63" s="84" t="n">
        <x:v>3</x:v>
      </x:c>
      <x:c r="G63" s="84" t="n">
        <x:v>0.19</x:v>
      </x:c>
      <x:c r="H63" s="84" t="n">
        <x:v>2.81</x:v>
      </x:c>
      <x:c r="I63" s="85" t="n">
        <x:v>424.749597</x:v>
      </x:c>
      <x:c r="J63" s="84" t="n">
        <x:v>3.519088865</x:v>
      </x:c>
      <x:c r="K63" s="84" t="n">
        <x:v>92.76259524</x:v>
      </x:c>
      <x:c r="L63" s="84" t="n">
        <x:v>22.51761905</x:v>
      </x:c>
      <x:c r="M63" s="84" t="n">
        <x:v>158.74</x:v>
      </x:c>
      <x:c r="N63" s="86" t="n">
        <x:v>0</x:v>
      </x:c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>
      <x:c r="A64" s="72" t="str">
        <x:v>2010-10</x:v>
      </x:c>
      <x:c r="B64" s="83" t="n">
        <x:v>1808.607097</x:v>
      </x:c>
      <x:c r="C64" s="83" t="n">
        <x:v>82.6647619</x:v>
      </x:c>
      <x:c r="D64" s="83" t="n">
        <x:v>343.74</x:v>
      </x:c>
      <x:c r="E64" s="83" t="n">
        <x:v>3967.21</x:v>
      </x:c>
      <x:c r="F64" s="84" t="n">
        <x:v>3</x:v>
      </x:c>
      <x:c r="G64" s="84" t="n">
        <x:v>0.19</x:v>
      </x:c>
      <x:c r="H64" s="84" t="n">
        <x:v>2.81</x:v>
      </x:c>
      <x:c r="I64" s="85" t="n">
        <x:v>-2495.162226</x:v>
      </x:c>
      <x:c r="J64" s="84" t="n">
        <x:v>3.296175502</x:v>
      </x:c>
      <x:c r="K64" s="84" t="n">
        <x:v>90.22912</x:v>
      </x:c>
      <x:c r="L64" s="84" t="n">
        <x:v>20.37333333</x:v>
      </x:c>
      <x:c r="M64" s="84" t="n">
        <x:v>163.94</x:v>
      </x:c>
      <x:c r="N64" s="86" t="n">
        <x:v>0</x:v>
      </x:c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>
      <x:c r="A65" s="72" t="str">
        <x:v>2010-11</x:v>
      </x:c>
      <x:c r="B65" s="83" t="n">
        <x:v>1862.994</x:v>
      </x:c>
      <x:c r="C65" s="83" t="n">
        <x:v>85.2747619</x:v>
      </x:c>
      <x:c r="D65" s="83" t="n">
        <x:v>360.89</x:v>
      </x:c>
      <x:c r="E65" s="83" t="n">
        <x:v>3987.23</x:v>
      </x:c>
      <x:c r="F65" s="84" t="n">
        <x:v>3</x:v>
      </x:c>
      <x:c r="G65" s="84" t="n">
        <x:v>0.19</x:v>
      </x:c>
      <x:c r="H65" s="84" t="n">
        <x:v>2.81</x:v>
      </x:c>
      <x:c r="I65" s="85" t="n">
        <x:v>-2609.406444</x:v>
      </x:c>
      <x:c r="J65" s="84" t="n">
        <x:v>3.142361823</x:v>
      </x:c>
      <x:c r="K65" s="84" t="n">
        <x:v>90.509535</x:v>
      </x:c>
      <x:c r="L65" s="84" t="n">
        <x:v>20.09571429</x:v>
      </x:c>
      <x:c r="M65" s="84" t="n">
        <x:v>166.7</x:v>
      </x:c>
      <x:c r="N65" s="86" t="n">
        <x:v>0</x:v>
      </x:c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>
      <x:c r="A66" s="72" t="str">
        <x:v>2010-12</x:v>
      </x:c>
      <x:c r="B66" s="83" t="n">
        <x:v>1922.33129</x:v>
      </x:c>
      <x:c r="C66" s="83" t="n">
        <x:v>91.44681818</x:v>
      </x:c>
      <x:c r="D66" s="83" t="n">
        <x:v>416.74</x:v>
      </x:c>
      <x:c r="E66" s="83" t="n">
        <x:v>3996.34</x:v>
      </x:c>
      <x:c r="F66" s="84" t="n">
        <x:v>3</x:v>
      </x:c>
      <x:c r="G66" s="84" t="n">
        <x:v>0.18</x:v>
      </x:c>
      <x:c r="H66" s="84" t="n">
        <x:v>2.82</x:v>
      </x:c>
      <x:c r="I66" s="85" t="n">
        <x:v>-9971.978206</x:v>
      </x:c>
      <x:c r="J66" s="84" t="n">
        <x:v>3.863366127</x:v>
      </x:c>
      <x:c r="K66" s="84" t="n">
        <x:v>91.18347143</x:v>
      </x:c>
      <x:c r="L66" s="84" t="n">
        <x:v>17.56954545</x:v>
      </x:c>
      <x:c r="M66" s="84" t="n">
        <x:v>167.94</x:v>
      </x:c>
      <x:c r="N66" s="86" t="n">
        <x:v>0</x:v>
      </x:c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>
      <x:c r="A67" s="72" t="str">
        <x:v>2011-01</x:v>
      </x:c>
      <x:c r="B67" s="83" t="n">
        <x:v>1867.076774</x:v>
      </x:c>
      <x:c r="C67" s="83" t="n">
        <x:v>96.5235</x:v>
      </x:c>
      <x:c r="D67" s="83" t="n">
        <x:v>291.37</x:v>
      </x:c>
      <x:c r="E67" s="83" t="n">
        <x:v>4022.4</x:v>
      </x:c>
      <x:c r="F67" s="84" t="n">
        <x:v>3</x:v>
      </x:c>
      <x:c r="G67" s="84" t="n">
        <x:v>0.17</x:v>
      </x:c>
      <x:c r="H67" s="84" t="n">
        <x:v>2.83</x:v>
      </x:c>
      <x:c r="I67" s="85" t="n">
        <x:v>4073.462465</x:v>
      </x:c>
      <x:c r="J67" s="84" t="n">
        <x:v>3.08770208</x:v>
      </x:c>
      <x:c r="K67" s="84" t="n">
        <x:v>90.11122</x:v>
      </x:c>
      <x:c r="L67" s="84" t="n">
        <x:v>17.3155</x:v>
      </x:c>
      <x:c r="M67" s="84" t="n">
        <x:v>168.24</x:v>
      </x:c>
      <x:c r="N67" s="86" t="n">
        <x:v>0</x:v>
      </x:c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>
      <x:c r="A68" s="72" t="str">
        <x:v>2011-02</x:v>
      </x:c>
      <x:c r="B68" s="83" t="n">
        <x:v>1882.371429</x:v>
      </x:c>
      <x:c r="C68" s="83" t="n">
        <x:v>103.7163158</x:v>
      </x:c>
      <x:c r="D68" s="83" t="n">
        <x:v>320.09</x:v>
      </x:c>
      <x:c r="E68" s="83" t="n">
        <x:v>4069.29</x:v>
      </x:c>
      <x:c r="F68" s="84" t="n">
        <x:v>3.008928571</x:v>
      </x:c>
      <x:c r="G68" s="84" t="n">
        <x:v>0.16</x:v>
      </x:c>
      <x:c r="H68" s="84" t="n">
        <x:v>2.848928571</x:v>
      </x:c>
      <x:c r="I68" s="85" t="n">
        <x:v>-788.2202759</x:v>
      </x:c>
      <x:c r="J68" s="84" t="n">
        <x:v>3.142188177</x:v>
      </x:c>
      <x:c r="K68" s="84" t="n">
        <x:v>89.39668947</x:v>
      </x:c>
      <x:c r="L68" s="84" t="n">
        <x:v>17.43</x:v>
      </x:c>
      <x:c r="M68" s="84" t="n">
        <x:v>173.53</x:v>
      </x:c>
      <x:c r="N68" s="86" t="n">
        <x:v>0</x:v>
      </x:c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>
      <x:c r="A69" s="72" t="str">
        <x:v>2011-03</x:v>
      </x:c>
      <x:c r="B69" s="83" t="n">
        <x:v>1881.814839</x:v>
      </x:c>
      <x:c r="C69" s="83" t="n">
        <x:v>114.6434783</x:v>
      </x:c>
      <x:c r="D69" s="83" t="n">
        <x:v>359.04</x:v>
      </x:c>
      <x:c r="E69" s="83" t="n">
        <x:v>4067.27</x:v>
      </x:c>
      <x:c r="F69" s="84" t="n">
        <x:v>3.330645161</x:v>
      </x:c>
      <x:c r="G69" s="84" t="n">
        <x:v>0.14</x:v>
      </x:c>
      <x:c r="H69" s="84" t="n">
        <x:v>3.190645161</x:v>
      </x:c>
      <x:c r="I69" s="85" t="n">
        <x:v>468.7181054</x:v>
      </x:c>
      <x:c r="J69" s="84" t="n">
        <x:v>2.906603181</x:v>
      </x:c>
      <x:c r="K69" s="84" t="n">
        <x:v>88.48722609</x:v>
      </x:c>
      <x:c r="L69" s="84" t="n">
        <x:v>20.72347826</x:v>
      </x:c>
      <x:c r="M69" s="84" t="n">
        <x:v>184.97</x:v>
      </x:c>
      <x:c r="N69" s="86" t="n">
        <x:v>0</x:v>
      </x:c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>
      <x:c r="A70" s="72" t="str">
        <x:v>2011-04</x:v>
      </x:c>
      <x:c r="B70" s="83" t="n">
        <x:v>1809.834</x:v>
      </x:c>
      <x:c r="C70" s="83" t="n">
        <x:v>123.2588889</x:v>
      </x:c>
      <x:c r="D70" s="83" t="n">
        <x:v>308.01</x:v>
      </x:c>
      <x:c r="E70" s="83" t="n">
        <x:v>4057.74</x:v>
      </x:c>
      <x:c r="F70" s="84" t="n">
        <x:v>3.5</x:v>
      </x:c>
      <x:c r="G70" s="84" t="n">
        <x:v>0.1</x:v>
      </x:c>
      <x:c r="H70" s="84" t="n">
        <x:v>3.4</x:v>
      </x:c>
      <x:c r="I70" s="85" t="n">
        <x:v>3929.227352</x:v>
      </x:c>
      <x:c r="J70" s="84" t="n">
        <x:v>2.322726513</x:v>
      </x:c>
      <x:c r="K70" s="84" t="n">
        <x:v>86.92136667</x:v>
      </x:c>
      <x:c r="L70" s="84" t="n">
        <x:v>16.244</x:v>
      </x:c>
      <x:c r="M70" s="84" t="n">
        <x:v>192.99</x:v>
      </x:c>
      <x:c r="N70" s="86" t="n">
        <x:v>0</x:v>
      </x:c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>
      <x:c r="A71" s="72" t="str">
        <x:v>2011-05</x:v>
      </x:c>
      <x:c r="B71" s="83" t="n">
        <x:v>1800.50871</x:v>
      </x:c>
      <x:c r="C71" s="83" t="n">
        <x:v>114.9890476</x:v>
      </x:c>
      <x:c r="D71" s="83" t="n">
        <x:v>349.67</x:v>
      </x:c>
      <x:c r="E71" s="83" t="n">
        <x:v>4077.54</x:v>
      </x:c>
      <x:c r="F71" s="84" t="n">
        <x:v>3.75</x:v>
      </x:c>
      <x:c r="G71" s="84" t="n">
        <x:v>0.09</x:v>
      </x:c>
      <x:c r="H71" s="84" t="n">
        <x:v>3.66</x:v>
      </x:c>
      <x:c r="I71" s="85" t="n">
        <x:v>106.1759116</x:v>
      </x:c>
      <x:c r="J71" s="84" t="n">
        <x:v>2.01589302</x:v>
      </x:c>
      <x:c r="K71" s="84" t="n">
        <x:v>86.94640476</x:v>
      </x:c>
      <x:c r="L71" s="84" t="n">
        <x:v>16.91142857</x:v>
      </x:c>
      <x:c r="M71" s="84" t="n">
        <x:v>188.49</x:v>
      </x:c>
      <x:c r="N71" s="86" t="n">
        <x:v>0</x:v>
      </x:c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>
      <x:c r="A72" s="72" t="str">
        <x:v>2011-06</x:v>
      </x:c>
      <x:c r="B72" s="83" t="n">
        <x:v>1783.159333</x:v>
      </x:c>
      <x:c r="C72" s="83" t="n">
        <x:v>113.8331818</x:v>
      </x:c>
      <x:c r="D72" s="83" t="n">
        <x:v>326.63</x:v>
      </x:c>
      <x:c r="E72" s="83" t="n">
        <x:v>4085.1</x:v>
      </x:c>
      <x:c r="F72" s="84" t="n">
        <x:v>4.091666667</x:v>
      </x:c>
      <x:c r="G72" s="84" t="n">
        <x:v>0.09</x:v>
      </x:c>
      <x:c r="H72" s="84" t="n">
        <x:v>4.001666667</x:v>
      </x:c>
      <x:c r="I72" s="85" t="n">
        <x:v>206.31011</x:v>
      </x:c>
      <x:c r="J72" s="84" t="n">
        <x:v>1.400903244</x:v>
      </x:c>
      <x:c r="K72" s="84" t="n">
        <x:v>86.94125455</x:v>
      </x:c>
      <x:c r="L72" s="84" t="n">
        <x:v>19.15318182</x:v>
      </x:c>
      <x:c r="M72" s="84" t="n">
        <x:v>185.71</x:v>
      </x:c>
      <x:c r="N72" s="86" t="n">
        <x:v>0</x:v>
      </x:c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>
      <x:c r="A73" s="72" t="str">
        <x:v>2011-07</x:v>
      </x:c>
      <x:c r="B73" s="83" t="n">
        <x:v>1761.593871</x:v>
      </x:c>
      <x:c r="C73" s="83" t="n">
        <x:v>116.9735</x:v>
      </x:c>
      <x:c r="D73" s="83" t="n">
        <x:v>319.42</x:v>
      </x:c>
      <x:c r="E73" s="83" t="n">
        <x:v>4062.93</x:v>
      </x:c>
      <x:c r="F73" s="84" t="n">
        <x:v>4.25</x:v>
      </x:c>
      <x:c r="G73" s="84" t="n">
        <x:v>0.07</x:v>
      </x:c>
      <x:c r="H73" s="84" t="n">
        <x:v>4.18</x:v>
      </x:c>
      <x:c r="I73" s="85" t="n">
        <x:v>-123.3717723</x:v>
      </x:c>
      <x:c r="J73" s="84" t="n">
        <x:v>1.073446088</x:v>
      </x:c>
      <x:c r="K73" s="84" t="n">
        <x:v>86.317805</x:v>
      </x:c>
      <x:c r="L73" s="84" t="n">
        <x:v>19.2275</x:v>
      </x:c>
      <x:c r="M73" s="84" t="n">
        <x:v>185.45</x:v>
      </x:c>
      <x:c r="N73" s="86" t="n">
        <x:v>0</x:v>
      </x:c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>
      <x:c r="A74" s="72" t="str">
        <x:v>2011-08</x:v>
      </x:c>
      <x:c r="B74" s="83" t="n">
        <x:v>1785.56</x:v>
      </x:c>
      <x:c r="C74" s="83" t="n">
        <x:v>110.2195455</x:v>
      </x:c>
      <x:c r="D74" s="83" t="n">
        <x:v>369.65</x:v>
      </x:c>
      <x:c r="E74" s="83" t="n">
        <x:v>4095.58</x:v>
      </x:c>
      <x:c r="F74" s="84" t="n">
        <x:v>4.5</x:v>
      </x:c>
      <x:c r="G74" s="84" t="n">
        <x:v>0.1</x:v>
      </x:c>
      <x:c r="H74" s="84" t="n">
        <x:v>4.4</x:v>
      </x:c>
      <x:c r="I74" s="85" t="n">
        <x:v>-3295.813115</x:v>
      </x:c>
      <x:c r="J74" s="84" t="n">
        <x:v>1.627614564</x:v>
      </x:c>
      <x:c r="K74" s="84" t="n">
        <x:v>86.89824348</x:v>
      </x:c>
      <x:c r="L74" s="84" t="n">
        <x:v>35.02913043</x:v>
      </x:c>
      <x:c r="M74" s="84" t="n">
        <x:v>180.66</x:v>
      </x:c>
      <x:c r="N74" s="86" t="n">
        <x:v>0</x:v>
      </x:c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>
      <x:c r="A75" s="72" t="str">
        <x:v>2011-09</x:v>
      </x:c>
      <x:c r="B75" s="83" t="n">
        <x:v>1833.319667</x:v>
      </x:c>
      <x:c r="C75" s="83" t="n">
        <x:v>112.8338095</x:v>
      </x:c>
      <x:c r="D75" s="83" t="n">
        <x:v>339.35</x:v>
      </x:c>
      <x:c r="E75" s="83" t="n">
        <x:v>4104.6</x:v>
      </x:c>
      <x:c r="F75" s="84" t="n">
        <x:v>4.5</x:v>
      </x:c>
      <x:c r="G75" s="84" t="n">
        <x:v>0.08</x:v>
      </x:c>
      <x:c r="H75" s="84" t="n">
        <x:v>4.42</x:v>
      </x:c>
      <x:c r="I75" s="85" t="n">
        <x:v>1273.770036</x:v>
      </x:c>
      <x:c r="J75" s="84" t="n">
        <x:v>1.490459654</x:v>
      </x:c>
      <x:c r="K75" s="84" t="n">
        <x:v>89.72526667</x:v>
      </x:c>
      <x:c r="L75" s="84" t="n">
        <x:v>36.53</x:v>
      </x:c>
      <x:c r="M75" s="84" t="n">
        <x:v>186.69</x:v>
      </x:c>
      <x:c r="N75" s="86" t="n">
        <x:v>0</x:v>
      </x:c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>
      <x:c r="A76" s="72" t="str">
        <x:v>2011-10</x:v>
      </x:c>
      <x:c r="B76" s="83" t="n">
        <x:v>1907.609032</x:v>
      </x:c>
      <x:c r="C76" s="83" t="n">
        <x:v>109.55</x:v>
      </x:c>
      <x:c r="D76" s="83" t="n">
        <x:v>351.16</x:v>
      </x:c>
      <x:c r="E76" s="83" t="n">
        <x:v>4112.02</x:v>
      </x:c>
      <x:c r="F76" s="84" t="n">
        <x:v>4.5</x:v>
      </x:c>
      <x:c r="G76" s="84" t="n">
        <x:v>0.07</x:v>
      </x:c>
      <x:c r="H76" s="84" t="n">
        <x:v>4.43</x:v>
      </x:c>
      <x:c r="I76" s="85" t="n">
        <x:v>-3200.593164</x:v>
      </x:c>
      <x:c r="J76" s="84" t="n">
        <x:v>1.604418414</x:v>
      </x:c>
      <x:c r="K76" s="84" t="n">
        <x:v>90.609845</x:v>
      </x:c>
      <x:c r="L76" s="84" t="n">
        <x:v>32.82904762</x:v>
      </x:c>
      <x:c r="M76" s="84" t="n">
        <x:v>185.34</x:v>
      </x:c>
      <x:c r="N76" s="86" t="n">
        <x:v>0</x:v>
      </x:c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>
      <x:c r="A77" s="72" t="str">
        <x:v>2011-11</x:v>
      </x:c>
      <x:c r="B77" s="83" t="n">
        <x:v>1919.475</x:v>
      </x:c>
      <x:c r="C77" s="83" t="n">
        <x:v>110.7680952</x:v>
      </x:c>
      <x:c r="D77" s="83" t="n">
        <x:v>354.01</x:v>
      </x:c>
      <x:c r="E77" s="83" t="n">
        <x:v>4105.14</x:v>
      </x:c>
      <x:c r="F77" s="84" t="n">
        <x:v>4.525</x:v>
      </x:c>
      <x:c r="G77" s="84" t="n">
        <x:v>0.08</x:v>
      </x:c>
      <x:c r="H77" s="84" t="n">
        <x:v>4.445</x:v>
      </x:c>
      <x:c r="I77" s="85" t="n">
        <x:v>-9099.518621</x:v>
      </x:c>
      <x:c r="J77" s="84" t="n">
        <x:v>2.652862846</x:v>
      </x:c>
      <x:c r="K77" s="84" t="n">
        <x:v>91.26488</x:v>
      </x:c>
      <x:c r="L77" s="84" t="n">
        <x:v>31.94190476</x:v>
      </x:c>
      <x:c r="M77" s="84" t="n">
        <x:v>191.56</x:v>
      </x:c>
      <x:c r="N77" s="86" t="n">
        <x:v>0</x:v>
      </x:c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>
      <x:c r="A78" s="72" t="str">
        <x:v>2011-12</x:v>
      </x:c>
      <x:c r="B78" s="83" t="n">
        <x:v>1933.35129</x:v>
      </x:c>
      <x:c r="C78" s="83" t="n">
        <x:v>107.8705</x:v>
      </x:c>
      <x:c r="D78" s="83" t="n">
        <x:v>375.7</x:v>
      </x:c>
      <x:c r="E78" s="83" t="n">
        <x:v>4064.1</x:v>
      </x:c>
      <x:c r="F78" s="84" t="n">
        <x:v>4.75</x:v>
      </x:c>
      <x:c r="G78" s="84" t="n">
        <x:v>0.07</x:v>
      </x:c>
      <x:c r="H78" s="84" t="n">
        <x:v>4.68</x:v>
      </x:c>
      <x:c r="I78" s="85" t="n">
        <x:v>-11056.86197</x:v>
      </x:c>
      <x:c r="J78" s="84" t="n">
        <x:v>2.82812027</x:v>
      </x:c>
      <x:c r="K78" s="84" t="n">
        <x:v>92.20559048</x:v>
      </x:c>
      <x:c r="L78" s="84" t="n">
        <x:v>25.04761905</x:v>
      </x:c>
      <x:c r="M78" s="84" t="n">
        <x:v>183.64</x:v>
      </x:c>
      <x:c r="N78" s="86" t="n">
        <x:v>0</x:v>
      </x:c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>
      <x:c r="A79" s="72" t="str">
        <x:v>2012-01</x:v>
      </x:c>
      <x:c r="B79" s="83" t="n">
        <x:v>1853.282258</x:v>
      </x:c>
      <x:c r="C79" s="83" t="n">
        <x:v>110.686</x:v>
      </x:c>
      <x:c r="D79" s="83" t="n">
        <x:v>294.54</x:v>
      </x:c>
      <x:c r="E79" s="83" t="n">
        <x:v>4067.27</x:v>
      </x:c>
      <x:c r="F79" s="84" t="n">
        <x:v>4.758064516</x:v>
      </x:c>
      <x:c r="G79" s="84" t="n">
        <x:v>0.08</x:v>
      </x:c>
      <x:c r="H79" s="84" t="n">
        <x:v>4.678064516</x:v>
      </x:c>
      <x:c r="I79" s="85" t="n">
        <x:v>3977.500343</x:v>
      </x:c>
      <x:c r="J79" s="84" t="n">
        <x:v>2.641034086</x:v>
      </x:c>
      <x:c r="K79" s="84" t="n">
        <x:v>91.646265</x:v>
      </x:c>
      <x:c r="L79" s="84" t="n">
        <x:v>20.228</x:v>
      </x:c>
      <x:c r="M79" s="84" t="n">
        <x:v>188.84</x:v>
      </x:c>
      <x:c r="N79" s="86" t="n">
        <x:v>0</x:v>
      </x:c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>
      <x:c r="A80" s="72" t="str">
        <x:v>2012-02</x:v>
      </x:c>
      <x:c r="B80" s="83" t="n">
        <x:v>1782.754828</x:v>
      </x:c>
      <x:c r="C80" s="83" t="n">
        <x:v>119.327</x:v>
      </x:c>
      <x:c r="D80" s="83" t="n">
        <x:v>302.52</x:v>
      </x:c>
      <x:c r="E80" s="83" t="n">
        <x:v>4049.7</x:v>
      </x:c>
      <x:c r="F80" s="84" t="n">
        <x:v>5.025862069</x:v>
      </x:c>
      <x:c r="G80" s="84" t="n">
        <x:v>0.1</x:v>
      </x:c>
      <x:c r="H80" s="84" t="n">
        <x:v>4.925862069</x:v>
      </x:c>
      <x:c r="I80" s="85" t="n">
        <x:v>-372.308152</x:v>
      </x:c>
      <x:c r="J80" s="84" t="n">
        <x:v>2.578632323</x:v>
      </x:c>
      <x:c r="K80" s="84" t="n">
        <x:v>89.9605</x:v>
      </x:c>
      <x:c r="L80" s="84" t="n">
        <x:v>18.4205</x:v>
      </x:c>
      <x:c r="M80" s="84" t="n">
        <x:v>191.26</x:v>
      </x:c>
      <x:c r="N80" s="86" t="n">
        <x:v>0</x:v>
      </x:c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>
      <x:c r="A81" s="72" t="str">
        <x:v>2012-03</x:v>
      </x:c>
      <x:c r="B81" s="83" t="n">
        <x:v>1766.331613</x:v>
      </x:c>
      <x:c r="C81" s="83" t="n">
        <x:v>125.4454545</x:v>
      </x:c>
      <x:c r="D81" s="83" t="n">
        <x:v>338.47</x:v>
      </x:c>
      <x:c r="E81" s="83" t="n">
        <x:v>4029.13</x:v>
      </x:c>
      <x:c r="F81" s="84" t="n">
        <x:v>5.25</x:v>
      </x:c>
      <x:c r="G81" s="84" t="n">
        <x:v>0.13</x:v>
      </x:c>
      <x:c r="H81" s="84" t="n">
        <x:v>5.12</x:v>
      </x:c>
      <x:c r="I81" s="85" t="n">
        <x:v>-598.6766777</x:v>
      </x:c>
      <x:c r="J81" s="84" t="n">
        <x:v>2.738779895</x:v>
      </x:c>
      <x:c r="K81" s="84" t="n">
        <x:v>90.51121364</x:v>
      </x:c>
      <x:c r="L81" s="84" t="n">
        <x:v>16.16727273</x:v>
      </x:c>
      <x:c r="M81" s="84" t="n">
        <x:v>193.11</x:v>
      </x:c>
      <x:c r="N81" s="86" t="n">
        <x:v>0</x:v>
      </x:c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>
      <x:c r="A82" s="72" t="str">
        <x:v>2012-04</x:v>
      </x:c>
      <x:c r="B82" s="83" t="n">
        <x:v>1774.249</x:v>
      </x:c>
      <x:c r="C82" s="83" t="n">
        <x:v>119.4216667</x:v>
      </x:c>
      <x:c r="D82" s="83" t="n">
        <x:v>330.6</x:v>
      </x:c>
      <x:c r="E82" s="83" t="n">
        <x:v>4051.72</x:v>
      </x:c>
      <x:c r="F82" s="84" t="n">
        <x:v>5.25</x:v>
      </x:c>
      <x:c r="G82" s="84" t="n">
        <x:v>0.14</x:v>
      </x:c>
      <x:c r="H82" s="84" t="n">
        <x:v>5.11</x:v>
      </x:c>
      <x:c r="I82" s="85" t="n">
        <x:v>9730.221583</x:v>
      </x:c>
      <x:c r="J82" s="84" t="n">
        <x:v>1.86842231</x:v>
      </x:c>
      <x:c r="K82" s="84" t="n">
        <x:v>90.81560952</x:v>
      </x:c>
      <x:c r="L82" s="84" t="n">
        <x:v>17.823</x:v>
      </x:c>
      <x:c r="M82" s="84" t="n">
        <x:v>189.48</x:v>
      </x:c>
      <x:c r="N82" s="86" t="n">
        <x:v>0</x:v>
      </x:c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>
      <x:c r="A83" s="72" t="str">
        <x:v>2012-05</x:v>
      </x:c>
      <x:c r="B83" s="83" t="n">
        <x:v>1793.276774</x:v>
      </x:c>
      <x:c r="C83" s="83" t="n">
        <x:v>110.3395238</x:v>
      </x:c>
      <x:c r="D83" s="83" t="n">
        <x:v>354.33</x:v>
      </x:c>
      <x:c r="E83" s="83" t="n">
        <x:v>4056.38</x:v>
      </x:c>
      <x:c r="F83" s="84" t="n">
        <x:v>5.25</x:v>
      </x:c>
      <x:c r="G83" s="84" t="n">
        <x:v>0.16</x:v>
      </x:c>
      <x:c r="H83" s="84" t="n">
        <x:v>5.09</x:v>
      </x:c>
      <x:c r="I83" s="85" t="n">
        <x:v>777.0797026</x:v>
      </x:c>
      <x:c r="J83" s="84" t="n">
        <x:v>1.767762633</x:v>
      </x:c>
      <x:c r="K83" s="84" t="n">
        <x:v>92.49278636</x:v>
      </x:c>
      <x:c r="L83" s="84" t="n">
        <x:v>21.00181818</x:v>
      </x:c>
      <x:c r="M83" s="84" t="n">
        <x:v>172.38</x:v>
      </x:c>
      <x:c r="N83" s="86" t="n">
        <x:v>0</x:v>
      </x:c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>
      <x:c r="A84" s="72" t="str">
        <x:v>2012-06</x:v>
      </x:c>
      <x:c r="B84" s="83" t="n">
        <x:v>1792.546667</x:v>
      </x:c>
      <x:c r="C84" s="83" t="n">
        <x:v>95.15571429</x:v>
      </x:c>
      <x:c r="D84" s="83" t="n">
        <x:v>319.67</x:v>
      </x:c>
      <x:c r="E84" s="83" t="n">
        <x:v>4049.42</x:v>
      </x:c>
      <x:c r="F84" s="84" t="n">
        <x:v>5.25</x:v>
      </x:c>
      <x:c r="G84" s="84" t="n">
        <x:v>0.16</x:v>
      </x:c>
      <x:c r="H84" s="84" t="n">
        <x:v>5.09</x:v>
      </x:c>
      <x:c r="I84" s="85" t="n">
        <x:v>2603.840731</x:v>
      </x:c>
      <x:c r="J84" s="84" t="n">
        <x:v>1.408046888</x:v>
      </x:c>
      <x:c r="K84" s="84" t="n">
        <x:v>93.88086667</x:v>
      </x:c>
      <x:c r="L84" s="84" t="n">
        <x:v>21.13095238</x:v>
      </x:c>
      <x:c r="M84" s="84" t="n">
        <x:v>160.51</x:v>
      </x:c>
      <x:c r="N84" s="86" t="n">
        <x:v>0</x:v>
      </x:c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>
      <x:c r="A85" s="72" t="str">
        <x:v>2012-07</x:v>
      </x:c>
      <x:c r="B85" s="83" t="n">
        <x:v>1783.820323</x:v>
      </x:c>
      <x:c r="C85" s="83" t="n">
        <x:v>102.6185714</x:v>
      </x:c>
      <x:c r="D85" s="83" t="n">
        <x:v>330.39</x:v>
      </x:c>
      <x:c r="E85" s="83" t="n">
        <x:v>4060.39</x:v>
      </x:c>
      <x:c r="F85" s="84" t="n">
        <x:v>5.233870968</x:v>
      </x:c>
      <x:c r="G85" s="84" t="n">
        <x:v>0.16</x:v>
      </x:c>
      <x:c r="H85" s="84" t="n">
        <x:v>5.073870968</x:v>
      </x:c>
      <x:c r="I85" s="85" t="n">
        <x:v>-739.9800067</x:v>
      </x:c>
      <x:c r="J85" s="84" t="n">
        <x:v>1.500560281</x:v>
      </x:c>
      <x:c r="K85" s="84" t="n">
        <x:v>93.40616667</x:v>
      </x:c>
      <x:c r="L85" s="84" t="n">
        <x:v>17.5652381</x:v>
      </x:c>
      <x:c r="M85" s="84" t="n">
        <x:v>162.14</x:v>
      </x:c>
      <x:c r="N85" s="86" t="n">
        <x:v>0</x:v>
      </x:c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>
      <x:c r="A86" s="72" t="str">
        <x:v>2012-08</x:v>
      </x:c>
      <x:c r="B86" s="83" t="n">
        <x:v>1805.523226</x:v>
      </x:c>
      <x:c r="C86" s="83" t="n">
        <x:v>113.356087</x:v>
      </x:c>
      <x:c r="D86" s="83" t="n">
        <x:v>346.78</x:v>
      </x:c>
      <x:c r="E86" s="83" t="n">
        <x:v>4037.52</x:v>
      </x:c>
      <x:c r="F86" s="84" t="n">
        <x:v>4.959677419</x:v>
      </x:c>
      <x:c r="G86" s="84" t="n">
        <x:v>0.13</x:v>
      </x:c>
      <x:c r="H86" s="84" t="n">
        <x:v>4.829677419</x:v>
      </x:c>
      <x:c r="I86" s="85" t="n">
        <x:v>-3395.703087</x:v>
      </x:c>
      <x:c r="J86" s="84" t="n">
        <x:v>1.515547366</x:v>
      </x:c>
      <x:c r="K86" s="84" t="n">
        <x:v>92.52826522</x:v>
      </x:c>
      <x:c r="L86" s="84" t="n">
        <x:v>15.68956522</x:v>
      </x:c>
      <x:c r="M86" s="84" t="n">
        <x:v>155.67</x:v>
      </x:c>
      <x:c r="N86" s="86" t="n">
        <x:v>0</x:v>
      </x:c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>
      <x:c r="A87" s="72" t="str">
        <x:v>2012-09</x:v>
      </x:c>
      <x:c r="B87" s="83" t="n">
        <x:v>1802.746333</x:v>
      </x:c>
      <x:c r="C87" s="83" t="n">
        <x:v>112.8636842</x:v>
      </x:c>
      <x:c r="D87" s="83" t="n">
        <x:v>313.1</x:v>
      </x:c>
      <x:c r="E87" s="83" t="n">
        <x:v>4011.27</x:v>
      </x:c>
      <x:c r="F87" s="84" t="n">
        <x:v>4.75</x:v>
      </x:c>
      <x:c r="G87" s="84" t="n">
        <x:v>0.14</x:v>
      </x:c>
      <x:c r="H87" s="84" t="n">
        <x:v>4.61</x:v>
      </x:c>
      <x:c r="I87" s="85" t="n">
        <x:v>590.9353321</x:v>
      </x:c>
      <x:c r="J87" s="84" t="n">
        <x:v>1.617997108</x:v>
      </x:c>
      <x:c r="K87" s="84" t="n">
        <x:v>90.9802</x:v>
      </x:c>
      <x:c r="L87" s="84" t="n">
        <x:v>15.28473684</x:v>
      </x:c>
      <x:c r="M87" s="84" t="n">
        <x:v>169.21</x:v>
      </x:c>
      <x:c r="N87" s="86" t="n">
        <x:v>0</x:v>
      </x:c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>
      <x:c r="A88" s="72" t="str">
        <x:v>2012-10</x:v>
      </x:c>
      <x:c r="B88" s="83" t="n">
        <x:v>1804.400968</x:v>
      </x:c>
      <x:c r="C88" s="83" t="n">
        <x:v>111.7108696</x:v>
      </x:c>
      <x:c r="D88" s="83" t="n">
        <x:v>353.61</x:v>
      </x:c>
      <x:c r="E88" s="83" t="n">
        <x:v>4013.72</x:v>
      </x:c>
      <x:c r="F88" s="84" t="n">
        <x:v>4.75</x:v>
      </x:c>
      <x:c r="G88" s="84" t="n">
        <x:v>0.16</x:v>
      </x:c>
      <x:c r="H88" s="84" t="n">
        <x:v>4.59</x:v>
      </x:c>
      <x:c r="I88" s="85" t="n">
        <x:v>-5623.009116</x:v>
      </x:c>
      <x:c r="J88" s="84" t="n">
        <x:v>1.981446547</x:v>
      </x:c>
      <x:c r="K88" s="84" t="n">
        <x:v>90.75663</x:v>
      </x:c>
      <x:c r="L88" s="84" t="n">
        <x:v>16.27619048</x:v>
      </x:c>
      <x:c r="M88" s="84" t="n">
        <x:v>170.07</x:v>
      </x:c>
      <x:c r="N88" s="86" t="n">
        <x:v>0</x:v>
      </x:c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>
      <x:c r="A89" s="72" t="str">
        <x:v>2012-11</x:v>
      </x:c>
      <x:c r="B89" s="83" t="n">
        <x:v>1821.013667</x:v>
      </x:c>
      <x:c r="C89" s="83" t="n">
        <x:v>109.0585714</x:v>
      </x:c>
      <x:c r="D89" s="83" t="n">
        <x:v>327.24</x:v>
      </x:c>
      <x:c r="E89" s="83" t="n">
        <x:v>3986.95</x:v>
      </x:c>
      <x:c r="F89" s="84" t="n">
        <x:v>4.708333333</x:v>
      </x:c>
      <x:c r="G89" s="84" t="n">
        <x:v>0.16</x:v>
      </x:c>
      <x:c r="H89" s="84" t="n">
        <x:v>4.548333333</x:v>
      </x:c>
      <x:c r="I89" s="85" t="n">
        <x:v>-2810.256374</x:v>
      </x:c>
      <x:c r="J89" s="84" t="n">
        <x:v>1.037831214</x:v>
      </x:c>
      <x:c r="K89" s="84" t="n">
        <x:v>91.47508</x:v>
      </x:c>
      <x:c r="L89" s="84" t="n">
        <x:v>16.70190476</x:v>
      </x:c>
      <x:c r="M89" s="84" t="n">
        <x:v>167.03</x:v>
      </x:c>
      <x:c r="N89" s="86" t="n">
        <x:v>0</x:v>
      </x:c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>
      <x:c r="A90" s="72" t="str">
        <x:v>2012-12</x:v>
      </x:c>
      <x:c r="B90" s="83" t="n">
        <x:v>1792.494839</x:v>
      </x:c>
      <x:c r="C90" s="83" t="n">
        <x:v>109.494</x:v>
      </x:c>
      <x:c r="D90" s="83" t="n">
        <x:v>358.42</x:v>
      </x:c>
      <x:c r="E90" s="83" t="n">
        <x:v>3969.67</x:v>
      </x:c>
      <x:c r="F90" s="84" t="n">
        <x:v>4.435483871</x:v>
      </x:c>
      <x:c r="G90" s="84" t="n">
        <x:v>0.16</x:v>
      </x:c>
      <x:c r="H90" s="84" t="n">
        <x:v>4.275483871</x:v>
      </x:c>
      <x:c r="I90" s="85" t="n">
        <x:v>-19579.2955</x:v>
      </x:c>
      <x:c r="J90" s="84" t="n">
        <x:v>2.316502485</x:v>
      </x:c>
      <x:c r="K90" s="84" t="n">
        <x:v>90.88039</x:v>
      </x:c>
      <x:c r="L90" s="84" t="n">
        <x:v>17.307</x:v>
      </x:c>
      <x:c r="M90" s="84" t="n">
        <x:v>166.52</x:v>
      </x:c>
      <x:c r="N90" s="86" t="n">
        <x:v>0</x:v>
      </x:c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>
      <x:c r="A91" s="72" t="str">
        <x:v>2013-01</x:v>
      </x:c>
      <x:c r="B91" s="83" t="n">
        <x:v>1769.672581</x:v>
      </x:c>
      <x:c r="C91" s="83" t="n">
        <x:v>112.96</x:v>
      </x:c>
      <x:c r="D91" s="83" t="n">
        <x:v>329.4</x:v>
      </x:c>
      <x:c r="E91" s="83" t="n">
        <x:v>4004.53</x:v>
      </x:c>
      <x:c r="F91" s="84" t="n">
        <x:v>4.225806452</x:v>
      </x:c>
      <x:c r="G91" s="84" t="n">
        <x:v>0.14</x:v>
      </x:c>
      <x:c r="H91" s="84" t="n">
        <x:v>4.085806452</x:v>
      </x:c>
      <x:c r="I91" s="85" t="n">
        <x:v>8920.333169</x:v>
      </x:c>
      <x:c r="J91" s="84" t="n">
        <x:v>1.469951168</x:v>
      </x:c>
      <x:c r="K91" s="84" t="n">
        <x:v>90.82551429</x:v>
      </x:c>
      <x:c r="L91" s="84" t="n">
        <x:v>13.5052381</x:v>
      </x:c>
      <x:c r="M91" s="84" t="n">
        <x:v>167.43</x:v>
      </x:c>
      <x:c r="N91" s="86" t="n">
        <x:v>0</x:v>
      </x:c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>
      <x:c r="A92" s="72" t="str">
        <x:v>2013-02</x:v>
      </x:c>
      <x:c r="B92" s="83" t="n">
        <x:v>1790.547857</x:v>
      </x:c>
      <x:c r="C92" s="83" t="n">
        <x:v>116.0505263</x:v>
      </x:c>
      <x:c r="D92" s="83" t="n">
        <x:v>317.32</x:v>
      </x:c>
      <x:c r="E92" s="83" t="n">
        <x:v>4019.33</x:v>
      </x:c>
      <x:c r="F92" s="84" t="n">
        <x:v>3.964285714</x:v>
      </x:c>
      <x:c r="G92" s="84" t="n">
        <x:v>0.15</x:v>
      </x:c>
      <x:c r="H92" s="84" t="n">
        <x:v>3.814285714</x:v>
      </x:c>
      <x:c r="I92" s="85" t="n">
        <x:v>-1878.951326</x:v>
      </x:c>
      <x:c r="J92" s="84" t="n">
        <x:v>1.680938137</x:v>
      </x:c>
      <x:c r="K92" s="84" t="n">
        <x:v>91.55087368</x:v>
      </x:c>
      <x:c r="L92" s="84" t="n">
        <x:v>14.07263158</x:v>
      </x:c>
      <x:c r="M92" s="84" t="n">
        <x:v>170.29</x:v>
      </x:c>
      <x:c r="N92" s="86" t="n">
        <x:v>0</x:v>
      </x:c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>
      <x:c r="A93" s="72" t="str">
        <x:v>2013-03</x:v>
      </x:c>
      <x:c r="B93" s="83" t="n">
        <x:v>1813.74871</x:v>
      </x:c>
      <x:c r="C93" s="83" t="n">
        <x:v>108.474</x:v>
      </x:c>
      <x:c r="D93" s="83" t="n">
        <x:v>334.17</x:v>
      </x:c>
      <x:c r="E93" s="83" t="n">
        <x:v>4015.03</x:v>
      </x:c>
      <x:c r="F93" s="84" t="n">
        <x:v>3.653225806</x:v>
      </x:c>
      <x:c r="G93" s="84" t="n">
        <x:v>0.14</x:v>
      </x:c>
      <x:c r="H93" s="84" t="n">
        <x:v>3.513225806</x:v>
      </x:c>
      <x:c r="I93" s="85" t="n">
        <x:v>-3909.373406</x:v>
      </x:c>
      <x:c r="J93" s="84" t="n">
        <x:v>2.144560764</x:v>
      </x:c>
      <x:c r="K93" s="84" t="n">
        <x:v>92.41318</x:v>
      </x:c>
      <x:c r="L93" s="84" t="n">
        <x:v>13.0315</x:v>
      </x:c>
      <x:c r="M93" s="84" t="n">
        <x:v>164.81</x:v>
      </x:c>
      <x:c r="N93" s="86" t="n">
        <x:v>0</x:v>
      </x:c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>
      <x:c r="A94" s="72" t="str">
        <x:v>2013-04</x:v>
      </x:c>
      <x:c r="B94" s="83" t="n">
        <x:v>1830.231333</x:v>
      </x:c>
      <x:c r="C94" s="83" t="n">
        <x:v>102.2481818</x:v>
      </x:c>
      <x:c r="D94" s="83" t="n">
        <x:v>387.13</x:v>
      </x:c>
      <x:c r="E94" s="83" t="n">
        <x:v>4071.56</x:v>
      </x:c>
      <x:c r="F94" s="84" t="n">
        <x:v>3.25</x:v>
      </x:c>
      <x:c r="G94" s="84" t="n">
        <x:v>0.15</x:v>
      </x:c>
      <x:c r="H94" s="84" t="n">
        <x:v>3.1</x:v>
      </x:c>
      <x:c r="I94" s="85" t="n">
        <x:v>3956.848764</x:v>
      </x:c>
      <x:c r="J94" s="84" t="n">
        <x:v>2.953051089</x:v>
      </x:c>
      <x:c r="K94" s="84" t="n">
        <x:v>92.04782273</x:v>
      </x:c>
      <x:c r="L94" s="84" t="n">
        <x:v>13.96727273</x:v>
      </x:c>
      <x:c r="M94" s="84" t="n">
        <x:v>156.96</x:v>
      </x:c>
      <x:c r="N94" s="86" t="n">
        <x:v>0</x:v>
      </x:c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>
      <x:c r="A95" s="72" t="str">
        <x:v>2013-05</x:v>
      </x:c>
      <x:c r="B95" s="83" t="n">
        <x:v>1847.92129</x:v>
      </x:c>
      <x:c r="C95" s="83" t="n">
        <x:v>102.5586364</x:v>
      </x:c>
      <x:c r="D95" s="83" t="n">
        <x:v>395.79</x:v>
      </x:c>
      <x:c r="E95" s="83" t="n">
        <x:v>4113.02</x:v>
      </x:c>
      <x:c r="F95" s="84" t="n">
        <x:v>3.25</x:v>
      </x:c>
      <x:c r="G95" s="84" t="n">
        <x:v>0.11</x:v>
      </x:c>
      <x:c r="H95" s="84" t="n">
        <x:v>3.14</x:v>
      </x:c>
      <x:c r="I95" s="85" t="n">
        <x:v>526.3185837</x:v>
      </x:c>
      <x:c r="J95" s="84" t="n">
        <x:v>2.98816712</x:v>
      </x:c>
      <x:c r="K95" s="84" t="n">
        <x:v>92.52896818</x:v>
      </x:c>
      <x:c r="L95" s="84" t="n">
        <x:v>13.49363636</x:v>
      </x:c>
      <x:c r="M95" s="84" t="n">
        <x:v>156.56</x:v>
      </x:c>
      <x:c r="N95" s="86" t="n">
        <x:v>0</x:v>
      </x:c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>
      <x:c r="A96" s="72" t="str">
        <x:v>2013-06</x:v>
      </x:c>
      <x:c r="B96" s="83" t="n">
        <x:v>1909.849333</x:v>
      </x:c>
      <x:c r="C96" s="83" t="n">
        <x:v>102.9195</x:v>
      </x:c>
      <x:c r="D96" s="83" t="n">
        <x:v>372.87</x:v>
      </x:c>
      <x:c r="E96" s="83" t="n">
        <x:v>4166.22</x:v>
      </x:c>
      <x:c r="F96" s="84" t="n">
        <x:v>3.25</x:v>
      </x:c>
      <x:c r="G96" s="84" t="n">
        <x:v>0.09</x:v>
      </x:c>
      <x:c r="H96" s="84" t="n">
        <x:v>3.16</x:v>
      </x:c>
      <x:c r="I96" s="85" t="n">
        <x:v>2058.561346</x:v>
      </x:c>
      <x:c r="J96" s="84" t="n">
        <x:v>3.064526836</x:v>
      </x:c>
      <x:c r="K96" s="84" t="n">
        <x:v>93.283615</x:v>
      </x:c>
      <x:c r="L96" s="84" t="n">
        <x:v>17.2715</x:v>
      </x:c>
      <x:c r="M96" s="84" t="n">
        <x:v>157.8</x:v>
      </x:c>
      <x:c r="N96" s="86" t="n">
        <x:v>0</x:v>
      </x:c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>
      <x:c r="A97" s="72" t="str">
        <x:v>2013-07</x:v>
      </x:c>
      <x:c r="B97" s="83" t="n">
        <x:v>1901.542581</x:v>
      </x:c>
      <x:c r="C97" s="83" t="n">
        <x:v>107.9331818</x:v>
      </x:c>
      <x:c r="D97" s="83" t="n">
        <x:v>394.23</x:v>
      </x:c>
      <x:c r="E97" s="83" t="n">
        <x:v>4230.06</x:v>
      </x:c>
      <x:c r="F97" s="84" t="n">
        <x:v>3.25</x:v>
      </x:c>
      <x:c r="G97" s="84" t="n">
        <x:v>0.09</x:v>
      </x:c>
      <x:c r="H97" s="84" t="n">
        <x:v>3.16</x:v>
      </x:c>
      <x:c r="I97" s="85" t="n">
        <x:v>-3121.871982</x:v>
      </x:c>
      <x:c r="J97" s="84" t="n">
        <x:v>3.398081706</x:v>
      </x:c>
      <x:c r="K97" s="84" t="n">
        <x:v>93.87238636</x:v>
      </x:c>
      <x:c r="L97" s="84" t="n">
        <x:v>13.97454545</x:v>
      </x:c>
      <x:c r="M97" s="84" t="n">
        <x:v>160.44</x:v>
      </x:c>
      <x:c r="N97" s="86" t="n">
        <x:v>0</x:v>
      </x:c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>
      <x:c r="A98" s="72" t="str">
        <x:v>2013-08</x:v>
      </x:c>
      <x:c r="B98" s="83" t="n">
        <x:v>1902.104194</x:v>
      </x:c>
      <x:c r="C98" s="83" t="n">
        <x:v>111.2804545</x:v>
      </x:c>
      <x:c r="D98" s="83" t="n">
        <x:v>372.23</x:v>
      </x:c>
      <x:c r="E98" s="83" t="n">
        <x:v>4255.51</x:v>
      </x:c>
      <x:c r="F98" s="84" t="n">
        <x:v>3.25</x:v>
      </x:c>
      <x:c r="G98" s="84" t="n">
        <x:v>0.08</x:v>
      </x:c>
      <x:c r="H98" s="84" t="n">
        <x:v>3.17</x:v>
      </x:c>
      <x:c r="I98" s="85" t="n">
        <x:v>-3292.03001</x:v>
      </x:c>
      <x:c r="J98" s="84" t="n">
        <x:v>3.383563558</x:v>
      </x:c>
      <x:c r="K98" s="84" t="n">
        <x:v>93.71488636</x:v>
      </x:c>
      <x:c r="L98" s="84" t="n">
        <x:v>14.21</x:v>
      </x:c>
      <x:c r="M98" s="84" t="n">
        <x:v>162.5</x:v>
      </x:c>
      <x:c r="N98" s="86" t="n">
        <x:v>0</x:v>
      </x:c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>
      <x:c r="A99" s="72" t="str">
        <x:v>2013-09</x:v>
      </x:c>
      <x:c r="B99" s="83" t="n">
        <x:v>1919.512333</x:v>
      </x:c>
      <x:c r="C99" s="83" t="n">
        <x:v>111.5965</x:v>
      </x:c>
      <x:c r="D99" s="83" t="n">
        <x:v>354.14</x:v>
      </x:c>
      <x:c r="E99" s="83" t="n">
        <x:v>4296.55</x:v>
      </x:c>
      <x:c r="F99" s="84" t="n">
        <x:v>3.25</x:v>
      </x:c>
      <x:c r="G99" s="84" t="n">
        <x:v>0.08</x:v>
      </x:c>
      <x:c r="H99" s="84" t="n">
        <x:v>3.17</x:v>
      </x:c>
      <x:c r="I99" s="85" t="n">
        <x:v>1832.936358</x:v>
      </x:c>
      <x:c r="J99" s="84" t="n">
        <x:v>3.209636489</x:v>
      </x:c>
      <x:c r="K99" s="84" t="n">
        <x:v>93.470565</x:v>
      </x:c>
      <x:c r="L99" s="84" t="n">
        <x:v>14.692</x:v>
      </x:c>
      <x:c r="M99" s="84" t="n">
        <x:v>160.64</x:v>
      </x:c>
      <x:c r="N99" s="86" t="n">
        <x:v>0</x:v>
      </x:c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>
      <x:c r="A100" s="72" t="str">
        <x:v>2013-10</x:v>
      </x:c>
      <x:c r="B100" s="83" t="n">
        <x:v>1885.13129</x:v>
      </x:c>
      <x:c r="C100" s="83" t="n">
        <x:v>109.0765217</x:v>
      </x:c>
      <x:c r="D100" s="83" t="n">
        <x:v>368.29</x:v>
      </x:c>
      <x:c r="E100" s="83" t="n">
        <x:v>4311.23</x:v>
      </x:c>
      <x:c r="F100" s="84" t="n">
        <x:v>3.25</x:v>
      </x:c>
      <x:c r="G100" s="84" t="n">
        <x:v>0.09</x:v>
      </x:c>
      <x:c r="H100" s="84" t="n">
        <x:v>3.16</x:v>
      </x:c>
      <x:c r="I100" s="85" t="n">
        <x:v>-6260.098119</x:v>
      </x:c>
      <x:c r="J100" s="84" t="n">
        <x:v>3.29885302</x:v>
      </x:c>
      <x:c r="K100" s="84" t="n">
        <x:v>92.49926818</x:v>
      </x:c>
      <x:c r="L100" s="84" t="n">
        <x:v>15.40782609</x:v>
      </x:c>
      <x:c r="M100" s="84" t="n">
        <x:v>159.96</x:v>
      </x:c>
      <x:c r="N100" s="86" t="n">
        <x:v>0</x:v>
      </x:c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  <x:row r="101">
      <x:c r="A101" s="72" t="str">
        <x:v>2013-11</x:v>
      </x:c>
      <x:c r="B101" s="83" t="n">
        <x:v>1921.753</x:v>
      </x:c>
      <x:c r="C101" s="83" t="n">
        <x:v>107.792</x:v>
      </x:c>
      <x:c r="D101" s="83" t="n">
        <x:v>360.61</x:v>
      </x:c>
      <x:c r="E101" s="83" t="n">
        <x:v>4344.6</x:v>
      </x:c>
      <x:c r="F101" s="84" t="n">
        <x:v>3.25</x:v>
      </x:c>
      <x:c r="G101" s="84" t="n">
        <x:v>0.08</x:v>
      </x:c>
      <x:c r="H101" s="84" t="n">
        <x:v>3.17</x:v>
      </x:c>
      <x:c r="I101" s="85" t="n">
        <x:v>-2583.382716</x:v>
      </x:c>
      <x:c r="J101" s="84" t="n">
        <x:v>3.267082136</x:v>
      </x:c>
      <x:c r="K101" s="84" t="n">
        <x:v>93.37366842</x:v>
      </x:c>
      <x:c r="L101" s="84" t="n">
        <x:v>12.924</x:v>
      </x:c>
      <x:c r="M101" s="84" t="n">
        <x:v>158.91</x:v>
      </x:c>
      <x:c r="N101" s="86" t="n">
        <x:v>0</x:v>
      </x:c>
      <x:c r="O101" s="1"/>
      <x:c r="P101" s="1"/>
      <x:c r="Q101" s="1"/>
      <x:c r="R101" s="1"/>
      <x:c r="S101" s="1"/>
      <x:c r="T101" s="1"/>
      <x:c r="U101" s="1"/>
      <x:c r="V101" s="1"/>
      <x:c r="W101" s="1"/>
      <x:c r="X101" s="1"/>
      <x:c r="Y101" s="1"/>
      <x:c r="Z101" s="1"/>
    </x:row>
    <x:row r="102">
      <x:c r="A102" s="72" t="str">
        <x:v>2013-12</x:v>
      </x:c>
      <x:c r="B102" s="83" t="n">
        <x:v>1932.956129</x:v>
      </x:c>
      <x:c r="C102" s="83" t="n">
        <x:v>110.7566667</x:v>
      </x:c>
      <x:c r="D102" s="83" t="n">
        <x:v>414.86</x:v>
      </x:c>
      <x:c r="E102" s="83" t="n">
        <x:v>4401.04</x:v>
      </x:c>
      <x:c r="F102" s="84" t="n">
        <x:v>3.25</x:v>
      </x:c>
      <x:c r="G102" s="84" t="n">
        <x:v>0.09</x:v>
      </x:c>
      <x:c r="H102" s="84" t="n">
        <x:v>3.16</x:v>
      </x:c>
      <x:c r="I102" s="85" t="n">
        <x:v>-12894.70989</x:v>
      </x:c>
      <x:c r="J102" s="84" t="n">
        <x:v>2.330987593</x:v>
      </x:c>
      <x:c r="K102" s="84" t="n">
        <x:v>93.53402</x:v>
      </x:c>
      <x:c r="L102" s="84" t="n">
        <x:v>14.19238095</x:v>
      </x:c>
      <x:c r="M102" s="84" t="n">
        <x:v>159.34</x:v>
      </x:c>
      <x:c r="N102" s="86" t="n">
        <x:v>0</x:v>
      </x:c>
      <x:c r="O102" s="1"/>
      <x:c r="P102" s="1"/>
      <x:c r="Q102" s="1"/>
      <x:c r="R102" s="1"/>
      <x:c r="S102" s="1"/>
      <x:c r="T102" s="1"/>
      <x:c r="U102" s="1"/>
      <x:c r="V102" s="1"/>
      <x:c r="W102" s="1"/>
      <x:c r="X102" s="1"/>
      <x:c r="Y102" s="1"/>
      <x:c r="Z102" s="1"/>
    </x:row>
    <x:row r="103">
      <x:c r="A103" s="72" t="str">
        <x:v>2014-01</x:v>
      </x:c>
      <x:c r="B103" s="83" t="n">
        <x:v>1957.287097</x:v>
      </x:c>
      <x:c r="C103" s="83" t="n">
        <x:v>108.1177273</x:v>
      </x:c>
      <x:c r="D103" s="83" t="n">
        <x:v>352.57</x:v>
      </x:c>
      <x:c r="E103" s="83" t="n">
        <x:v>4424.21</x:v>
      </x:c>
      <x:c r="F103" s="84" t="n">
        <x:v>3.25</x:v>
      </x:c>
      <x:c r="G103" s="84" t="n">
        <x:v>0.07</x:v>
      </x:c>
      <x:c r="H103" s="84" t="n">
        <x:v>3.18</x:v>
      </x:c>
      <x:c r="I103" s="85" t="n">
        <x:v>7386.752191</x:v>
      </x:c>
      <x:c r="J103" s="84" t="n">
        <x:v>2.382871769</x:v>
      </x:c>
      <x:c r="K103" s="84" t="n">
        <x:v>94.46474762</x:v>
      </x:c>
      <x:c r="L103" s="84" t="n">
        <x:v>14.24095238</x:v>
      </x:c>
      <x:c r="M103" s="84" t="n">
        <x:v>154.23</x:v>
      </x:c>
      <x:c r="N103" s="86" t="n">
        <x:v>0</x:v>
      </x:c>
      <x:c r="O103" s="1"/>
      <x:c r="P103" s="1"/>
      <x:c r="Q103" s="1"/>
      <x:c r="R103" s="1"/>
      <x:c r="S103" s="1"/>
      <x:c r="T103" s="1"/>
      <x:c r="U103" s="1"/>
      <x:c r="V103" s="1"/>
      <x:c r="W103" s="1"/>
      <x:c r="X103" s="1"/>
      <x:c r="Y103" s="1"/>
      <x:c r="Z103" s="1"/>
    </x:row>
    <x:row r="104">
      <x:c r="A104" s="72" t="str">
        <x:v>2014-02</x:v>
      </x:c>
      <x:c r="B104" s="83" t="n">
        <x:v>2038.4925</x:v>
      </x:c>
      <x:c r="C104" s="83" t="n">
        <x:v>108.9005263</x:v>
      </x:c>
      <x:c r="D104" s="83" t="n">
        <x:v>330.22</x:v>
      </x:c>
      <x:c r="E104" s="83" t="n">
        <x:v>4437.11</x:v>
      </x:c>
      <x:c r="F104" s="84" t="n">
        <x:v>3.25</x:v>
      </x:c>
      <x:c r="G104" s="84" t="n">
        <x:v>0.07</x:v>
      </x:c>
      <x:c r="H104" s="84" t="n">
        <x:v>3.18</x:v>
      </x:c>
      <x:c r="I104" s="85" t="n">
        <x:v>-2756.311949</x:v>
      </x:c>
      <x:c r="J104" s="84" t="n">
        <x:v>2.497874675</x:v>
      </x:c>
      <x:c r="K104" s="84" t="n">
        <x:v>94.64558235</x:v>
      </x:c>
      <x:c r="L104" s="84" t="n">
        <x:v>15.47</x:v>
      </x:c>
      <x:c r="M104" s="84" t="n">
        <x:v>154.46</x:v>
      </x:c>
      <x:c r="N104" s="86" t="n">
        <x:v>0</x:v>
      </x:c>
      <x:c r="O104" s="1"/>
      <x:c r="P104" s="1"/>
      <x:c r="Q104" s="1"/>
      <x:c r="R104" s="1"/>
      <x:c r="S104" s="1"/>
      <x:c r="T104" s="1"/>
      <x:c r="U104" s="1"/>
      <x:c r="V104" s="1"/>
      <x:c r="W104" s="1"/>
      <x:c r="X104" s="1"/>
      <x:c r="Y104" s="1"/>
      <x:c r="Z104" s="1"/>
    </x:row>
    <x:row r="105">
      <x:c r="A105" s="72" t="str">
        <x:v>2014-03</x:v>
      </x:c>
      <x:c r="B105" s="83" t="n">
        <x:v>2019.713226</x:v>
      </x:c>
      <x:c r="C105" s="83" t="n">
        <x:v>107.4809524</x:v>
      </x:c>
      <x:c r="D105" s="83" t="n">
        <x:v>338.7</x:v>
      </x:c>
      <x:c r="E105" s="83" t="n">
        <x:v>4441.64</x:v>
      </x:c>
      <x:c r="F105" s="84" t="n">
        <x:v>3.25</x:v>
      </x:c>
      <x:c r="G105" s="84" t="n">
        <x:v>0.08</x:v>
      </x:c>
      <x:c r="H105" s="84" t="n">
        <x:v>3.17</x:v>
      </x:c>
      <x:c r="I105" s="85" t="n">
        <x:v>-4104.442797</x:v>
      </x:c>
      <x:c r="J105" s="84" t="n">
        <x:v>2.523444032</x:v>
      </x:c>
      <x:c r="K105" s="84" t="n">
        <x:v>94.44082105</x:v>
      </x:c>
      <x:c r="L105" s="84" t="n">
        <x:v>14.83666667</x:v>
      </x:c>
      <x:c r="M105" s="84" t="n">
        <x:v>157.03</x:v>
      </x:c>
      <x:c r="N105" s="86" t="n">
        <x:v>0</x:v>
      </x:c>
      <x:c r="O105" s="1"/>
      <x:c r="P105" s="1"/>
      <x:c r="Q105" s="1"/>
      <x:c r="R105" s="1"/>
      <x:c r="S105" s="1"/>
      <x:c r="T105" s="1"/>
      <x:c r="U105" s="1"/>
      <x:c r="V105" s="1"/>
      <x:c r="W105" s="1"/>
      <x:c r="X105" s="1"/>
      <x:c r="Y105" s="1"/>
      <x:c r="Z105" s="1"/>
    </x:row>
    <x:row r="106">
      <x:c r="A106" s="72" t="str">
        <x:v>2014-04</x:v>
      </x:c>
      <x:c r="B106" s="83" t="n">
        <x:v>1938.360333</x:v>
      </x:c>
      <x:c r="C106" s="83" t="n">
        <x:v>107.7552381</x:v>
      </x:c>
      <x:c r="D106" s="83" t="n">
        <x:v>317.03</x:v>
      </x:c>
      <x:c r="E106" s="83" t="n">
        <x:v>4371.54</x:v>
      </x:c>
      <x:c r="F106" s="84" t="n">
        <x:v>3.275</x:v>
      </x:c>
      <x:c r="G106" s="84" t="n">
        <x:v>0.09</x:v>
      </x:c>
      <x:c r="H106" s="84" t="n">
        <x:v>3.185</x:v>
      </x:c>
      <x:c r="I106" s="85" t="n">
        <x:v>2549.881992</x:v>
      </x:c>
      <x:c r="J106" s="84" t="n">
        <x:v>2.707866792</x:v>
      </x:c>
      <x:c r="K106" s="84" t="n">
        <x:v>93.99555</x:v>
      </x:c>
      <x:c r="L106" s="84" t="n">
        <x:v>14.19809524</x:v>
      </x:c>
      <x:c r="M106" s="84" t="n">
        <x:v>154.76</x:v>
      </x:c>
      <x:c r="N106" s="86" t="n">
        <x:v>0</x:v>
      </x:c>
      <x:c r="O106" s="1"/>
      <x:c r="P106" s="1"/>
      <x:c r="Q106" s="1"/>
      <x:c r="R106" s="1"/>
      <x:c r="S106" s="1"/>
      <x:c r="T106" s="1"/>
      <x:c r="U106" s="1"/>
      <x:c r="V106" s="1"/>
      <x:c r="W106" s="1"/>
      <x:c r="X106" s="1"/>
      <x:c r="Y106" s="1"/>
      <x:c r="Z106" s="1"/>
    </x:row>
    <x:row r="107">
      <x:c r="A107" s="72" t="str">
        <x:v>2014-05</x:v>
      </x:c>
      <x:c r="B107" s="83" t="n">
        <x:v>1915.360968</x:v>
      </x:c>
      <x:c r="C107" s="83" t="n">
        <x:v>109.5390909</x:v>
      </x:c>
      <x:c r="D107" s="83" t="n">
        <x:v>333.13</x:v>
      </x:c>
      <x:c r="E107" s="83" t="n">
        <x:v>4308.88</x:v>
      </x:c>
      <x:c r="F107" s="84" t="n">
        <x:v>3.5</x:v>
      </x:c>
      <x:c r="G107" s="84" t="n">
        <x:v>0.09</x:v>
      </x:c>
      <x:c r="H107" s="84" t="n">
        <x:v>3.41</x:v>
      </x:c>
      <x:c r="I107" s="85" t="n">
        <x:v>-805.7828131</x:v>
      </x:c>
      <x:c r="J107" s="84" t="n">
        <x:v>2.882476329</x:v>
      </x:c>
      <x:c r="K107" s="84" t="n">
        <x:v>93.67002857</x:v>
      </x:c>
      <x:c r="L107" s="84" t="n">
        <x:v>12.4752381</x:v>
      </x:c>
      <x:c r="M107" s="84" t="n">
        <x:v>149.05</x:v>
      </x:c>
      <x:c r="N107" s="86" t="n">
        <x:v>0</x:v>
      </x:c>
      <x:c r="O107" s="1"/>
      <x:c r="P107" s="1"/>
      <x:c r="Q107" s="1"/>
      <x:c r="R107" s="1"/>
      <x:c r="S107" s="1"/>
      <x:c r="T107" s="1"/>
      <x:c r="U107" s="1"/>
      <x:c r="V107" s="1"/>
      <x:c r="W107" s="1"/>
      <x:c r="X107" s="1"/>
      <x:c r="Y107" s="1"/>
      <x:c r="Z107" s="1"/>
    </x:row>
    <x:row r="108">
      <x:c r="A108" s="72" t="str">
        <x:v>2014-06</x:v>
      </x:c>
      <x:c r="B108" s="83" t="n">
        <x:v>1887.039333</x:v>
      </x:c>
      <x:c r="C108" s="83" t="n">
        <x:v>111.7952381</x:v>
      </x:c>
      <x:c r="D108" s="83" t="n">
        <x:v>298.39</x:v>
      </x:c>
      <x:c r="E108" s="83" t="n">
        <x:v>4234.4</x:v>
      </x:c>
      <x:c r="F108" s="84" t="n">
        <x:v>3.791666667</x:v>
      </x:c>
      <x:c r="G108" s="84" t="n">
        <x:v>0.1</x:v>
      </x:c>
      <x:c r="H108" s="84" t="n">
        <x:v>3.691666667</x:v>
      </x:c>
      <x:c r="I108" s="85" t="n">
        <x:v>-1168.040131</x:v>
      </x:c>
      <x:c r="J108" s="84" t="n">
        <x:v>3.305413646</x:v>
      </x:c>
      <x:c r="K108" s="84" t="n">
        <x:v>93.82740476</x:v>
      </x:c>
      <x:c r="L108" s="84" t="n">
        <x:v>11.54142857</x:v>
      </x:c>
      <x:c r="M108" s="84" t="n">
        <x:v>162.47</x:v>
      </x:c>
      <x:c r="N108" s="86" t="n">
        <x:v>0</x:v>
      </x:c>
      <x:c r="O108" s="1"/>
      <x:c r="P108" s="1"/>
      <x:c r="Q108" s="1"/>
      <x:c r="R108" s="1"/>
      <x:c r="S108" s="1"/>
      <x:c r="T108" s="1"/>
      <x:c r="U108" s="1"/>
      <x:c r="V108" s="1"/>
      <x:c r="W108" s="1"/>
      <x:c r="X108" s="1"/>
      <x:c r="Y108" s="1"/>
      <x:c r="Z108" s="1"/>
    </x:row>
    <x:row r="109">
      <x:c r="A109" s="72" t="str">
        <x:v>2014-07</x:v>
      </x:c>
      <x:c r="B109" s="83" t="n">
        <x:v>1857.644194</x:v>
      </x:c>
      <x:c r="C109" s="83" t="n">
        <x:v>106.7681818</x:v>
      </x:c>
      <x:c r="D109" s="83" t="n">
        <x:v>346.21</x:v>
      </x:c>
      <x:c r="E109" s="83" t="n">
        <x:v>4186.38</x:v>
      </x:c>
      <x:c r="F109" s="84" t="n">
        <x:v>4</x:v>
      </x:c>
      <x:c r="G109" s="84" t="n">
        <x:v>0.09</x:v>
      </x:c>
      <x:c r="H109" s="84" t="n">
        <x:v>3.91</x:v>
      </x:c>
      <x:c r="I109" s="85" t="n">
        <x:v>-2706.775753</x:v>
      </x:c>
      <x:c r="J109" s="84" t="n">
        <x:v>3.251003553</x:v>
      </x:c>
      <x:c r="K109" s="84" t="n">
        <x:v>93.60385909</x:v>
      </x:c>
      <x:c r="L109" s="84" t="n">
        <x:v>12.29636364</x:v>
      </x:c>
      <x:c r="M109" s="84" t="n">
        <x:v>148.64</x:v>
      </x:c>
      <x:c r="N109" s="86" t="n">
        <x:v>0</x:v>
      </x:c>
      <x:c r="O109" s="1"/>
      <x:c r="P109" s="1"/>
      <x:c r="Q109" s="1"/>
      <x:c r="R109" s="1"/>
      <x:c r="S109" s="1"/>
      <x:c r="T109" s="1"/>
      <x:c r="U109" s="1"/>
      <x:c r="V109" s="1"/>
      <x:c r="W109" s="1"/>
      <x:c r="X109" s="1"/>
      <x:c r="Y109" s="1"/>
      <x:c r="Z109" s="1"/>
    </x:row>
    <x:row r="110">
      <x:c r="A110" s="72" t="str">
        <x:v>2014-08</x:v>
      </x:c>
      <x:c r="B110" s="83" t="n">
        <x:v>1898.125161</x:v>
      </x:c>
      <x:c r="C110" s="83" t="n">
        <x:v>101.6080952</x:v>
      </x:c>
      <x:c r="D110" s="83" t="n">
        <x:v>315.26</x:v>
      </x:c>
      <x:c r="E110" s="83" t="n">
        <x:v>4129.41</x:v>
      </x:c>
      <x:c r="F110" s="84" t="n">
        <x:v>4.25</x:v>
      </x:c>
      <x:c r="G110" s="84" t="n">
        <x:v>0.09</x:v>
      </x:c>
      <x:c r="H110" s="84" t="n">
        <x:v>4.16</x:v>
      </x:c>
      <x:c r="I110" s="85" t="n">
        <x:v>-5648.355493</x:v>
      </x:c>
      <x:c r="J110" s="84" t="n">
        <x:v>3.559866605</x:v>
      </x:c>
      <x:c r="K110" s="84" t="n">
        <x:v>94.58080952</x:v>
      </x:c>
      <x:c r="L110" s="84" t="n">
        <x:v>13.49190476</x:v>
      </x:c>
      <x:c r="M110" s="84" t="n">
        <x:v>151.55</x:v>
      </x:c>
      <x:c r="N110" s="86" t="n">
        <x:v>0</x:v>
      </x:c>
      <x:c r="O110" s="1"/>
      <x:c r="P110" s="1"/>
      <x:c r="Q110" s="1"/>
      <x:c r="R110" s="1"/>
      <x:c r="S110" s="1"/>
      <x:c r="T110" s="1"/>
      <x:c r="U110" s="1"/>
      <x:c r="V110" s="1"/>
      <x:c r="W110" s="1"/>
      <x:c r="X110" s="1"/>
      <x:c r="Y110" s="1"/>
      <x:c r="Z110" s="1"/>
    </x:row>
    <x:row r="111">
      <x:c r="A111" s="72" t="str">
        <x:v>2014-09</x:v>
      </x:c>
      <x:c r="B111" s="83" t="n">
        <x:v>1973.716667</x:v>
      </x:c>
      <x:c r="C111" s="83" t="n">
        <x:v>97.09142857</x:v>
      </x:c>
      <x:c r="D111" s="83" t="n">
        <x:v>343.28</x:v>
      </x:c>
      <x:c r="E111" s="83" t="n">
        <x:v>4118.55</x:v>
      </x:c>
      <x:c r="F111" s="84" t="n">
        <x:v>4.5</x:v>
      </x:c>
      <x:c r="G111" s="84" t="n">
        <x:v>0.09</x:v>
      </x:c>
      <x:c r="H111" s="84" t="n">
        <x:v>4.41</x:v>
      </x:c>
      <x:c r="I111" s="85" t="n">
        <x:v>3278.842819</x:v>
      </x:c>
      <x:c r="J111" s="84" t="n">
        <x:v>3.370339697</x:v>
      </x:c>
      <x:c r="K111" s="84" t="n">
        <x:v>96.12086667</x:v>
      </x:c>
      <x:c r="L111" s="84" t="n">
        <x:v>13.46666667</x:v>
      </x:c>
      <x:c r="M111" s="84" t="n">
        <x:v>145.98</x:v>
      </x:c>
      <x:c r="N111" s="86" t="n">
        <x:v>0</x:v>
      </x:c>
      <x:c r="O111" s="1"/>
      <x:c r="P111" s="1"/>
      <x:c r="Q111" s="1"/>
      <x:c r="R111" s="1"/>
      <x:c r="S111" s="1"/>
      <x:c r="T111" s="1"/>
      <x:c r="U111" s="1"/>
      <x:c r="V111" s="1"/>
      <x:c r="W111" s="1"/>
      <x:c r="X111" s="1"/>
      <x:c r="Y111" s="1"/>
      <x:c r="Z111" s="1"/>
    </x:row>
    <x:row r="112">
      <x:c r="A112" s="72" t="str">
        <x:v>2014-10</x:v>
      </x:c>
      <x:c r="B112" s="83" t="n">
        <x:v>2048.567419</x:v>
      </x:c>
      <x:c r="C112" s="83" t="n">
        <x:v>87.42521739</x:v>
      </x:c>
      <x:c r="D112" s="83" t="n">
        <x:v>349.25</x:v>
      </x:c>
      <x:c r="E112" s="83" t="n">
        <x:v>4099.51</x:v>
      </x:c>
      <x:c r="F112" s="84" t="n">
        <x:v>4.5</x:v>
      </x:c>
      <x:c r="G112" s="84" t="n">
        <x:v>0.09</x:v>
      </x:c>
      <x:c r="H112" s="84" t="n">
        <x:v>4.41</x:v>
      </x:c>
      <x:c r="I112" s="85" t="n">
        <x:v>-3539.124574</x:v>
      </x:c>
      <x:c r="J112" s="84" t="n">
        <x:v>3.013679212</x:v>
      </x:c>
      <x:c r="K112" s="84" t="n">
        <x:v>97.43960455</x:v>
      </x:c>
      <x:c r="L112" s="84" t="n">
        <x:v>18.05869565</x:v>
      </x:c>
      <x:c r="M112" s="84" t="n">
        <x:v>133.69</x:v>
      </x:c>
      <x:c r="N112" s="86" t="n">
        <x:v>0</x:v>
      </x:c>
      <x:c r="O112" s="1"/>
      <x:c r="P112" s="1"/>
      <x:c r="Q112" s="1"/>
      <x:c r="R112" s="1"/>
      <x:c r="S112" s="1"/>
      <x:c r="T112" s="1"/>
      <x:c r="U112" s="1"/>
      <x:c r="V112" s="1"/>
      <x:c r="W112" s="1"/>
      <x:c r="X112" s="1"/>
      <x:c r="Y112" s="1"/>
      <x:c r="Z112" s="1"/>
    </x:row>
    <x:row r="113">
      <x:c r="A113" s="72" t="str">
        <x:v>2014-11</x:v>
      </x:c>
      <x:c r="B113" s="83" t="n">
        <x:v>2128.683667</x:v>
      </x:c>
      <x:c r="C113" s="83" t="n">
        <x:v>79.43789474</x:v>
      </x:c>
      <x:c r="D113" s="83" t="n">
        <x:v>324.2</x:v>
      </x:c>
      <x:c r="E113" s="83" t="n">
        <x:v>4063.1</x:v>
      </x:c>
      <x:c r="F113" s="84" t="n">
        <x:v>4.5</x:v>
      </x:c>
      <x:c r="G113" s="84" t="n">
        <x:v>0.09</x:v>
      </x:c>
      <x:c r="H113" s="84" t="n">
        <x:v>4.41</x:v>
      </x:c>
      <x:c r="I113" s="85" t="n">
        <x:v>-1325.607484</x:v>
      </x:c>
      <x:c r="J113" s="84" t="n">
        <x:v>2.848812219</x:v>
      </x:c>
      <x:c r="K113" s="84" t="n">
        <x:v>99.11468889</x:v>
      </x:c>
      <x:c r="L113" s="84" t="n">
        <x:v>13.41315789</x:v>
      </x:c>
      <x:c r="M113" s="84" t="n">
        <x:v>130.36</x:v>
      </x:c>
      <x:c r="N113" s="86" t="n">
        <x:v>0</x:v>
      </x:c>
      <x:c r="O113" s="1"/>
      <x:c r="P113" s="1"/>
      <x:c r="Q113" s="1"/>
      <x:c r="R113" s="1"/>
      <x:c r="S113" s="1"/>
      <x:c r="T113" s="1"/>
      <x:c r="U113" s="1"/>
      <x:c r="V113" s="1"/>
      <x:c r="W113" s="1"/>
      <x:c r="X113" s="1"/>
      <x:c r="Y113" s="1"/>
      <x:c r="Z113" s="1"/>
    </x:row>
    <x:row r="114">
      <x:c r="A114" s="72" t="str">
        <x:v>2014-12</x:v>
      </x:c>
      <x:c r="B114" s="83" t="n">
        <x:v>2342.253548</x:v>
      </x:c>
      <x:c r="C114" s="83" t="n">
        <x:v>62.335</x:v>
      </x:c>
      <x:c r="D114" s="83" t="n">
        <x:v>444.97</x:v>
      </x:c>
      <x:c r="E114" s="83" t="n">
        <x:v>4093.21</x:v>
      </x:c>
      <x:c r="F114" s="84" t="n">
        <x:v>4.5</x:v>
      </x:c>
      <x:c r="G114" s="84" t="n">
        <x:v>0.12</x:v>
      </x:c>
      <x:c r="H114" s="84" t="n">
        <x:v>4.38</x:v>
      </x:c>
      <x:c r="I114" s="85" t="n">
        <x:v>-9517.492224</x:v>
      </x:c>
      <x:c r="J114" s="84" t="n">
        <x:v>2.406132394</x:v>
      </x:c>
      <x:c r="K114" s="84" t="n">
        <x:v>101.4441333</x:v>
      </x:c>
      <x:c r="L114" s="84" t="n">
        <x:v>16.29227273</x:v>
      </x:c>
      <x:c r="M114" s="84" t="n">
        <x:v>117.58</x:v>
      </x:c>
      <x:c r="N114" s="86" t="n">
        <x:v>0</x:v>
      </x:c>
      <x:c r="O114" s="1"/>
      <x:c r="P114" s="1"/>
      <x:c r="Q114" s="1"/>
      <x:c r="R114" s="1"/>
      <x:c r="S114" s="1"/>
      <x:c r="T114" s="1"/>
      <x:c r="U114" s="1"/>
      <x:c r="V114" s="1"/>
      <x:c r="W114" s="1"/>
      <x:c r="X114" s="1"/>
      <x:c r="Y114" s="1"/>
      <x:c r="Z114" s="1"/>
    </x:row>
    <x:row r="115">
      <x:c r="A115" s="72" t="str">
        <x:v>2015-01</x:v>
      </x:c>
      <x:c r="B115" s="83" t="n">
        <x:v>2397.258065</x:v>
      </x:c>
      <x:c r="C115" s="83" t="n">
        <x:v>47.7595</x:v>
      </x:c>
      <x:c r="D115" s="83" t="n">
        <x:v>349</x:v>
      </x:c>
      <x:c r="E115" s="83" t="n">
        <x:v>4089.64</x:v>
      </x:c>
      <x:c r="F115" s="84" t="n">
        <x:v>4.5</x:v>
      </x:c>
      <x:c r="G115" s="84" t="n">
        <x:v>0.11</x:v>
      </x:c>
      <x:c r="H115" s="84" t="n">
        <x:v>4.39</x:v>
      </x:c>
      <x:c r="I115" s="85" t="n">
        <x:v>4185.292315</x:v>
      </x:c>
      <x:c r="J115" s="84" t="n">
        <x:v>2.679027018</x:v>
      </x:c>
      <x:c r="K115" s="84" t="n">
        <x:v>103.76074</x:v>
      </x:c>
      <x:c r="L115" s="84" t="n">
        <x:v>19.1195</x:v>
      </x:c>
      <x:c r="M115" s="84" t="n">
        <x:v>104.49</x:v>
      </x:c>
      <x:c r="N115" s="86" t="n">
        <x:v>0</x:v>
      </x:c>
      <x:c r="O115" s="1"/>
      <x:c r="P115" s="1"/>
      <x:c r="Q115" s="1"/>
      <x:c r="R115" s="1"/>
      <x:c r="S115" s="1"/>
      <x:c r="T115" s="1"/>
      <x:c r="U115" s="1"/>
      <x:c r="V115" s="1"/>
      <x:c r="W115" s="1"/>
      <x:c r="X115" s="1"/>
      <x:c r="Y115" s="1"/>
      <x:c r="Z115" s="1"/>
    </x:row>
    <x:row r="116">
      <x:c r="A116" s="72" t="str">
        <x:v>2015-02</x:v>
      </x:c>
      <x:c r="B116" s="83" t="n">
        <x:v>2420.6725</x:v>
      </x:c>
      <x:c r="C116" s="83" t="n">
        <x:v>58.0955</x:v>
      </x:c>
      <x:c r="D116" s="83" t="n">
        <x:v>361.96</x:v>
      </x:c>
      <x:c r="E116" s="83" t="n">
        <x:v>4121.38</x:v>
      </x:c>
      <x:c r="F116" s="84" t="n">
        <x:v>4.5</x:v>
      </x:c>
      <x:c r="G116" s="84" t="n">
        <x:v>0.11</x:v>
      </x:c>
      <x:c r="H116" s="84" t="n">
        <x:v>4.39</x:v>
      </x:c>
      <x:c r="I116" s="85" t="n">
        <x:v>-2925.395126</x:v>
      </x:c>
      <x:c r="J116" s="84" t="n">
        <x:v>2.700039179</x:v>
      </x:c>
      <x:c r="K116" s="84" t="n">
        <x:v>105.1685389</x:v>
      </x:c>
      <x:c r="L116" s="84" t="n">
        <x:v>15.90421053</x:v>
      </x:c>
      <x:c r="M116" s="84" t="n">
        <x:v>108.98</x:v>
      </x:c>
      <x:c r="N116" s="86" t="n">
        <x:v>0</x:v>
      </x:c>
      <x:c r="O116" s="1"/>
      <x:c r="P116" s="1"/>
      <x:c r="Q116" s="1"/>
      <x:c r="R116" s="1"/>
      <x:c r="S116" s="1"/>
      <x:c r="T116" s="1"/>
      <x:c r="U116" s="1"/>
      <x:c r="V116" s="1"/>
      <x:c r="W116" s="1"/>
      <x:c r="X116" s="1"/>
      <x:c r="Y116" s="1"/>
      <x:c r="Z116" s="1"/>
    </x:row>
    <x:row r="117">
      <x:c r="A117" s="72" t="str">
        <x:v>2015-03</x:v>
      </x:c>
      <x:c r="B117" s="83" t="n">
        <x:v>2585.362258</x:v>
      </x:c>
      <x:c r="C117" s="83" t="n">
        <x:v>55.88545455</x:v>
      </x:c>
      <x:c r="D117" s="83" t="n">
        <x:v>435.94</x:v>
      </x:c>
      <x:c r="E117" s="83" t="n">
        <x:v>4218.62</x:v>
      </x:c>
      <x:c r="F117" s="84" t="n">
        <x:v>4.5</x:v>
      </x:c>
      <x:c r="G117" s="84" t="n">
        <x:v>0.11</x:v>
      </x:c>
      <x:c r="H117" s="84" t="n">
        <x:v>4.39</x:v>
      </x:c>
      <x:c r="I117" s="85" t="n">
        <x:v>-4438.343245</x:v>
      </x:c>
      <x:c r="J117" s="84" t="n">
        <x:v>2.741533371</x:v>
      </x:c>
      <x:c r="K117" s="84" t="n">
        <x:v>107.3647381</x:v>
      </x:c>
      <x:c r="L117" s="84" t="n">
        <x:v>14.81272727</x:v>
      </x:c>
      <x:c r="M117" s="84" t="n">
        <x:v>116.07</x:v>
      </x:c>
      <x:c r="N117" s="86" t="n">
        <x:v>0</x:v>
      </x:c>
      <x:c r="O117" s="1"/>
      <x:c r="P117" s="1"/>
      <x:c r="Q117" s="1"/>
      <x:c r="R117" s="1"/>
      <x:c r="S117" s="1"/>
      <x:c r="T117" s="1"/>
      <x:c r="U117" s="1"/>
      <x:c r="V117" s="1"/>
      <x:c r="W117" s="1"/>
      <x:c r="X117" s="1"/>
      <x:c r="Y117" s="1"/>
      <x:c r="Z117" s="1"/>
    </x:row>
    <x:row r="118">
      <x:c r="A118" s="72" t="str">
        <x:v>2015-04</x:v>
      </x:c>
      <x:c r="B118" s="83" t="n">
        <x:v>2505.248</x:v>
      </x:c>
      <x:c r="C118" s="83" t="n">
        <x:v>59.52428571</x:v>
      </x:c>
      <x:c r="D118" s="83" t="n">
        <x:v>352.86</x:v>
      </x:c>
      <x:c r="E118" s="83" t="n">
        <x:v>4254.45</x:v>
      </x:c>
      <x:c r="F118" s="84" t="n">
        <x:v>4.5</x:v>
      </x:c>
      <x:c r="G118" s="84" t="n">
        <x:v>0.12</x:v>
      </x:c>
      <x:c r="H118" s="84" t="n">
        <x:v>4.38</x:v>
      </x:c>
      <x:c r="I118" s="85" t="n">
        <x:v>2274.928871</x:v>
      </x:c>
      <x:c r="J118" s="84" t="n">
        <x:v>2.775702112</x:v>
      </x:c>
      <x:c r="K118" s="84" t="n">
        <x:v>106.3522818</x:v>
      </x:c>
      <x:c r="L118" s="84" t="n">
        <x:v>13.4947619</x:v>
      </x:c>
      <x:c r="M118" s="84" t="n">
        <x:v>118.61</x:v>
      </x:c>
      <x:c r="N118" s="86" t="n">
        <x:v>0</x:v>
      </x:c>
      <x:c r="O118" s="1"/>
      <x:c r="P118" s="1"/>
      <x:c r="Q118" s="1"/>
      <x:c r="R118" s="1"/>
      <x:c r="S118" s="1"/>
      <x:c r="T118" s="1"/>
      <x:c r="U118" s="1"/>
      <x:c r="V118" s="1"/>
      <x:c r="W118" s="1"/>
      <x:c r="X118" s="1"/>
      <x:c r="Y118" s="1"/>
      <x:c r="Z118" s="1"/>
    </x:row>
    <x:row r="119">
      <x:c r="A119" s="72" t="str">
        <x:v>2015-05</x:v>
      </x:c>
      <x:c r="B119" s="83" t="n">
        <x:v>2437.535161</x:v>
      </x:c>
      <x:c r="C119" s="83" t="n">
        <x:v>64.075</x:v>
      </x:c>
      <x:c r="D119" s="83" t="n">
        <x:v>362.7</x:v>
      </x:c>
      <x:c r="E119" s="83" t="n">
        <x:v>4284.02</x:v>
      </x:c>
      <x:c r="F119" s="84" t="n">
        <x:v>4.5</x:v>
      </x:c>
      <x:c r="G119" s="84" t="n">
        <x:v>0.12</x:v>
      </x:c>
      <x:c r="H119" s="84" t="n">
        <x:v>4.38</x:v>
      </x:c>
      <x:c r="I119" s="85" t="n">
        <x:v>870.7905267</x:v>
      </x:c>
      <x:c r="J119" s="84" t="n">
        <x:v>2.567352415</x:v>
      </x:c>
      <x:c r="K119" s="84" t="n">
        <x:v>105.406515</x:v>
      </x:c>
      <x:c r="L119" s="84" t="n">
        <x:v>13.3385</x:v>
      </x:c>
      <x:c r="M119" s="84" t="n">
        <x:v>123.53</x:v>
      </x:c>
      <x:c r="N119" s="86" t="n">
        <x:v>0</x:v>
      </x:c>
      <x:c r="O119" s="1"/>
      <x:c r="P119" s="1"/>
      <x:c r="Q119" s="1"/>
      <x:c r="R119" s="1"/>
      <x:c r="S119" s="1"/>
      <x:c r="T119" s="1"/>
      <x:c r="U119" s="1"/>
      <x:c r="V119" s="1"/>
      <x:c r="W119" s="1"/>
      <x:c r="X119" s="1"/>
      <x:c r="Y119" s="1"/>
      <x:c r="Z119" s="1"/>
    </x:row>
    <x:row r="120">
      <x:c r="A120" s="72" t="str">
        <x:v>2015-06</x:v>
      </x:c>
      <x:c r="B120" s="83" t="n">
        <x:v>2562.477667</x:v>
      </x:c>
      <x:c r="C120" s="83" t="n">
        <x:v>61.47772727</x:v>
      </x:c>
      <x:c r="D120" s="83" t="n">
        <x:v>396.98</x:v>
      </x:c>
      <x:c r="E120" s="83" t="n">
        <x:v>4382.61</x:v>
      </x:c>
      <x:c r="F120" s="84" t="n">
        <x:v>4.5</x:v>
      </x:c>
      <x:c r="G120" s="84" t="n">
        <x:v>0.13</x:v>
      </x:c>
      <x:c r="H120" s="84" t="n">
        <x:v>4.37</x:v>
      </x:c>
      <x:c r="I120" s="85" t="n">
        <x:v>-1953.188952</x:v>
      </x:c>
      <x:c r="J120" s="84" t="n">
        <x:v>2.664923762</x:v>
      </x:c>
      <x:c r="K120" s="84" t="n">
        <x:v>106.1789864</x:v>
      </x:c>
      <x:c r="L120" s="84" t="n">
        <x:v>14.33954545</x:v>
      </x:c>
      <x:c r="M120" s="84" t="n">
        <x:v>122.42</x:v>
      </x:c>
      <x:c r="N120" s="86" t="n">
        <x:v>0</x:v>
      </x:c>
      <x:c r="O120" s="1"/>
      <x:c r="P120" s="1"/>
      <x:c r="Q120" s="1"/>
      <x:c r="R120" s="1"/>
      <x:c r="S120" s="1"/>
      <x:c r="T120" s="1"/>
      <x:c r="U120" s="1"/>
      <x:c r="V120" s="1"/>
      <x:c r="W120" s="1"/>
      <x:c r="X120" s="1"/>
      <x:c r="Y120" s="1"/>
      <x:c r="Z120" s="1"/>
    </x:row>
    <x:row r="121">
      <x:c r="A121" s="72" t="str">
        <x:v>2015-07</x:v>
      </x:c>
      <x:c r="B121" s="83" t="n">
        <x:v>2732.035806</x:v>
      </x:c>
      <x:c r="C121" s="83" t="n">
        <x:v>56.56130435</x:v>
      </x:c>
      <x:c r="D121" s="83" t="n">
        <x:v>458.71</x:v>
      </x:c>
      <x:c r="E121" s="83" t="n">
        <x:v>4495.11</x:v>
      </x:c>
      <x:c r="F121" s="84" t="n">
        <x:v>4.5</x:v>
      </x:c>
      <x:c r="G121" s="84" t="n">
        <x:v>0.13</x:v>
      </x:c>
      <x:c r="H121" s="84" t="n">
        <x:v>4.37</x:v>
      </x:c>
      <x:c r="I121" s="85" t="n">
        <x:v>-3128.173274</x:v>
      </x:c>
      <x:c r="J121" s="84" t="n">
        <x:v>2.717291316</x:v>
      </x:c>
      <x:c r="K121" s="84" t="n">
        <x:v>108.1235682</x:v>
      </x:c>
      <x:c r="L121" s="84" t="n">
        <x:v>14.35272727</x:v>
      </x:c>
      <x:c r="M121" s="84" t="n">
        <x:v>115.13</x:v>
      </x:c>
      <x:c r="N121" s="86" t="n">
        <x:v>0</x:v>
      </x:c>
      <x:c r="O121" s="1"/>
      <x:c r="P121" s="1"/>
      <x:c r="Q121" s="1"/>
      <x:c r="R121" s="1"/>
      <x:c r="S121" s="1"/>
      <x:c r="T121" s="1"/>
      <x:c r="U121" s="1"/>
      <x:c r="V121" s="1"/>
      <x:c r="W121" s="1"/>
      <x:c r="X121" s="1"/>
      <x:c r="Y121" s="1"/>
      <x:c r="Z121" s="1"/>
    </x:row>
    <x:row r="122">
      <x:c r="A122" s="72" t="str">
        <x:v>2015-08</x:v>
      </x:c>
      <x:c r="B122" s="83" t="n">
        <x:v>3012.587419</x:v>
      </x:c>
      <x:c r="C122" s="83" t="n">
        <x:v>46.515</x:v>
      </x:c>
      <x:c r="D122" s="83" t="n">
        <x:v>502.15</x:v>
      </x:c>
      <x:c r="E122" s="83" t="n">
        <x:v>4682</x:v>
      </x:c>
      <x:c r="F122" s="84" t="n">
        <x:v>4.5</x:v>
      </x:c>
      <x:c r="G122" s="84" t="n">
        <x:v>0.14</x:v>
      </x:c>
      <x:c r="H122" s="84" t="n">
        <x:v>4.36</x:v>
      </x:c>
      <x:c r="I122" s="85" t="n">
        <x:v>-4192.1143</x:v>
      </x:c>
      <x:c r="J122" s="84" t="n">
        <x:v>2.536322549</x:v>
      </x:c>
      <x:c r="K122" s="84" t="n">
        <x:v>109.9767476</x:v>
      </x:c>
      <x:c r="L122" s="84" t="n">
        <x:v>19.42809524</x:v>
      </x:c>
      <x:c r="M122" s="84" t="n">
        <x:v>105.94</x:v>
      </x:c>
      <x:c r="N122" s="86" t="n">
        <x:v>0</x:v>
      </x:c>
      <x:c r="O122" s="1"/>
      <x:c r="P122" s="1"/>
      <x:c r="Q122" s="1"/>
      <x:c r="R122" s="1"/>
      <x:c r="S122" s="1"/>
      <x:c r="T122" s="1"/>
      <x:c r="U122" s="1"/>
      <x:c r="V122" s="1"/>
      <x:c r="W122" s="1"/>
      <x:c r="X122" s="1"/>
      <x:c r="Y122" s="1"/>
      <x:c r="Z122" s="1"/>
    </x:row>
    <x:row r="123">
      <x:c r="A123" s="72" t="str">
        <x:v>2015-09</x:v>
      </x:c>
      <x:c r="B123" s="83" t="n">
        <x:v>3066.408</x:v>
      </x:c>
      <x:c r="C123" s="83" t="n">
        <x:v>47.62318182</x:v>
      </x:c>
      <x:c r="D123" s="83" t="n">
        <x:v>451.97</x:v>
      </x:c>
      <x:c r="E123" s="83" t="n">
        <x:v>4790.69</x:v>
      </x:c>
      <x:c r="F123" s="84" t="n">
        <x:v>4.525</x:v>
      </x:c>
      <x:c r="G123" s="84" t="n">
        <x:v>0.14</x:v>
      </x:c>
      <x:c r="H123" s="84" t="n">
        <x:v>4.385</x:v>
      </x:c>
      <x:c r="I123" s="85" t="n">
        <x:v>1423.223087</x:v>
      </x:c>
      <x:c r="J123" s="84" t="n">
        <x:v>2.766922547</x:v>
      </x:c>
      <x:c r="K123" s="84" t="n">
        <x:v>110.8512571</x:v>
      </x:c>
      <x:c r="L123" s="84" t="n">
        <x:v>24.37714286</x:v>
      </x:c>
      <x:c r="M123" s="84" t="n">
        <x:v>106.31</x:v>
      </x:c>
      <x:c r="N123" s="86" t="n">
        <x:v>0</x:v>
      </x:c>
      <x:c r="O123" s="1"/>
      <x:c r="P123" s="1"/>
      <x:c r="Q123" s="1"/>
      <x:c r="R123" s="1"/>
      <x:c r="S123" s="1"/>
      <x:c r="T123" s="1"/>
      <x:c r="U123" s="1"/>
      <x:c r="V123" s="1"/>
      <x:c r="W123" s="1"/>
      <x:c r="X123" s="1"/>
      <x:c r="Y123" s="1"/>
      <x:c r="Z123" s="1"/>
    </x:row>
    <x:row r="124">
      <x:c r="A124" s="72" t="str">
        <x:v>2015-10</x:v>
      </x:c>
      <x:c r="B124" s="83" t="n">
        <x:v>2929.472258</x:v>
      </x:c>
      <x:c r="C124" s="83" t="n">
        <x:v>48.43</x:v>
      </x:c>
      <x:c r="D124" s="83" t="n">
        <x:v>388.73</x:v>
      </x:c>
      <x:c r="E124" s="83" t="n">
        <x:v>4830.17</x:v>
      </x:c>
      <x:c r="F124" s="84" t="n">
        <x:v>4.75</x:v>
      </x:c>
      <x:c r="G124" s="84" t="n">
        <x:v>0.12</x:v>
      </x:c>
      <x:c r="H124" s="84" t="n">
        <x:v>4.63</x:v>
      </x:c>
      <x:c r="I124" s="85" t="n">
        <x:v>-3817.656829</x:v>
      </x:c>
      <x:c r="J124" s="84" t="n">
        <x:v>2.80153607</x:v>
      </x:c>
      <x:c r="K124" s="84" t="n">
        <x:v>109.9035714</x:v>
      </x:c>
      <x:c r="L124" s="84" t="n">
        <x:v>16.78954545</x:v>
      </x:c>
      <x:c r="M124" s="84" t="n">
        <x:v>105.08</x:v>
      </x:c>
      <x:c r="N124" s="86" t="n">
        <x:v>0</x:v>
      </x:c>
      <x:c r="O124" s="1"/>
      <x:c r="P124" s="1"/>
      <x:c r="Q124" s="1"/>
      <x:c r="R124" s="1"/>
      <x:c r="S124" s="1"/>
      <x:c r="T124" s="1"/>
      <x:c r="U124" s="1"/>
      <x:c r="V124" s="1"/>
      <x:c r="W124" s="1"/>
      <x:c r="X124" s="1"/>
      <x:c r="Y124" s="1"/>
      <x:c r="Z124" s="1"/>
    </x:row>
    <x:row r="125">
      <x:c r="A125" s="72" t="str">
        <x:v>2015-11</x:v>
      </x:c>
      <x:c r="B125" s="83" t="n">
        <x:v>3001.376333</x:v>
      </x:c>
      <x:c r="C125" s="83" t="n">
        <x:v>44.26761905</x:v>
      </x:c>
      <x:c r="D125" s="83" t="n">
        <x:v>399</x:v>
      </x:c>
      <x:c r="E125" s="83" t="n">
        <x:v>4904.97</x:v>
      </x:c>
      <x:c r="F125" s="84" t="n">
        <x:v>5.225</x:v>
      </x:c>
      <x:c r="G125" s="84" t="n">
        <x:v>0.12</x:v>
      </x:c>
      <x:c r="H125" s="84" t="n">
        <x:v>5.105</x:v>
      </x:c>
      <x:c r="I125" s="85" t="n">
        <x:v>-2772.118317</x:v>
      </x:c>
      <x:c r="J125" s="84" t="n">
        <x:v>2.981295634</x:v>
      </x:c>
      <x:c r="K125" s="84" t="n">
        <x:v>111.6916105</x:v>
      </x:c>
      <x:c r="L125" s="84" t="n">
        <x:v>16.21</x:v>
      </x:c>
      <x:c r="M125" s="84" t="n">
        <x:v>102.93</x:v>
      </x:c>
      <x:c r="N125" s="86" t="n">
        <x:v>0</x:v>
      </x:c>
      <x:c r="O125" s="1"/>
      <x:c r="P125" s="1"/>
      <x:c r="Q125" s="1"/>
      <x:c r="R125" s="1"/>
      <x:c r="S125" s="1"/>
      <x:c r="T125" s="1"/>
      <x:c r="U125" s="1"/>
      <x:c r="V125" s="1"/>
      <x:c r="W125" s="1"/>
      <x:c r="X125" s="1"/>
      <x:c r="Y125" s="1"/>
      <x:c r="Z125" s="1"/>
    </x:row>
    <x:row r="126">
      <x:c r="A126" s="72" t="str">
        <x:v>2015-12</x:v>
      </x:c>
      <x:c r="B126" s="83" t="n">
        <x:v>3244.201613</x:v>
      </x:c>
      <x:c r="C126" s="83" t="n">
        <x:v>38.00545455</x:v>
      </x:c>
      <x:c r="D126" s="83" t="n">
        <x:v>497.4</x:v>
      </x:c>
      <x:c r="E126" s="83" t="n">
        <x:v>4957.4</x:v>
      </x:c>
      <x:c r="F126" s="84" t="n">
        <x:v>5.588709677</x:v>
      </x:c>
      <x:c r="G126" s="84" t="n">
        <x:v>0.24</x:v>
      </x:c>
      <x:c r="H126" s="84" t="n">
        <x:v>5.348709677</x:v>
      </x:c>
      <x:c r="I126" s="85" t="n">
        <x:v>-9795.834233</x:v>
      </x:c>
      <x:c r="J126" s="84" t="n">
        <x:v>3.015885516</x:v>
      </x:c>
      <x:c r="K126" s="84" t="n">
        <x:v>112.7857409</x:v>
      </x:c>
      <x:c r="L126" s="84" t="n">
        <x:v>18.02545455</x:v>
      </x:c>
      <x:c r="M126" s="84" t="n">
        <x:v>95.82</x:v>
      </x:c>
      <x:c r="N126" s="86" t="n">
        <x:v>0</x:v>
      </x:c>
      <x:c r="O126" s="1"/>
      <x:c r="P126" s="1"/>
      <x:c r="Q126" s="1"/>
      <x:c r="R126" s="1"/>
      <x:c r="S126" s="1"/>
      <x:c r="T126" s="1"/>
      <x:c r="U126" s="1"/>
      <x:c r="V126" s="1"/>
      <x:c r="W126" s="1"/>
      <x:c r="X126" s="1"/>
      <x:c r="Y126" s="1"/>
      <x:c r="Z126" s="1"/>
    </x:row>
    <x:row r="127">
      <x:c r="A127" s="72" t="str">
        <x:v>2016-01</x:v>
      </x:c>
      <x:c r="B127" s="83" t="n">
        <x:v>3270.195161</x:v>
      </x:c>
      <x:c r="C127" s="83" t="n">
        <x:v>30.6995</x:v>
      </x:c>
      <x:c r="D127" s="83" t="n">
        <x:v>409.29</x:v>
      </x:c>
      <x:c r="E127" s="83" t="n">
        <x:v>5017.69</x:v>
      </x:c>
      <x:c r="F127" s="84" t="n">
        <x:v>5.75</x:v>
      </x:c>
      <x:c r="G127" s="84" t="n">
        <x:v>0.34</x:v>
      </x:c>
      <x:c r="H127" s="84" t="n">
        <x:v>5.41</x:v>
      </x:c>
      <x:c r="I127" s="85" t="n">
        <x:v>1561.154616</x:v>
      </x:c>
      <x:c r="J127" s="84" t="n">
        <x:v>3.113369713</x:v>
      </x:c>
      <x:c r="K127" s="84" t="n">
        <x:v>115.2343875</x:v>
      </x:c>
      <x:c r="L127" s="84" t="n">
        <x:v>23.71789474</x:v>
      </x:c>
      <x:c r="M127" s="84" t="n">
        <x:v>86.25</x:v>
      </x:c>
      <x:c r="N127" s="86" t="n">
        <x:v>0</x:v>
      </x:c>
      <x:c r="O127" s="1"/>
      <x:c r="P127" s="1"/>
      <x:c r="Q127" s="1"/>
      <x:c r="R127" s="1"/>
      <x:c r="S127" s="1"/>
      <x:c r="T127" s="1"/>
      <x:c r="U127" s="1"/>
      <x:c r="V127" s="1"/>
      <x:c r="W127" s="1"/>
      <x:c r="X127" s="1"/>
      <x:c r="Y127" s="1"/>
      <x:c r="Z127" s="1"/>
    </x:row>
    <x:row r="128">
      <x:c r="A128" s="72" t="str">
        <x:v>2016-02</x:v>
      </x:c>
      <x:c r="B128" s="83" t="n">
        <x:v>3354.956897</x:v>
      </x:c>
      <x:c r="C128" s="83" t="n">
        <x:v>32.1815</x:v>
      </x:c>
      <x:c r="D128" s="83" t="n">
        <x:v>451.42</x:v>
      </x:c>
      <x:c r="E128" s="83" t="n">
        <x:v>5107.15</x:v>
      </x:c>
      <x:c r="F128" s="84" t="n">
        <x:v>6.068965517</x:v>
      </x:c>
      <x:c r="G128" s="84" t="n">
        <x:v>0.38</x:v>
      </x:c>
      <x:c r="H128" s="84" t="n">
        <x:v>5.688965517</x:v>
      </x:c>
      <x:c r="I128" s="85" t="n">
        <x:v>-5524.624035</x:v>
      </x:c>
      <x:c r="J128" s="84" t="n">
        <x:v>3.414282317</x:v>
      </x:c>
      <x:c r="K128" s="84" t="n">
        <x:v>114.281735</x:v>
      </x:c>
      <x:c r="L128" s="84" t="n">
        <x:v>22.517</x:v>
      </x:c>
      <x:c r="M128" s="84" t="n">
        <x:v>94.13</x:v>
      </x:c>
      <x:c r="N128" s="86" t="n">
        <x:v>0</x:v>
      </x:c>
      <x:c r="O128" s="1"/>
      <x:c r="P128" s="1"/>
      <x:c r="Q128" s="1"/>
      <x:c r="R128" s="1"/>
      <x:c r="S128" s="1"/>
      <x:c r="T128" s="1"/>
      <x:c r="U128" s="1"/>
      <x:c r="V128" s="1"/>
      <x:c r="W128" s="1"/>
      <x:c r="X128" s="1"/>
      <x:c r="Y128" s="1"/>
      <x:c r="Z128" s="1"/>
    </x:row>
    <x:row r="129">
      <x:c r="A129" s="72" t="str">
        <x:v>2016-03</x:v>
      </x:c>
      <x:c r="B129" s="83" t="n">
        <x:v>3128.789032</x:v>
      </x:c>
      <x:c r="C129" s="83" t="n">
        <x:v>38.21045455</x:v>
      </x:c>
      <x:c r="D129" s="83" t="n">
        <x:v>414.88</x:v>
      </x:c>
      <x:c r="E129" s="83" t="n">
        <x:v>5086.09</x:v>
      </x:c>
      <x:c r="F129" s="84" t="n">
        <x:v>6.330645161</x:v>
      </x:c>
      <x:c r="G129" s="84" t="n">
        <x:v>0.36</x:v>
      </x:c>
      <x:c r="H129" s="84" t="n">
        <x:v>5.970645161</x:v>
      </x:c>
      <x:c r="I129" s="85" t="n">
        <x:v>-3048.225588</x:v>
      </x:c>
      <x:c r="J129" s="84" t="n">
        <x:v>3.253348464</x:v>
      </x:c>
      <x:c r="K129" s="84" t="n">
        <x:v>111.8933913</x:v>
      </x:c>
      <x:c r="L129" s="84" t="n">
        <x:v>15.84909091</x:v>
      </x:c>
      <x:c r="M129" s="84" t="n">
        <x:v>103.64</x:v>
      </x:c>
      <x:c r="N129" s="86" t="n">
        <x:v>0</x:v>
      </x:c>
      <x:c r="O129" s="1"/>
      <x:c r="P129" s="1"/>
      <x:c r="Q129" s="1"/>
      <x:c r="R129" s="1"/>
      <x:c r="S129" s="1"/>
      <x:c r="T129" s="1"/>
      <x:c r="U129" s="1"/>
      <x:c r="V129" s="1"/>
      <x:c r="W129" s="1"/>
      <x:c r="X129" s="1"/>
      <x:c r="Y129" s="1"/>
      <x:c r="Z129" s="1"/>
    </x:row>
    <x:row r="130">
      <x:c r="A130" s="72" t="str">
        <x:v>2016-04</x:v>
      </x:c>
      <x:c r="B130" s="83" t="n">
        <x:v>2997.727</x:v>
      </x:c>
      <x:c r="C130" s="83" t="n">
        <x:v>41.58333333</x:v>
      </x:c>
      <x:c r="D130" s="83" t="n">
        <x:v>399.76</x:v>
      </x:c>
      <x:c r="E130" s="83" t="n">
        <x:v>5132.99</x:v>
      </x:c>
      <x:c r="F130" s="84" t="n">
        <x:v>6.5</x:v>
      </x:c>
      <x:c r="G130" s="84" t="n">
        <x:v>0.37</x:v>
      </x:c>
      <x:c r="H130" s="84" t="n">
        <x:v>6.13</x:v>
      </x:c>
      <x:c r="I130" s="85" t="n">
        <x:v>-441.2978213</x:v>
      </x:c>
      <x:c r="J130" s="84" t="n">
        <x:v>3.567805895</x:v>
      </x:c>
      <x:c r="K130" s="84" t="n">
        <x:v>110.0170762</x:v>
      </x:c>
      <x:c r="L130" s="84" t="n">
        <x:v>14.30047619</x:v>
      </x:c>
      <x:c r="M130" s="84" t="n">
        <x:v>105.85</x:v>
      </x:c>
      <x:c r="N130" s="86" t="n">
        <x:v>0</x:v>
      </x:c>
      <x:c r="O130" s="1"/>
      <x:c r="P130" s="1"/>
      <x:c r="Q130" s="1"/>
      <x:c r="R130" s="1"/>
      <x:c r="S130" s="1"/>
      <x:c r="T130" s="1"/>
      <x:c r="U130" s="1"/>
      <x:c r="V130" s="1"/>
      <x:c r="W130" s="1"/>
      <x:c r="X130" s="1"/>
      <x:c r="Y130" s="1"/>
      <x:c r="Z130" s="1"/>
    </x:row>
    <x:row r="131">
      <x:c r="A131" s="72" t="str">
        <x:v>2016-05</x:v>
      </x:c>
      <x:c r="B131" s="83" t="n">
        <x:v>2993.508387</x:v>
      </x:c>
      <x:c r="C131" s="83" t="n">
        <x:v>46.74238095</x:v>
      </x:c>
      <x:c r="D131" s="83" t="n">
        <x:v>433.51</x:v>
      </x:c>
      <x:c r="E131" s="83" t="n">
        <x:v>5203.8</x:v>
      </x:c>
      <x:c r="F131" s="84" t="n">
        <x:v>6.991935484</x:v>
      </x:c>
      <x:c r="G131" s="84" t="n">
        <x:v>0.37</x:v>
      </x:c>
      <x:c r="H131" s="84" t="n">
        <x:v>6.621935484</x:v>
      </x:c>
      <x:c r="I131" s="85" t="n">
        <x:v>294.7500988</x:v>
      </x:c>
      <x:c r="J131" s="84" t="n">
        <x:v>3.634494068</x:v>
      </x:c>
      <x:c r="K131" s="84" t="n">
        <x:v>111.1405143</x:v>
      </x:c>
      <x:c r="L131" s="84" t="n">
        <x:v>14.85285714</x:v>
      </x:c>
      <x:c r="M131" s="84" t="n">
        <x:v>112.65</x:v>
      </x:c>
      <x:c r="N131" s="86" t="n">
        <x:v>0</x:v>
      </x:c>
      <x:c r="O131" s="1"/>
      <x:c r="P131" s="1"/>
      <x:c r="Q131" s="1"/>
      <x:c r="R131" s="1"/>
      <x:c r="S131" s="1"/>
      <x:c r="T131" s="1"/>
      <x:c r="U131" s="1"/>
      <x:c r="V131" s="1"/>
      <x:c r="W131" s="1"/>
      <x:c r="X131" s="1"/>
      <x:c r="Y131" s="1"/>
      <x:c r="Z131" s="1"/>
    </x:row>
    <x:row r="132">
      <x:c r="A132" s="72" t="str">
        <x:v>2016-06</x:v>
      </x:c>
      <x:c r="B132" s="83" t="n">
        <x:v>2992.858667</x:v>
      </x:c>
      <x:c r="C132" s="83" t="n">
        <x:v>48.24727273</x:v>
      </x:c>
      <x:c r="D132" s="83" t="n">
        <x:v>404.3</x:v>
      </x:c>
      <x:c r="E132" s="83" t="n">
        <x:v>5211.12</x:v>
      </x:c>
      <x:c r="F132" s="84" t="n">
        <x:v>7.316666667</x:v>
      </x:c>
      <x:c r="G132" s="84" t="n">
        <x:v>0.38</x:v>
      </x:c>
      <x:c r="H132" s="84" t="n">
        <x:v>6.936666667</x:v>
      </x:c>
      <x:c r="I132" s="85" t="n">
        <x:v>-1564.24087</x:v>
      </x:c>
      <x:c r="J132" s="84" t="n">
        <x:v>3.589465567</x:v>
      </x:c>
      <x:c r="K132" s="84" t="n">
        <x:v>111.5596273</x:v>
      </x:c>
      <x:c r="L132" s="84" t="n">
        <x:v>17.77454545</x:v>
      </x:c>
      <x:c r="M132" s="84" t="n">
        <x:v>115.06</x:v>
      </x:c>
      <x:c r="N132" s="86" t="n">
        <x:v>0</x:v>
      </x:c>
      <x:c r="O132" s="1"/>
      <x:c r="P132" s="1"/>
      <x:c r="Q132" s="1"/>
      <x:c r="R132" s="1"/>
      <x:c r="S132" s="1"/>
      <x:c r="T132" s="1"/>
      <x:c r="U132" s="1"/>
      <x:c r="V132" s="1"/>
      <x:c r="W132" s="1"/>
      <x:c r="X132" s="1"/>
      <x:c r="Y132" s="1"/>
      <x:c r="Z132" s="1"/>
    </x:row>
    <x:row r="133">
      <x:c r="A133" s="72" t="str">
        <x:v>2016-07</x:v>
      </x:c>
      <x:c r="B133" s="83" t="n">
        <x:v>2960.999677</x:v>
      </x:c>
      <x:c r="C133" s="83" t="n">
        <x:v>44.95190476</x:v>
      </x:c>
      <x:c r="D133" s="83" t="n">
        <x:v>399.62</x:v>
      </x:c>
      <x:c r="E133" s="83" t="n">
        <x:v>5152.03</x:v>
      </x:c>
      <x:c r="F133" s="84" t="n">
        <x:v>7.5</x:v>
      </x:c>
      <x:c r="G133" s="84" t="n">
        <x:v>0.39</x:v>
      </x:c>
      <x:c r="H133" s="84" t="n">
        <x:v>7.11</x:v>
      </x:c>
      <x:c r="I133" s="85" t="n">
        <x:v>-6505.047012</x:v>
      </x:c>
      <x:c r="J133" s="84" t="n">
        <x:v>3.980406075</x:v>
      </x:c>
      <x:c r="K133" s="84" t="n">
        <x:v>112.47729</x:v>
      </x:c>
      <x:c r="L133" s="84" t="n">
        <x:v>13.1585</x:v>
      </x:c>
      <x:c r="M133" s="84" t="n">
        <x:v>111.35</x:v>
      </x:c>
      <x:c r="N133" s="86" t="n">
        <x:v>0</x:v>
      </x:c>
      <x:c r="O133" s="1"/>
      <x:c r="P133" s="1"/>
      <x:c r="Q133" s="1"/>
      <x:c r="R133" s="1"/>
      <x:c r="S133" s="1"/>
      <x:c r="T133" s="1"/>
      <x:c r="U133" s="1"/>
      <x:c r="V133" s="1"/>
      <x:c r="W133" s="1"/>
      <x:c r="X133" s="1"/>
      <x:c r="Y133" s="1"/>
      <x:c r="Z133" s="1"/>
    </x:row>
    <x:row r="134">
      <x:c r="A134" s="72" t="str">
        <x:v>2016-08</x:v>
      </x:c>
      <x:c r="B134" s="83" t="n">
        <x:v>2952.766774</x:v>
      </x:c>
      <x:c r="C134" s="83" t="n">
        <x:v>45.84304348</x:v>
      </x:c>
      <x:c r="D134" s="83" t="n">
        <x:v>453.21</x:v>
      </x:c>
      <x:c r="E134" s="83" t="n">
        <x:v>5103.09</x:v>
      </x:c>
      <x:c r="F134" s="84" t="n">
        <x:v>7.75</x:v>
      </x:c>
      <x:c r="G134" s="84" t="n">
        <x:v>0.4</x:v>
      </x:c>
      <x:c r="H134" s="84" t="n">
        <x:v>7.35</x:v>
      </x:c>
      <x:c r="I134" s="85" t="n">
        <x:v>-6591.676449</x:v>
      </x:c>
      <x:c r="J134" s="84" t="n">
        <x:v>4.258203268</x:v>
      </x:c>
      <x:c r="K134" s="84" t="n">
        <x:v>111.4383696</x:v>
      </x:c>
      <x:c r="L134" s="84" t="n">
        <x:v>12.39956522</x:v>
      </x:c>
      <x:c r="M134" s="84" t="n">
        <x:v>113.12</x:v>
      </x:c>
      <x:c r="N134" s="86" t="n">
        <x:v>0</x:v>
      </x:c>
      <x:c r="O134" s="1"/>
      <x:c r="P134" s="1"/>
      <x:c r="Q134" s="1"/>
      <x:c r="R134" s="1"/>
      <x:c r="S134" s="1"/>
      <x:c r="T134" s="1"/>
      <x:c r="U134" s="1"/>
      <x:c r="V134" s="1"/>
      <x:c r="W134" s="1"/>
      <x:c r="X134" s="1"/>
      <x:c r="Y134" s="1"/>
      <x:c r="Z134" s="1"/>
    </x:row>
    <x:row r="135">
      <x:c r="A135" s="72" t="str">
        <x:v>2016-09</x:v>
      </x:c>
      <x:c r="B135" s="83" t="n">
        <x:v>2924.265333</x:v>
      </x:c>
      <x:c r="C135" s="83" t="n">
        <x:v>46.56772727</x:v>
      </x:c>
      <x:c r="D135" s="83" t="n">
        <x:v>413.45</x:v>
      </x:c>
      <x:c r="E135" s="83" t="n">
        <x:v>5064.57</x:v>
      </x:c>
      <x:c r="F135" s="84" t="n">
        <x:v>7.75</x:v>
      </x:c>
      <x:c r="G135" s="84" t="n">
        <x:v>0.4</x:v>
      </x:c>
      <x:c r="H135" s="84" t="n">
        <x:v>7.35</x:v>
      </x:c>
      <x:c r="I135" s="85" t="n">
        <x:v>117.3548369</x:v>
      </x:c>
      <x:c r="J135" s="84" t="n">
        <x:v>4.409383572</x:v>
      </x:c>
      <x:c r="K135" s="84" t="n">
        <x:v>112.3168619</x:v>
      </x:c>
      <x:c r="L135" s="84" t="n">
        <x:v>14.21952381</x:v>
      </x:c>
      <x:c r="M135" s="84" t="n">
        <x:v>113.7</x:v>
      </x:c>
      <x:c r="N135" s="86" t="n">
        <x:v>0</x:v>
      </x:c>
      <x:c r="O135" s="1"/>
      <x:c r="P135" s="1"/>
      <x:c r="Q135" s="1"/>
      <x:c r="R135" s="1"/>
      <x:c r="S135" s="1"/>
      <x:c r="T135" s="1"/>
      <x:c r="U135" s="1"/>
      <x:c r="V135" s="1"/>
      <x:c r="W135" s="1"/>
      <x:c r="X135" s="1"/>
      <x:c r="Y135" s="1"/>
      <x:c r="Z135" s="1"/>
    </x:row>
    <x:row r="136">
      <x:c r="A136" s="72" t="str">
        <x:v>2016-10</x:v>
      </x:c>
      <x:c r="B136" s="83" t="n">
        <x:v>2929.38871</x:v>
      </x:c>
      <x:c r="C136" s="83" t="n">
        <x:v>49.52238095</x:v>
      </x:c>
      <x:c r="D136" s="83" t="n">
        <x:v>422.42</x:v>
      </x:c>
      <x:c r="E136" s="83" t="n">
        <x:v>5098.26</x:v>
      </x:c>
      <x:c r="F136" s="84" t="n">
        <x:v>7.75</x:v>
      </x:c>
      <x:c r="G136" s="84" t="n">
        <x:v>0.4</x:v>
      </x:c>
      <x:c r="H136" s="84" t="n">
        <x:v>7.35</x:v>
      </x:c>
      <x:c r="I136" s="85" t="n">
        <x:v>-4751.099336</x:v>
      </x:c>
      <x:c r="J136" s="84" t="n">
        <x:v>4.517448165</x:v>
      </x:c>
      <x:c r="K136" s="84" t="n">
        <x:v>113.474695</x:v>
      </x:c>
      <x:c r="L136" s="84" t="n">
        <x:v>14.5852381</x:v>
      </x:c>
      <x:c r="M136" s="84" t="n">
        <x:v>118.75</x:v>
      </x:c>
      <x:c r="N136" s="86" t="n">
        <x:v>0</x:v>
      </x:c>
      <x:c r="O136" s="1"/>
      <x:c r="P136" s="1"/>
      <x:c r="Q136" s="1"/>
      <x:c r="R136" s="1"/>
      <x:c r="S136" s="1"/>
      <x:c r="T136" s="1"/>
      <x:c r="U136" s="1"/>
      <x:c r="V136" s="1"/>
      <x:c r="W136" s="1"/>
      <x:c r="X136" s="1"/>
      <x:c r="Y136" s="1"/>
      <x:c r="Z136" s="1"/>
    </x:row>
    <x:row r="137">
      <x:c r="A137" s="72" t="str">
        <x:v>2016-11</x:v>
      </x:c>
      <x:c r="B137" s="83" t="n">
        <x:v>3110.258667</x:v>
      </x:c>
      <x:c r="C137" s="83" t="n">
        <x:v>44.73409091</x:v>
      </x:c>
      <x:c r="D137" s="83" t="n">
        <x:v>478.31</x:v>
      </x:c>
      <x:c r="E137" s="83" t="n">
        <x:v>5177.57</x:v>
      </x:c>
      <x:c r="F137" s="84" t="n">
        <x:v>7.75</x:v>
      </x:c>
      <x:c r="G137" s="84" t="n">
        <x:v>0.41</x:v>
      </x:c>
      <x:c r="H137" s="84" t="n">
        <x:v>7.34</x:v>
      </x:c>
      <x:c r="I137" s="85" t="n">
        <x:v>-4847.143896</x:v>
      </x:c>
      <x:c r="J137" s="84" t="n">
        <x:v>4.757673775</x:v>
      </x:c>
      <x:c r="K137" s="84" t="n">
        <x:v>116.107515</x:v>
      </x:c>
      <x:c r="L137" s="84" t="n">
        <x:v>15.23619048</x:v>
      </x:c>
      <x:c r="M137" s="84" t="n">
        <x:v>116.04</x:v>
      </x:c>
      <x:c r="N137" s="86" t="n">
        <x:v>0</x:v>
      </x:c>
      <x:c r="O137" s="1"/>
      <x:c r="P137" s="1"/>
      <x:c r="Q137" s="1"/>
      <x:c r="R137" s="1"/>
      <x:c r="S137" s="1"/>
      <x:c r="T137" s="1"/>
      <x:c r="U137" s="1"/>
      <x:c r="V137" s="1"/>
      <x:c r="W137" s="1"/>
      <x:c r="X137" s="1"/>
      <x:c r="Y137" s="1"/>
      <x:c r="Z137" s="1"/>
    </x:row>
    <x:row r="138">
      <x:c r="A138" s="72" t="str">
        <x:v>2016-12</x:v>
      </x:c>
      <x:c r="B138" s="83" t="n">
        <x:v>3009.863871</x:v>
      </x:c>
      <x:c r="C138" s="83" t="n">
        <x:v>53.3085</x:v>
      </x:c>
      <x:c r="D138" s="83" t="n">
        <x:v>467.3</x:v>
      </x:c>
      <x:c r="E138" s="83" t="n">
        <x:v>5147.47</x:v>
      </x:c>
      <x:c r="F138" s="84" t="n">
        <x:v>7.64516129</x:v>
      </x:c>
      <x:c r="G138" s="84" t="n">
        <x:v>0.54</x:v>
      </x:c>
      <x:c r="H138" s="84" t="n">
        <x:v>7.10516129</x:v>
      </x:c>
      <x:c r="I138" s="85" t="n">
        <x:v>-3625.232331</x:v>
      </x:c>
      <x:c r="J138" s="84" t="n">
        <x:v>4.043303494</x:v>
      </x:c>
      <x:c r="K138" s="84" t="n">
        <x:v>117.9048286</x:v>
      </x:c>
      <x:c r="L138" s="84" t="n">
        <x:v>12.47238095</x:v>
      </x:c>
      <x:c r="M138" s="84" t="n">
        <x:v>122.86</x:v>
      </x:c>
      <x:c r="N138" s="86" t="n">
        <x:v>0</x:v>
      </x:c>
      <x:c r="O138" s="1"/>
      <x:c r="P138" s="1"/>
      <x:c r="Q138" s="1"/>
      <x:c r="R138" s="1"/>
      <x:c r="S138" s="1"/>
      <x:c r="T138" s="1"/>
      <x:c r="U138" s="1"/>
      <x:c r="V138" s="1"/>
      <x:c r="W138" s="1"/>
      <x:c r="X138" s="1"/>
      <x:c r="Y138" s="1"/>
      <x:c r="Z138" s="1"/>
    </x:row>
    <x:row r="139">
      <x:c r="A139" s="72" t="str">
        <x:v>2017-01</x:v>
      </x:c>
      <x:c r="B139" s="83" t="n">
        <x:v>2941.399355</x:v>
      </x:c>
      <x:c r="C139" s="83" t="n">
        <x:v>54.57666667</x:v>
      </x:c>
      <x:c r="D139" s="83" t="n">
        <x:v>436.51</x:v>
      </x:c>
      <x:c r="E139" s="83" t="n">
        <x:v>5174.69</x:v>
      </x:c>
      <x:c r="F139" s="84" t="n">
        <x:v>7.5</x:v>
      </x:c>
      <x:c r="G139" s="84" t="n">
        <x:v>0.65</x:v>
      </x:c>
      <x:c r="H139" s="84" t="n">
        <x:v>6.85</x:v>
      </x:c>
      <x:c r="I139" s="85" t="n">
        <x:v>-257.4366851</x:v>
      </x:c>
      <x:c r="J139" s="84" t="n">
        <x:v>3.99186059</x:v>
      </x:c>
      <x:c r="K139" s="84" t="n">
        <x:v>117.7857789</x:v>
      </x:c>
      <x:c r="L139" s="84" t="n">
        <x:v>11.6085</x:v>
      </x:c>
      <x:c r="M139" s="84" t="n">
        <x:v>129.46</x:v>
      </x:c>
      <x:c r="N139" s="86" t="n">
        <x:v>0</x:v>
      </x:c>
      <x:c r="O139" s="1"/>
      <x:c r="P139" s="1"/>
      <x:c r="Q139" s="1"/>
      <x:c r="R139" s="1"/>
      <x:c r="S139" s="1"/>
      <x:c r="T139" s="1"/>
      <x:c r="U139" s="1"/>
      <x:c r="V139" s="1"/>
      <x:c r="W139" s="1"/>
      <x:c r="X139" s="1"/>
      <x:c r="Y139" s="1"/>
      <x:c r="Z139" s="1"/>
    </x:row>
    <x:row r="140">
      <x:c r="A140" s="72" t="str">
        <x:v>2017-02</x:v>
      </x:c>
      <x:c r="B140" s="83" t="n">
        <x:v>2879.566786</x:v>
      </x:c>
      <x:c r="C140" s="83" t="n">
        <x:v>54.8695</x:v>
      </x:c>
      <x:c r="D140" s="83" t="n">
        <x:v>392.88</x:v>
      </x:c>
      <x:c r="E140" s="83" t="n">
        <x:v>5116.15</x:v>
      </x:c>
      <x:c r="F140" s="84" t="n">
        <x:v>7.482142857</x:v>
      </x:c>
      <x:c r="G140" s="84" t="n">
        <x:v>0.66</x:v>
      </x:c>
      <x:c r="H140" s="84" t="n">
        <x:v>6.822142857</x:v>
      </x:c>
      <x:c r="I140" s="85" t="n">
        <x:v>-6420.920022</x:v>
      </x:c>
      <x:c r="J140" s="84" t="n">
        <x:v>4.089234215</x:v>
      </x:c>
      <x:c r="K140" s="84" t="n">
        <x:v>116.1203895</x:v>
      </x:c>
      <x:c r="L140" s="84" t="n">
        <x:v>11.53052632</x:v>
      </x:c>
      <x:c r="M140" s="84" t="n">
        <x:v>128.28</x:v>
      </x:c>
      <x:c r="N140" s="86" t="n">
        <x:v>0</x:v>
      </x:c>
      <x:c r="O140" s="1"/>
      <x:c r="P140" s="1"/>
      <x:c r="Q140" s="1"/>
      <x:c r="R140" s="1"/>
      <x:c r="S140" s="1"/>
      <x:c r="T140" s="1"/>
      <x:c r="U140" s="1"/>
      <x:c r="V140" s="1"/>
      <x:c r="W140" s="1"/>
      <x:c r="X140" s="1"/>
      <x:c r="Y140" s="1"/>
      <x:c r="Z140" s="1"/>
    </x:row>
    <x:row r="141">
      <x:c r="A141" s="72" t="str">
        <x:v>2017-03</x:v>
      </x:c>
      <x:c r="B141" s="83" t="n">
        <x:v>2942.286129</x:v>
      </x:c>
      <x:c r="C141" s="83" t="n">
        <x:v>51.58913043</x:v>
      </x:c>
      <x:c r="D141" s="83" t="n">
        <x:v>479.01</x:v>
      </x:c>
      <x:c r="E141" s="83" t="n">
        <x:v>5180.28</x:v>
      </x:c>
      <x:c r="F141" s="84" t="n">
        <x:v>7.209677419</x:v>
      </x:c>
      <x:c r="G141" s="84" t="n">
        <x:v>0.79</x:v>
      </x:c>
      <x:c r="H141" s="84" t="n">
        <x:v>6.419677419</x:v>
      </x:c>
      <x:c r="I141" s="85" t="n">
        <x:v>-4048.257913</x:v>
      </x:c>
      <x:c r="J141" s="84" t="n">
        <x:v>4.19787776</x:v>
      </x:c>
      <x:c r="K141" s="84" t="n">
        <x:v>115.6558478</x:v>
      </x:c>
      <x:c r="L141" s="84" t="n">
        <x:v>11.89782609</x:v>
      </x:c>
      <x:c r="M141" s="84" t="n">
        <x:v>124.5</x:v>
      </x:c>
      <x:c r="N141" s="86" t="n">
        <x:v>0</x:v>
      </x:c>
      <x:c r="O141" s="1"/>
      <x:c r="P141" s="1"/>
      <x:c r="Q141" s="1"/>
      <x:c r="R141" s="1"/>
      <x:c r="S141" s="1"/>
      <x:c r="T141" s="1"/>
      <x:c r="U141" s="1"/>
      <x:c r="V141" s="1"/>
      <x:c r="W141" s="1"/>
      <x:c r="X141" s="1"/>
      <x:c r="Y141" s="1"/>
      <x:c r="Z141" s="1"/>
    </x:row>
    <x:row r="142">
      <x:c r="A142" s="72" t="str">
        <x:v>2017-04</x:v>
      </x:c>
      <x:c r="B142" s="83" t="n">
        <x:v>2877.821667</x:v>
      </x:c>
      <x:c r="C142" s="83" t="n">
        <x:v>52.30789474</x:v>
      </x:c>
      <x:c r="D142" s="83" t="n">
        <x:v>401.64</x:v>
      </x:c>
      <x:c r="E142" s="83" t="n">
        <x:v>5182.16</x:v>
      </x:c>
      <x:c r="F142" s="84" t="n">
        <x:v>7</x:v>
      </x:c>
      <x:c r="G142" s="84" t="n">
        <x:v>0.9</x:v>
      </x:c>
      <x:c r="H142" s="84" t="n">
        <x:v>6.1</x:v>
      </x:c>
      <x:c r="I142" s="85" t="n">
        <x:v>1626.511029</x:v>
      </x:c>
      <x:c r="J142" s="84" t="n">
        <x:v>3.973230938</x:v>
      </x:c>
      <x:c r="K142" s="84" t="n">
        <x:v>114.769795</x:v>
      </x:c>
      <x:c r="L142" s="84" t="n">
        <x:v>13.13631579</x:v>
      </x:c>
      <x:c r="M142" s="84" t="n">
        <x:v>125.02</x:v>
      </x:c>
      <x:c r="N142" s="86" t="n">
        <x:v>0</x:v>
      </x:c>
      <x:c r="O142" s="1"/>
      <x:c r="P142" s="1"/>
      <x:c r="Q142" s="1"/>
      <x:c r="R142" s="1"/>
      <x:c r="S142" s="1"/>
      <x:c r="T142" s="1"/>
      <x:c r="U142" s="1"/>
      <x:c r="V142" s="1"/>
      <x:c r="W142" s="1"/>
      <x:c r="X142" s="1"/>
      <x:c r="Y142" s="1"/>
      <x:c r="Z142" s="1"/>
    </x:row>
    <x:row r="143">
      <x:c r="A143" s="72" t="str">
        <x:v>2017-05</x:v>
      </x:c>
      <x:c r="B143" s="83" t="n">
        <x:v>2923.612903</x:v>
      </x:c>
      <x:c r="C143" s="83" t="n">
        <x:v>50.32652174</x:v>
      </x:c>
      <x:c r="D143" s="83" t="n">
        <x:v>499.08</x:v>
      </x:c>
      <x:c r="E143" s="83" t="n">
        <x:v>5247.73</x:v>
      </x:c>
      <x:c r="F143" s="84" t="n">
        <x:v>6.5</x:v>
      </x:c>
      <x:c r="G143" s="84" t="n">
        <x:v>0.91</x:v>
      </x:c>
      <x:c r="H143" s="84" t="n">
        <x:v>5.59</x:v>
      </x:c>
      <x:c r="I143" s="85" t="n">
        <x:v>-53.32923461</x:v>
      </x:c>
      <x:c r="J143" s="84" t="n">
        <x:v>4.011046289</x:v>
      </x:c>
      <x:c r="K143" s="84" t="n">
        <x:v>114.2591318</x:v>
      </x:c>
      <x:c r="L143" s="84" t="n">
        <x:v>10.86227273</x:v>
      </x:c>
      <x:c r="M143" s="84" t="n">
        <x:v>123.74</x:v>
      </x:c>
      <x:c r="N143" s="86" t="n">
        <x:v>0</x:v>
      </x:c>
      <x:c r="O143" s="1"/>
      <x:c r="P143" s="1"/>
      <x:c r="Q143" s="1"/>
      <x:c r="R143" s="1"/>
      <x:c r="S143" s="1"/>
      <x:c r="T143" s="1"/>
      <x:c r="U143" s="1"/>
      <x:c r="V143" s="1"/>
      <x:c r="W143" s="1"/>
      <x:c r="X143" s="1"/>
      <x:c r="Y143" s="1"/>
      <x:c r="Z143" s="1"/>
    </x:row>
    <x:row r="144">
      <x:c r="A144" s="72" t="str">
        <x:v>2017-06</x:v>
      </x:c>
      <x:c r="B144" s="83" t="n">
        <x:v>2957.098333</x:v>
      </x:c>
      <x:c r="C144" s="83" t="n">
        <x:v>46.36818182</x:v>
      </x:c>
      <x:c r="D144" s="83" t="n">
        <x:v>499.39</x:v>
      </x:c>
      <x:c r="E144" s="83" t="n">
        <x:v>5342.82</x:v>
      </x:c>
      <x:c r="F144" s="84" t="n">
        <x:v>6.25</x:v>
      </x:c>
      <x:c r="G144" s="84" t="n">
        <x:v>1.04</x:v>
      </x:c>
      <x:c r="H144" s="84" t="n">
        <x:v>5.21</x:v>
      </x:c>
      <x:c r="I144" s="85" t="n">
        <x:v>-3441.009172</x:v>
      </x:c>
      <x:c r="J144" s="84" t="n">
        <x:v>4.214938459</x:v>
      </x:c>
      <x:c r="K144" s="84" t="n">
        <x:v>112.7602727</x:v>
      </x:c>
      <x:c r="L144" s="84" t="n">
        <x:v>10.51363636</x:v>
      </x:c>
      <x:c r="M144" s="84" t="n">
        <x:v>122.3</x:v>
      </x:c>
      <x:c r="N144" s="86" t="n">
        <x:v>0</x:v>
      </x:c>
      <x:c r="O144" s="1"/>
      <x:c r="P144" s="1"/>
      <x:c r="Q144" s="1"/>
      <x:c r="R144" s="1"/>
      <x:c r="S144" s="1"/>
      <x:c r="T144" s="1"/>
      <x:c r="U144" s="1"/>
      <x:c r="V144" s="1"/>
      <x:c r="W144" s="1"/>
      <x:c r="X144" s="1"/>
      <x:c r="Y144" s="1"/>
      <x:c r="Z144" s="1"/>
    </x:row>
    <x:row r="145">
      <x:c r="A145" s="72" t="str">
        <x:v>2017-07</x:v>
      </x:c>
      <x:c r="B145" s="83" t="n">
        <x:v>3036.583871</x:v>
      </x:c>
      <x:c r="C145" s="83" t="n">
        <x:v>48.47857143</x:v>
      </x:c>
      <x:c r="D145" s="83" t="n">
        <x:v>509.54</x:v>
      </x:c>
      <x:c r="E145" s="83" t="n">
        <x:v>5452.74</x:v>
      </x:c>
      <x:c r="F145" s="84" t="n">
        <x:v>5.766129032</x:v>
      </x:c>
      <x:c r="G145" s="84" t="n">
        <x:v>1.15</x:v>
      </x:c>
      <x:c r="H145" s="84" t="n">
        <x:v>4.616129032</x:v>
      </x:c>
      <x:c r="I145" s="85" t="n">
        <x:v>-6424.036542</x:v>
      </x:c>
      <x:c r="J145" s="84" t="n">
        <x:v>4.206137479</x:v>
      </x:c>
      <x:c r="K145" s="84" t="n">
        <x:v>111.060555</x:v>
      </x:c>
      <x:c r="L145" s="84" t="n">
        <x:v>10.2645</x:v>
      </x:c>
      <x:c r="M145" s="84" t="n">
        <x:v>122.99</x:v>
      </x:c>
      <x:c r="N145" s="86" t="n">
        <x:v>0</x:v>
      </x:c>
      <x:c r="O145" s="1"/>
      <x:c r="P145" s="1"/>
      <x:c r="Q145" s="1"/>
      <x:c r="R145" s="1"/>
      <x:c r="S145" s="1"/>
      <x:c r="T145" s="1"/>
      <x:c r="U145" s="1"/>
      <x:c r="V145" s="1"/>
      <x:c r="W145" s="1"/>
      <x:c r="X145" s="1"/>
      <x:c r="Y145" s="1"/>
      <x:c r="Z145" s="1"/>
    </x:row>
    <x:row r="146">
      <x:c r="A146" s="72" t="str">
        <x:v>2017-08</x:v>
      </x:c>
      <x:c r="B146" s="83" t="n">
        <x:v>2973.204839</x:v>
      </x:c>
      <x:c r="C146" s="83" t="n">
        <x:v>51.70434783</x:v>
      </x:c>
      <x:c r="D146" s="83" t="n">
        <x:v>503.72</x:v>
      </x:c>
      <x:c r="E146" s="83" t="n">
        <x:v>5503.25</x:v>
      </x:c>
      <x:c r="F146" s="84" t="n">
        <x:v>5.5</x:v>
      </x:c>
      <x:c r="G146" s="84" t="n">
        <x:v>1.16</x:v>
      </x:c>
      <x:c r="H146" s="84" t="n">
        <x:v>4.34</x:v>
      </x:c>
      <x:c r="I146" s="85" t="n">
        <x:v>-1423.300483</x:v>
      </x:c>
      <x:c r="J146" s="84" t="n">
        <x:v>3.644644942</x:v>
      </x:c>
      <x:c r="K146" s="84" t="n">
        <x:v>109.9058609</x:v>
      </x:c>
      <x:c r="L146" s="84" t="n">
        <x:v>11.97565217</x:v>
      </x:c>
      <x:c r="M146" s="84" t="n">
        <x:v>124.53</x:v>
      </x:c>
      <x:c r="N146" s="86" t="n">
        <x:v>0</x:v>
      </x:c>
      <x:c r="O146" s="1"/>
      <x:c r="P146" s="1"/>
      <x:c r="Q146" s="1"/>
      <x:c r="R146" s="1"/>
      <x:c r="S146" s="1"/>
      <x:c r="T146" s="1"/>
      <x:c r="U146" s="1"/>
      <x:c r="V146" s="1"/>
      <x:c r="W146" s="1"/>
      <x:c r="X146" s="1"/>
      <x:c r="Y146" s="1"/>
      <x:c r="Z146" s="1"/>
    </x:row>
    <x:row r="147">
      <x:c r="A147" s="72" t="str">
        <x:v>2017-09</x:v>
      </x:c>
      <x:c r="B147" s="83" t="n">
        <x:v>2917.085</x:v>
      </x:c>
      <x:c r="C147" s="83" t="n">
        <x:v>56.15285714</x:v>
      </x:c>
      <x:c r="D147" s="83" t="n">
        <x:v>458.75</x:v>
      </x:c>
      <x:c r="E147" s="83" t="n">
        <x:v>5548.55</x:v>
      </x:c>
      <x:c r="F147" s="84" t="n">
        <x:v>5.25</x:v>
      </x:c>
      <x:c r="G147" s="84" t="n">
        <x:v>1.15</x:v>
      </x:c>
      <x:c r="H147" s="84" t="n">
        <x:v>4.1</x:v>
      </x:c>
      <x:c r="I147" s="85" t="n">
        <x:v>2208.06195</x:v>
      </x:c>
      <x:c r="J147" s="84" t="n">
        <x:v>3.417510452</x:v>
      </x:c>
      <x:c r="K147" s="84" t="n">
        <x:v>108.854245</x:v>
      </x:c>
      <x:c r="L147" s="84" t="n">
        <x:v>10.438</x:v>
      </x:c>
      <x:c r="M147" s="84" t="n">
        <x:v>129.58</x:v>
      </x:c>
      <x:c r="N147" s="86" t="n">
        <x:v>0</x:v>
      </x:c>
      <x:c r="O147" s="1"/>
      <x:c r="P147" s="1"/>
      <x:c r="Q147" s="1"/>
      <x:c r="R147" s="1"/>
      <x:c r="S147" s="1"/>
      <x:c r="T147" s="1"/>
      <x:c r="U147" s="1"/>
      <x:c r="V147" s="1"/>
      <x:c r="W147" s="1"/>
      <x:c r="X147" s="1"/>
      <x:c r="Y147" s="1"/>
      <x:c r="Z147" s="1"/>
    </x:row>
    <x:row r="148">
      <x:c r="A148" s="72" t="str">
        <x:v>2017-10</x:v>
      </x:c>
      <x:c r="B148" s="83" t="n">
        <x:v>2953.755806</x:v>
      </x:c>
      <x:c r="C148" s="83" t="n">
        <x:v>57.50772727</x:v>
      </x:c>
      <x:c r="D148" s="83" t="n">
        <x:v>527.61</x:v>
      </x:c>
      <x:c r="E148" s="83" t="n">
        <x:v>5653.74</x:v>
      </x:c>
      <x:c r="F148" s="84" t="n">
        <x:v>5.233870968</x:v>
      </x:c>
      <x:c r="G148" s="84" t="n">
        <x:v>1.15</x:v>
      </x:c>
      <x:c r="H148" s="84" t="n">
        <x:v>4.083870968</x:v>
      </x:c>
      <x:c r="I148" s="85" t="n">
        <x:v>-2906.501852</x:v>
      </x:c>
      <x:c r="J148" s="84" t="n">
        <x:v>3.21711332</x:v>
      </x:c>
      <x:c r="K148" s="84" t="n">
        <x:v>110.8891762</x:v>
      </x:c>
      <x:c r="L148" s="84" t="n">
        <x:v>10.12545455</x:v>
      </x:c>
      <x:c r="M148" s="84" t="n">
        <x:v>133.47</x:v>
      </x:c>
      <x:c r="N148" s="86" t="n">
        <x:v>0</x:v>
      </x:c>
      <x:c r="O148" s="1"/>
      <x:c r="P148" s="1"/>
      <x:c r="Q148" s="1"/>
      <x:c r="R148" s="1"/>
      <x:c r="S148" s="1"/>
      <x:c r="T148" s="1"/>
      <x:c r="U148" s="1"/>
      <x:c r="V148" s="1"/>
      <x:c r="W148" s="1"/>
      <x:c r="X148" s="1"/>
      <x:c r="Y148" s="1"/>
      <x:c r="Z148" s="1"/>
    </x:row>
    <x:row r="149">
      <x:c r="A149" s="72" t="str">
        <x:v>2017-11</x:v>
      </x:c>
      <x:c r="B149" s="83" t="n">
        <x:v>3013.466667</x:v>
      </x:c>
      <x:c r="C149" s="83" t="n">
        <x:v>62.71409091</x:v>
      </x:c>
      <x:c r="D149" s="83" t="n">
        <x:v>528.26</x:v>
      </x:c>
      <x:c r="E149" s="83" t="n">
        <x:v>5703.69</x:v>
      </x:c>
      <x:c r="F149" s="84" t="n">
        <x:v>4.966666667</x:v>
      </x:c>
      <x:c r="G149" s="84" t="n">
        <x:v>1.16</x:v>
      </x:c>
      <x:c r="H149" s="84" t="n">
        <x:v>3.806666667</x:v>
      </x:c>
      <x:c r="I149" s="85" t="n">
        <x:v>-6524.460658</x:v>
      </x:c>
      <x:c r="J149" s="84" t="n">
        <x:v>3.399337069</x:v>
      </x:c>
      <x:c r="K149" s="84" t="n">
        <x:v>111.163525</x:v>
      </x:c>
      <x:c r="L149" s="84" t="n">
        <x:v>10.54047619</x:v>
      </x:c>
      <x:c r="M149" s="84" t="n">
        <x:v>132.23</x:v>
      </x:c>
      <x:c r="N149" s="86" t="n">
        <x:v>0</x:v>
      </x:c>
      <x:c r="O149" s="1"/>
      <x:c r="P149" s="1"/>
      <x:c r="Q149" s="1"/>
      <x:c r="R149" s="1"/>
      <x:c r="S149" s="1"/>
      <x:c r="T149" s="1"/>
      <x:c r="U149" s="1"/>
      <x:c r="V149" s="1"/>
      <x:c r="W149" s="1"/>
      <x:c r="X149" s="1"/>
      <x:c r="Y149" s="1"/>
      <x:c r="Z149" s="1"/>
    </x:row>
    <x:row r="150">
      <x:c r="A150" s="72" t="str">
        <x:v>2017-12</x:v>
      </x:c>
      <x:c r="B150" s="83" t="n">
        <x:v>2991.761935</x:v>
      </x:c>
      <x:c r="C150" s="83" t="n">
        <x:v>64.37368421</x:v>
      </x:c>
      <x:c r="D150" s="83" t="n">
        <x:v>547.32</x:v>
      </x:c>
      <x:c r="E150" s="83" t="n">
        <x:v>5783.71</x:v>
      </x:c>
      <x:c r="F150" s="84" t="n">
        <x:v>4.75</x:v>
      </x:c>
      <x:c r="G150" s="84" t="n">
        <x:v>1.3</x:v>
      </x:c>
      <x:c r="H150" s="84" t="n">
        <x:v>3.45</x:v>
      </x:c>
      <x:c r="I150" s="85" t="n">
        <x:v>-5971.104678</x:v>
      </x:c>
      <x:c r="J150" s="84" t="n">
        <x:v>3.654192719</x:v>
      </x:c>
      <x:c r="K150" s="84" t="n">
        <x:v>110.87581</x:v>
      </x:c>
      <x:c r="L150" s="84" t="n">
        <x:v>10.2645</x:v>
      </x:c>
      <x:c r="M150" s="84" t="n">
        <x:v>139.11</x:v>
      </x:c>
      <x:c r="N150" s="86" t="n">
        <x:v>0</x:v>
      </x:c>
      <x:c r="O150" s="1"/>
      <x:c r="P150" s="1"/>
      <x:c r="Q150" s="1"/>
      <x:c r="R150" s="1"/>
      <x:c r="S150" s="1"/>
      <x:c r="T150" s="1"/>
      <x:c r="U150" s="1"/>
      <x:c r="V150" s="1"/>
      <x:c r="W150" s="1"/>
      <x:c r="X150" s="1"/>
      <x:c r="Y150" s="1"/>
      <x:c r="Z150" s="1"/>
    </x:row>
    <x:row r="151">
      <x:c r="A151" s="72" t="str">
        <x:v>2018-01</x:v>
      </x:c>
      <x:c r="B151" s="83" t="n">
        <x:v>2868.572258</x:v>
      </x:c>
      <x:c r="C151" s="83" t="n">
        <x:v>69.07727273</x:v>
      </x:c>
      <x:c r="D151" s="83" t="n">
        <x:v>531.21</x:v>
      </x:c>
      <x:c r="E151" s="83" t="n">
        <x:v>5878.41</x:v>
      </x:c>
      <x:c r="F151" s="84" t="n">
        <x:v>4.733870968</x:v>
      </x:c>
      <x:c r="G151" s="84" t="n">
        <x:v>1.41</x:v>
      </x:c>
      <x:c r="H151" s="84" t="n">
        <x:v>3.323870968</x:v>
      </x:c>
      <x:c r="I151" s="85" t="n">
        <x:v>5175.538626</x:v>
      </x:c>
      <x:c r="J151" s="84" t="n">
        <x:v>2.85513929</x:v>
      </x:c>
      <x:c r="K151" s="84" t="n">
        <x:v>108.3567762</x:v>
      </x:c>
      <x:c r="L151" s="84" t="n">
        <x:v>11.06238095</x:v>
      </x:c>
      <x:c r="M151" s="84" t="n">
        <x:v>140.97</x:v>
      </x:c>
      <x:c r="N151" s="86" t="n">
        <x:v>0</x:v>
      </x:c>
      <x:c r="O151" s="1"/>
      <x:c r="P151" s="1"/>
      <x:c r="Q151" s="1"/>
      <x:c r="R151" s="1"/>
      <x:c r="S151" s="1"/>
      <x:c r="T151" s="1"/>
      <x:c r="U151" s="1"/>
      <x:c r="V151" s="1"/>
      <x:c r="W151" s="1"/>
      <x:c r="X151" s="1"/>
      <x:c r="Y151" s="1"/>
      <x:c r="Z151" s="1"/>
    </x:row>
    <x:row r="152">
      <x:c r="A152" s="72" t="str">
        <x:v>2018-02</x:v>
      </x:c>
      <x:c r="B152" s="83" t="n">
        <x:v>2860.252857</x:v>
      </x:c>
      <x:c r="C152" s="83" t="n">
        <x:v>65.3175</x:v>
      </x:c>
      <x:c r="D152" s="83" t="n">
        <x:v>472.96</x:v>
      </x:c>
      <x:c r="E152" s="83" t="n">
        <x:v>5958.49</x:v>
      </x:c>
      <x:c r="F152" s="84" t="n">
        <x:v>4.5</x:v>
      </x:c>
      <x:c r="G152" s="84" t="n">
        <x:v>1.42</x:v>
      </x:c>
      <x:c r="H152" s="84" t="n">
        <x:v>3.08</x:v>
      </x:c>
      <x:c r="I152" s="85" t="n">
        <x:v>-6032.619578</x:v>
      </x:c>
      <x:c r="J152" s="84" t="n">
        <x:v>2.815829311</x:v>
      </x:c>
      <x:c r="K152" s="84" t="n">
        <x:v>107.6500947</x:v>
      </x:c>
      <x:c r="L152" s="84" t="n">
        <x:v>22.46473684</x:v>
      </x:c>
      <x:c r="M152" s="84" t="n">
        <x:v>134.97</x:v>
      </x:c>
      <x:c r="N152" s="86" t="n">
        <x:v>0</x:v>
      </x:c>
      <x:c r="O152" s="1"/>
      <x:c r="P152" s="1"/>
      <x:c r="Q152" s="1"/>
      <x:c r="R152" s="1"/>
      <x:c r="S152" s="1"/>
      <x:c r="T152" s="1"/>
      <x:c r="U152" s="1"/>
      <x:c r="V152" s="1"/>
      <x:c r="W152" s="1"/>
      <x:c r="X152" s="1"/>
      <x:c r="Y152" s="1"/>
      <x:c r="Z152" s="1"/>
    </x:row>
    <x:row r="153">
      <x:c r="A153" s="72" t="str">
        <x:v>2018-03</x:v>
      </x:c>
      <x:c r="B153" s="83" t="n">
        <x:v>2847.930645</x:v>
      </x:c>
      <x:c r="C153" s="83" t="n">
        <x:v>66.01666667</x:v>
      </x:c>
      <x:c r="D153" s="83" t="n">
        <x:v>499.6</x:v>
      </x:c>
      <x:c r="E153" s="83" t="n">
        <x:v>5979.08</x:v>
      </x:c>
      <x:c r="F153" s="84" t="n">
        <x:v>4.5</x:v>
      </x:c>
      <x:c r="G153" s="84" t="n">
        <x:v>1.51</x:v>
      </x:c>
      <x:c r="H153" s="84" t="n">
        <x:v>2.99</x:v>
      </x:c>
      <x:c r="I153" s="85" t="n">
        <x:v>-4327.127948</x:v>
      </x:c>
      <x:c r="J153" s="84" t="n">
        <x:v>2.844060995</x:v>
      </x:c>
      <x:c r="K153" s="84" t="n">
        <x:v>107.947175</x:v>
      </x:c>
      <x:c r="L153" s="84" t="n">
        <x:v>19.02380952</x:v>
      </x:c>
      <x:c r="M153" s="84" t="n">
        <x:v>135.79</x:v>
      </x:c>
      <x:c r="N153" s="86" t="n">
        <x:v>0</x:v>
      </x:c>
      <x:c r="O153" s="1"/>
      <x:c r="P153" s="1"/>
      <x:c r="Q153" s="1"/>
      <x:c r="R153" s="1"/>
      <x:c r="S153" s="1"/>
      <x:c r="T153" s="1"/>
      <x:c r="U153" s="1"/>
      <x:c r="V153" s="1"/>
      <x:c r="W153" s="1"/>
      <x:c r="X153" s="1"/>
      <x:c r="Y153" s="1"/>
      <x:c r="Z153" s="1"/>
    </x:row>
    <x:row r="154">
      <x:c r="A154" s="72" t="str">
        <x:v>2018-04</x:v>
      </x:c>
      <x:c r="B154" s="83" t="n">
        <x:v>2766.285</x:v>
      </x:c>
      <x:c r="C154" s="83" t="n">
        <x:v>72.106</x:v>
      </x:c>
      <x:c r="D154" s="83" t="n">
        <x:v>535.62</x:v>
      </x:c>
      <x:c r="E154" s="83" t="n">
        <x:v>6113.06</x:v>
      </x:c>
      <x:c r="F154" s="84" t="n">
        <x:v>4.491666667</x:v>
      </x:c>
      <x:c r="G154" s="84" t="n">
        <x:v>1.69</x:v>
      </x:c>
      <x:c r="H154" s="84" t="n">
        <x:v>2.801666667</x:v>
      </x:c>
      <x:c r="I154" s="85" t="n">
        <x:v>-1675.994131</x:v>
      </x:c>
      <x:c r="J154" s="84" t="n">
        <x:v>3.178393375</x:v>
      </x:c>
      <x:c r="K154" s="84" t="n">
        <x:v>107.9433571</x:v>
      </x:c>
      <x:c r="L154" s="84" t="n">
        <x:v>18.26761905</x:v>
      </x:c>
      <x:c r="M154" s="84" t="n">
        <x:v>137.43</x:v>
      </x:c>
      <x:c r="N154" s="86" t="n">
        <x:v>0</x:v>
      </x:c>
      <x:c r="O154" s="1"/>
      <x:c r="P154" s="1"/>
      <x:c r="Q154" s="1"/>
      <x:c r="R154" s="1"/>
      <x:c r="S154" s="1"/>
      <x:c r="T154" s="1"/>
      <x:c r="U154" s="1"/>
      <x:c r="V154" s="1"/>
      <x:c r="W154" s="1"/>
      <x:c r="X154" s="1"/>
      <x:c r="Y154" s="1"/>
      <x:c r="Z154" s="1"/>
    </x:row>
    <x:row r="155">
      <x:c r="A155" s="72" t="str">
        <x:v>2018-05</x:v>
      </x:c>
      <x:c r="B155" s="83" t="n">
        <x:v>2861.825806</x:v>
      </x:c>
      <x:c r="C155" s="83" t="n">
        <x:v>76.9752381</x:v>
      </x:c>
      <x:c r="D155" s="83" t="n">
        <x:v>552.11</x:v>
      </x:c>
      <x:c r="E155" s="83" t="n">
        <x:v>6166.09</x:v>
      </x:c>
      <x:c r="F155" s="84" t="n">
        <x:v>4.25</x:v>
      </x:c>
      <x:c r="G155" s="84" t="n">
        <x:v>1.7</x:v>
      </x:c>
      <x:c r="H155" s="84" t="n">
        <x:v>2.55</x:v>
      </x:c>
      <x:c r="I155" s="85" t="n">
        <x:v>-807.8597494</x:v>
      </x:c>
      <x:c r="J155" s="84" t="n">
        <x:v>3.254779019</x:v>
      </x:c>
      <x:c r="K155" s="84" t="n">
        <x:v>111.0470409</x:v>
      </x:c>
      <x:c r="L155" s="84" t="n">
        <x:v>14.12454545</x:v>
      </x:c>
      <x:c r="M155" s="84" t="n">
        <x:v>141.01</x:v>
      </x:c>
      <x:c r="N155" s="86" t="n">
        <x:v>0</x:v>
      </x:c>
      <x:c r="O155" s="1"/>
      <x:c r="P155" s="1"/>
      <x:c r="Q155" s="1"/>
      <x:c r="R155" s="1"/>
      <x:c r="S155" s="1"/>
      <x:c r="T155" s="1"/>
      <x:c r="U155" s="1"/>
      <x:c r="V155" s="1"/>
      <x:c r="W155" s="1"/>
      <x:c r="X155" s="1"/>
      <x:c r="Y155" s="1"/>
      <x:c r="Z155" s="1"/>
    </x:row>
    <x:row r="156">
      <x:c r="A156" s="72" t="str">
        <x:v>2018-06</x:v>
      </x:c>
      <x:c r="B156" s="83" t="n">
        <x:v>2889.689</x:v>
      </x:c>
      <x:c r="C156" s="83" t="n">
        <x:v>74.4047619</x:v>
      </x:c>
      <x:c r="D156" s="83" t="n">
        <x:v>511.2</x:v>
      </x:c>
      <x:c r="E156" s="83" t="n">
        <x:v>6177.9</x:v>
      </x:c>
      <x:c r="F156" s="84" t="n">
        <x:v>4.25</x:v>
      </x:c>
      <x:c r="G156" s="84" t="n">
        <x:v>1.82</x:v>
      </x:c>
      <x:c r="H156" s="84" t="n">
        <x:v>2.43</x:v>
      </x:c>
      <x:c r="I156" s="85" t="n">
        <x:v>-3408.072224</x:v>
      </x:c>
      <x:c r="J156" s="84" t="n">
        <x:v>3.251444614</x:v>
      </x:c>
      <x:c r="K156" s="84" t="n">
        <x:v>112.844419</x:v>
      </x:c>
      <x:c r="L156" s="84" t="n">
        <x:v>13.67809524</x:v>
      </x:c>
      <x:c r="M156" s="84" t="n">
        <x:v>141.11</x:v>
      </x:c>
      <x:c r="N156" s="86" t="n">
        <x:v>0</x:v>
      </x:c>
      <x:c r="O156" s="1"/>
      <x:c r="P156" s="1"/>
      <x:c r="Q156" s="1"/>
      <x:c r="R156" s="1"/>
      <x:c r="S156" s="1"/>
      <x:c r="T156" s="1"/>
      <x:c r="U156" s="1"/>
      <x:c r="V156" s="1"/>
      <x:c r="W156" s="1"/>
      <x:c r="X156" s="1"/>
      <x:c r="Y156" s="1"/>
      <x:c r="Z156" s="1"/>
    </x:row>
    <x:row r="157">
      <x:c r="A157" s="72" t="str">
        <x:v>2018-07</x:v>
      </x:c>
      <x:c r="B157" s="83" t="n">
        <x:v>2885.321935</x:v>
      </x:c>
      <x:c r="C157" s="83" t="n">
        <x:v>74.25409091</x:v>
      </x:c>
      <x:c r="D157" s="83" t="n">
        <x:v>553.55</x:v>
      </x:c>
      <x:c r="E157" s="83" t="n">
        <x:v>6221.91</x:v>
      </x:c>
      <x:c r="F157" s="84" t="n">
        <x:v>4.25</x:v>
      </x:c>
      <x:c r="G157" s="84" t="n">
        <x:v>1.91</x:v>
      </x:c>
      <x:c r="H157" s="84" t="n">
        <x:v>2.34</x:v>
      </x:c>
      <x:c r="I157" s="85" t="n">
        <x:v>-7972.161694</x:v>
      </x:c>
      <x:c r="J157" s="84" t="n">
        <x:v>3.408170597</x:v>
      </x:c>
      <x:c r="K157" s="84" t="n">
        <x:v>113.0595333</x:v>
      </x:c>
      <x:c r="L157" s="84" t="n">
        <x:v>13.14761905</x:v>
      </x:c>
      <x:c r="M157" s="84" t="n">
        <x:v>140.34</x:v>
      </x:c>
      <x:c r="N157" s="86" t="n">
        <x:v>0</x:v>
      </x:c>
      <x:c r="O157" s="1"/>
      <x:c r="P157" s="1"/>
      <x:c r="Q157" s="1"/>
      <x:c r="R157" s="1"/>
      <x:c r="S157" s="1"/>
      <x:c r="T157" s="1"/>
      <x:c r="U157" s="1"/>
      <x:c r="V157" s="1"/>
      <x:c r="W157" s="1"/>
      <x:c r="X157" s="1"/>
      <x:c r="Y157" s="1"/>
      <x:c r="Z157" s="1"/>
    </x:row>
    <x:row r="158">
      <x:c r="A158" s="72" t="str">
        <x:v>2018-08</x:v>
      </x:c>
      <x:c r="B158" s="83" t="n">
        <x:v>2958.666774</x:v>
      </x:c>
      <x:c r="C158" s="83" t="n">
        <x:v>72.52826087</x:v>
      </x:c>
      <x:c r="D158" s="83" t="n">
        <x:v>606.67</x:v>
      </x:c>
      <x:c r="E158" s="83" t="n">
        <x:v>6324.86</x:v>
      </x:c>
      <x:c r="F158" s="84" t="n">
        <x:v>4.25</x:v>
      </x:c>
      <x:c r="G158" s="84" t="n">
        <x:v>1.91</x:v>
      </x:c>
      <x:c r="H158" s="84" t="n">
        <x:v>2.34</x:v>
      </x:c>
      <x:c r="I158" s="85" t="n">
        <x:v>-6169.206812</x:v>
      </x:c>
      <x:c r="J158" s="84" t="n">
        <x:v>3.888627123</x:v>
      </x:c>
      <x:c r="K158" s="84" t="n">
        <x:v>113.8316304</x:v>
      </x:c>
      <x:c r="L158" s="84" t="n">
        <x:v>12.54695652</x:v>
      </x:c>
      <x:c r="M158" s="84" t="n">
        <x:v>140.51</x:v>
      </x:c>
      <x:c r="N158" s="86" t="n">
        <x:v>0</x:v>
      </x:c>
      <x:c r="O158" s="1"/>
      <x:c r="P158" s="1"/>
      <x:c r="Q158" s="1"/>
      <x:c r="R158" s="1"/>
      <x:c r="S158" s="1"/>
      <x:c r="T158" s="1"/>
      <x:c r="U158" s="1"/>
      <x:c r="V158" s="1"/>
      <x:c r="W158" s="1"/>
      <x:c r="X158" s="1"/>
      <x:c r="Y158" s="1"/>
      <x:c r="Z158" s="1"/>
    </x:row>
    <x:row r="159">
      <x:c r="A159" s="72" t="str">
        <x:v>2018-09</x:v>
      </x:c>
      <x:c r="B159" s="83" t="n">
        <x:v>3033.768</x:v>
      </x:c>
      <x:c r="C159" s="83" t="n">
        <x:v>78.891</x:v>
      </x:c>
      <x:c r="D159" s="83" t="n">
        <x:v>550.17</x:v>
      </x:c>
      <x:c r="E159" s="83" t="n">
        <x:v>6416.28</x:v>
      </x:c>
      <x:c r="F159" s="84" t="n">
        <x:v>4.25</x:v>
      </x:c>
      <x:c r="G159" s="84" t="n">
        <x:v>1.95</x:v>
      </x:c>
      <x:c r="H159" s="84" t="n">
        <x:v>2.3</x:v>
      </x:c>
      <x:c r="I159" s="85" t="n">
        <x:v>1322.525015</x:v>
      </x:c>
      <x:c r="J159" s="84" t="n">
        <x:v>3.978275332</x:v>
      </x:c>
      <x:c r="K159" s="84" t="n">
        <x:v>114.0786632</x:v>
      </x:c>
      <x:c r="L159" s="84" t="n">
        <x:v>12.91052632</x:v>
      </x:c>
      <x:c r="M159" s="84" t="n">
        <x:v>148.99</x:v>
      </x:c>
      <x:c r="N159" s="86" t="n">
        <x:v>0</x:v>
      </x:c>
      <x:c r="O159" s="1"/>
      <x:c r="P159" s="1"/>
      <x:c r="Q159" s="1"/>
      <x:c r="R159" s="1"/>
      <x:c r="S159" s="1"/>
      <x:c r="T159" s="1"/>
      <x:c r="U159" s="1"/>
      <x:c r="V159" s="1"/>
      <x:c r="W159" s="1"/>
      <x:c r="X159" s="1"/>
      <x:c r="Y159" s="1"/>
      <x:c r="Z159" s="1"/>
    </x:row>
    <x:row r="160">
      <x:c r="A160" s="72" t="str">
        <x:v>2018-10</x:v>
      </x:c>
      <x:c r="B160" s="83" t="n">
        <x:v>3084.830968</x:v>
      </x:c>
      <x:c r="C160" s="83" t="n">
        <x:v>81.03217391</x:v>
      </x:c>
      <x:c r="D160" s="83" t="n">
        <x:v>616.87</x:v>
      </x:c>
      <x:c r="E160" s="83" t="n">
        <x:v>6505.54</x:v>
      </x:c>
      <x:c r="F160" s="84" t="n">
        <x:v>4.25</x:v>
      </x:c>
      <x:c r="G160" s="84" t="n">
        <x:v>2.19</x:v>
      </x:c>
      <x:c r="H160" s="84" t="n">
        <x:v>2.06</x:v>
      </x:c>
      <x:c r="I160" s="85" t="n">
        <x:v>-3357.740578</x:v>
      </x:c>
      <x:c r="J160" s="84" t="n">
        <x:v>4.023956931</x:v>
      </x:c>
      <x:c r="K160" s="84" t="n">
        <x:v>114.8312591</x:v>
      </x:c>
      <x:c r="L160" s="84" t="n">
        <x:v>19.35217391</x:v>
      </x:c>
      <x:c r="M160" s="84" t="n">
        <x:v>149.13</x:v>
      </x:c>
      <x:c r="N160" s="86" t="n">
        <x:v>0</x:v>
      </x:c>
      <x:c r="O160" s="1"/>
      <x:c r="P160" s="1"/>
      <x:c r="Q160" s="1"/>
      <x:c r="R160" s="1"/>
      <x:c r="S160" s="1"/>
      <x:c r="T160" s="1"/>
      <x:c r="U160" s="1"/>
      <x:c r="V160" s="1"/>
      <x:c r="W160" s="1"/>
      <x:c r="X160" s="1"/>
      <x:c r="Y160" s="1"/>
      <x:c r="Z160" s="1"/>
    </x:row>
    <x:row r="161">
      <x:c r="A161" s="72" t="str">
        <x:v>2018-11</x:v>
      </x:c>
      <x:c r="B161" s="83" t="n">
        <x:v>3194.034333</x:v>
      </x:c>
      <x:c r="C161" s="83" t="n">
        <x:v>64.74818182</x:v>
      </x:c>
      <x:c r="D161" s="83" t="n">
        <x:v>588.4</x:v>
      </x:c>
      <x:c r="E161" s="83" t="n">
        <x:v>6565.68</x:v>
      </x:c>
      <x:c r="F161" s="84" t="n">
        <x:v>4.25</x:v>
      </x:c>
      <x:c r="G161" s="84" t="n">
        <x:v>2.2</x:v>
      </x:c>
      <x:c r="H161" s="84" t="n">
        <x:v>2.05</x:v>
      </x:c>
      <x:c r="I161" s="85" t="n">
        <x:v>-3715.161114</x:v>
      </x:c>
      <x:c r="J161" s="84" t="n">
        <x:v>3.73955471</x:v>
      </x:c>
      <x:c r="K161" s="84" t="n">
        <x:v>116.169045</x:v>
      </x:c>
      <x:c r="L161" s="84" t="n">
        <x:v>19.38904762</x:v>
      </x:c>
      <x:c r="M161" s="84" t="n">
        <x:v>138.73</x:v>
      </x:c>
      <x:c r="N161" s="86" t="n">
        <x:v>0</x:v>
      </x:c>
      <x:c r="O161" s="1"/>
      <x:c r="P161" s="1"/>
      <x:c r="Q161" s="1"/>
      <x:c r="R161" s="1"/>
      <x:c r="S161" s="1"/>
      <x:c r="T161" s="1"/>
      <x:c r="U161" s="1"/>
      <x:c r="V161" s="1"/>
      <x:c r="W161" s="1"/>
      <x:c r="X161" s="1"/>
      <x:c r="Y161" s="1"/>
      <x:c r="Z161" s="1"/>
    </x:row>
    <x:row r="162">
      <x:c r="A162" s="72" t="str">
        <x:v>2018-12</x:v>
      </x:c>
      <x:c r="B162" s="83" t="n">
        <x:v>3218.550968</x:v>
      </x:c>
      <x:c r="C162" s="83" t="n">
        <x:v>57.36235294</x:v>
      </x:c>
      <x:c r="D162" s="83" t="n">
        <x:v>617.83</x:v>
      </x:c>
      <x:c r="E162" s="83" t="n">
        <x:v>6636.19</x:v>
      </x:c>
      <x:c r="F162" s="84" t="n">
        <x:v>4.25</x:v>
      </x:c>
      <x:c r="G162" s="84" t="n">
        <x:v>2.27</x:v>
      </x:c>
      <x:c r="H162" s="84" t="n">
        <x:v>1.98</x:v>
      </x:c>
      <x:c r="I162" s="85" t="n">
        <x:v>652.0410394</x:v>
      </x:c>
      <x:c r="J162" s="84" t="n">
        <x:v>3.069053995</x:v>
      </x:c>
      <x:c r="K162" s="84" t="n">
        <x:v>116.2118053</x:v>
      </x:c>
      <x:c r="L162" s="84" t="n">
        <x:v>24.95315789</x:v>
      </x:c>
      <x:c r="M162" s="84" t="n">
        <x:v>130.2</x:v>
      </x:c>
      <x:c r="N162" s="86" t="n">
        <x:v>0</x:v>
      </x:c>
      <x:c r="O162" s="1"/>
      <x:c r="P162" s="1"/>
      <x:c r="Q162" s="1"/>
      <x:c r="R162" s="1"/>
      <x:c r="S162" s="1"/>
      <x:c r="T162" s="1"/>
      <x:c r="U162" s="1"/>
      <x:c r="V162" s="1"/>
      <x:c r="W162" s="1"/>
      <x:c r="X162" s="1"/>
      <x:c r="Y162" s="1"/>
      <x:c r="Z162" s="1"/>
    </x:row>
    <x:row r="163">
      <x:c r="A163" s="72" t="str">
        <x:v>2019-01</x:v>
      </x:c>
      <x:c r="B163" s="83" t="n">
        <x:v>3165.188065</x:v>
      </x:c>
      <x:c r="C163" s="83" t="n">
        <x:v>59.40954545</x:v>
      </x:c>
      <x:c r="D163" s="83" t="n">
        <x:v>572.48</x:v>
      </x:c>
      <x:c r="E163" s="83" t="n">
        <x:v>6677.46</x:v>
      </x:c>
      <x:c r="F163" s="84" t="n">
        <x:v>4.25</x:v>
      </x:c>
      <x:c r="G163" s="84" t="n">
        <x:v>2.4</x:v>
      </x:c>
      <x:c r="H163" s="84" t="n">
        <x:v>1.85</x:v>
      </x:c>
      <x:c r="I163" s="85" t="n">
        <x:v>4041.232271</x:v>
      </x:c>
      <x:c r="J163" s="84" t="n">
        <x:v>2.966804535</x:v>
      </x:c>
      <x:c r="K163" s="84" t="n">
        <x:v>114.44249</x:v>
      </x:c>
      <x:c r="L163" s="84" t="n">
        <x:v>19.57238095</x:v>
      </x:c>
      <x:c r="M163" s="84" t="n">
        <x:v>131.86</x:v>
      </x:c>
      <x:c r="N163" s="86" t="n">
        <x:v>0</x:v>
      </x:c>
      <x:c r="O163" s="1"/>
      <x:c r="P163" s="1"/>
      <x:c r="Q163" s="1"/>
      <x:c r="R163" s="1"/>
      <x:c r="S163" s="1"/>
      <x:c r="T163" s="1"/>
      <x:c r="U163" s="1"/>
      <x:c r="V163" s="1"/>
      <x:c r="W163" s="1"/>
      <x:c r="X163" s="1"/>
      <x:c r="Y163" s="1"/>
      <x:c r="Z163" s="1"/>
    </x:row>
    <x:row r="164">
      <x:c r="A164" s="72" t="str">
        <x:v>2019-02</x:v>
      </x:c>
      <x:c r="B164" s="83" t="n">
        <x:v>3115.838571</x:v>
      </x:c>
      <x:c r="C164" s="83" t="n">
        <x:v>63.9605</x:v>
      </x:c>
      <x:c r="D164" s="83" t="n">
        <x:v>512.25</x:v>
      </x:c>
      <x:c r="E164" s="83" t="n">
        <x:v>6716.75</x:v>
      </x:c>
      <x:c r="F164" s="84" t="n">
        <x:v>4.25</x:v>
      </x:c>
      <x:c r="G164" s="84" t="n">
        <x:v>2.4</x:v>
      </x:c>
      <x:c r="H164" s="84" t="n">
        <x:v>1.85</x:v>
      </x:c>
      <x:c r="I164" s="85" t="n">
        <x:v>-7565.784087</x:v>
      </x:c>
      <x:c r="J164" s="84" t="n">
        <x:v>3.111433419</x:v>
      </x:c>
      <x:c r="K164" s="84" t="n">
        <x:v>114.4130056</x:v>
      </x:c>
      <x:c r="L164" s="84" t="n">
        <x:v>15.23473684</x:v>
      </x:c>
      <x:c r="M164" s="84" t="n">
        <x:v>141.28</x:v>
      </x:c>
      <x:c r="N164" s="86" t="n">
        <x:v>0</x:v>
      </x:c>
      <x:c r="O164" s="1"/>
      <x:c r="P164" s="1"/>
      <x:c r="Q164" s="1"/>
      <x:c r="R164" s="1"/>
      <x:c r="S164" s="1"/>
      <x:c r="T164" s="1"/>
      <x:c r="U164" s="1"/>
      <x:c r="V164" s="1"/>
      <x:c r="W164" s="1"/>
      <x:c r="X164" s="1"/>
      <x:c r="Y164" s="1"/>
      <x:c r="Z164" s="1"/>
    </x:row>
    <x:row r="165">
      <x:c r="A165" s="72" t="str">
        <x:v>2019-03</x:v>
      </x:c>
      <x:c r="B165" s="83" t="n">
        <x:v>3128.684194</x:v>
      </x:c>
      <x:c r="C165" s="83" t="n">
        <x:v>66.13857143</x:v>
      </x:c>
      <x:c r="D165" s="83" t="n">
        <x:v>559.97</x:v>
      </x:c>
      <x:c r="E165" s="83" t="n">
        <x:v>6777.12</x:v>
      </x:c>
      <x:c r="F165" s="84" t="n">
        <x:v>4.25</x:v>
      </x:c>
      <x:c r="G165" s="84" t="n">
        <x:v>2.41</x:v>
      </x:c>
      <x:c r="H165" s="84" t="n">
        <x:v>1.84</x:v>
      </x:c>
      <x:c r="I165" s="85" t="n">
        <x:v>-2767.366095</x:v>
      </x:c>
      <x:c r="J165" s="84" t="n">
        <x:v>2.964295513</x:v>
      </x:c>
      <x:c r="K165" s="84" t="n">
        <x:v>114.783519</x:v>
      </x:c>
      <x:c r="L165" s="84" t="n">
        <x:v>14.4852381</x:v>
      </x:c>
      <x:c r="M165" s="84" t="n">
        <x:v>140.82</x:v>
      </x:c>
      <x:c r="N165" s="86" t="n">
        <x:v>0</x:v>
      </x:c>
      <x:c r="O165" s="1"/>
      <x:c r="P165" s="1"/>
      <x:c r="Q165" s="1"/>
      <x:c r="R165" s="1"/>
      <x:c r="S165" s="1"/>
      <x:c r="T165" s="1"/>
      <x:c r="U165" s="1"/>
      <x:c r="V165" s="1"/>
      <x:c r="W165" s="1"/>
      <x:c r="X165" s="1"/>
      <x:c r="Y165" s="1"/>
      <x:c r="Z165" s="1"/>
    </x:row>
    <x:row r="166">
      <x:c r="A166" s="72" t="str">
        <x:v>2019-04</x:v>
      </x:c>
      <x:c r="B166" s="83" t="n">
        <x:v>3155.765</x:v>
      </x:c>
      <x:c r="C166" s="83" t="n">
        <x:v>71.23333333</x:v>
      </x:c>
      <x:c r="D166" s="83" t="n">
        <x:v>596.53</x:v>
      </x:c>
      <x:c r="E166" s="83" t="n">
        <x:v>6838.03</x:v>
      </x:c>
      <x:c r="F166" s="84" t="n">
        <x:v>4.25</x:v>
      </x:c>
      <x:c r="G166" s="84" t="n">
        <x:v>2.42</x:v>
      </x:c>
      <x:c r="H166" s="84" t="n">
        <x:v>1.83</x:v>
      </x:c>
      <x:c r="I166" s="85" t="n">
        <x:v>1075.425241</x:v>
      </x:c>
      <x:c r="J166" s="84" t="n">
        <x:v>2.704744298</x:v>
      </x:c>
      <x:c r="K166" s="84" t="n">
        <x:v>114.9037545</x:v>
      </x:c>
      <x:c r="L166" s="84" t="n">
        <x:v>12.94904762</x:v>
      </x:c>
      <x:c r="M166" s="84" t="n">
        <x:v>143.6</x:v>
      </x:c>
      <x:c r="N166" s="86" t="n">
        <x:v>0</x:v>
      </x:c>
      <x:c r="O166" s="1"/>
      <x:c r="P166" s="1"/>
      <x:c r="Q166" s="1"/>
      <x:c r="R166" s="1"/>
      <x:c r="S166" s="1"/>
      <x:c r="T166" s="1"/>
      <x:c r="U166" s="1"/>
      <x:c r="V166" s="1"/>
      <x:c r="W166" s="1"/>
      <x:c r="X166" s="1"/>
      <x:c r="Y166" s="1"/>
      <x:c r="Z166" s="1"/>
    </x:row>
    <x:row r="167">
      <x:c r="A167" s="72" t="str">
        <x:v>2019-05</x:v>
      </x:c>
      <x:c r="B167" s="83" t="n">
        <x:v>3304.494516</x:v>
      </x:c>
      <x:c r="C167" s="83" t="n">
        <x:v>71.31772727</x:v>
      </x:c>
      <x:c r="D167" s="83" t="n">
        <x:v>652.23</x:v>
      </x:c>
      <x:c r="E167" s="83" t="n">
        <x:v>6938.15</x:v>
      </x:c>
      <x:c r="F167" s="84" t="n">
        <x:v>4.25</x:v>
      </x:c>
      <x:c r="G167" s="84" t="n">
        <x:v>2.39</x:v>
      </x:c>
      <x:c r="H167" s="84" t="n">
        <x:v>1.86</x:v>
      </x:c>
      <x:c r="I167" s="85" t="n">
        <x:v>-87.8617433</x:v>
      </x:c>
      <x:c r="J167" s="84" t="n">
        <x:v>2.636824315</x:v>
      </x:c>
      <x:c r="K167" s="84" t="n">
        <x:v>115.9573818</x:v>
      </x:c>
      <x:c r="L167" s="84" t="n">
        <x:v>16.72181818</x:v>
      </x:c>
      <x:c r="M167" s="84" t="n">
        <x:v>140.88</x:v>
      </x:c>
      <x:c r="N167" s="86" t="n">
        <x:v>0</x:v>
      </x:c>
      <x:c r="O167" s="1"/>
      <x:c r="P167" s="1"/>
      <x:c r="Q167" s="1"/>
      <x:c r="R167" s="1"/>
      <x:c r="S167" s="1"/>
      <x:c r="T167" s="1"/>
      <x:c r="U167" s="1"/>
      <x:c r="V167" s="1"/>
      <x:c r="W167" s="1"/>
      <x:c r="X167" s="1"/>
      <x:c r="Y167" s="1"/>
      <x:c r="Z167" s="1"/>
    </x:row>
    <x:row r="168">
      <x:c r="A168" s="72" t="str">
        <x:v>2019-06</x:v>
      </x:c>
      <x:c r="B168" s="83" t="n">
        <x:v>3260.517</x:v>
      </x:c>
      <x:c r="C168" s="83" t="n">
        <x:v>64.2205</x:v>
      </x:c>
      <x:c r="D168" s="83" t="n">
        <x:v>525.75</x:v>
      </x:c>
      <x:c r="E168" s="83" t="n">
        <x:v>6952.7</x:v>
      </x:c>
      <x:c r="F168" s="84" t="n">
        <x:v>4.25</x:v>
      </x:c>
      <x:c r="G168" s="84" t="n">
        <x:v>2.38</x:v>
      </x:c>
      <x:c r="H168" s="84" t="n">
        <x:v>1.87</x:v>
      </x:c>
      <x:c r="I168" s="85" t="n">
        <x:v>330.9743755</x:v>
      </x:c>
      <x:c r="J168" s="84" t="n">
        <x:v>2.284106697</x:v>
      </x:c>
      <x:c r="K168" s="84" t="n">
        <x:v>115.42707</x:v>
      </x:c>
      <x:c r="L168" s="84" t="n">
        <x:v>15.836</x:v>
      </x:c>
      <x:c r="M168" s="84" t="n">
        <x:v>136.62</x:v>
      </x:c>
      <x:c r="N168" s="86" t="n">
        <x:v>0</x:v>
      </x:c>
      <x:c r="O168" s="1"/>
      <x:c r="P168" s="1"/>
      <x:c r="Q168" s="1"/>
      <x:c r="R168" s="1"/>
      <x:c r="S168" s="1"/>
      <x:c r="T168" s="1"/>
      <x:c r="U168" s="1"/>
      <x:c r="V168" s="1"/>
      <x:c r="W168" s="1"/>
      <x:c r="X168" s="1"/>
      <x:c r="Y168" s="1"/>
      <x:c r="Z168" s="1"/>
    </x:row>
    <x:row r="169">
      <x:c r="A169" s="72" t="str">
        <x:v>2019-07</x:v>
      </x:c>
      <x:c r="B169" s="83" t="n">
        <x:v>3206.600323</x:v>
      </x:c>
      <x:c r="C169" s="83" t="n">
        <x:v>63.91913043</x:v>
      </x:c>
      <x:c r="D169" s="83" t="n">
        <x:v>606.88</x:v>
      </x:c>
      <x:c r="E169" s="83" t="n">
        <x:v>7006.03</x:v>
      </x:c>
      <x:c r="F169" s="84" t="n">
        <x:v>4.25</x:v>
      </x:c>
      <x:c r="G169" s="84" t="n">
        <x:v>2.4</x:v>
      </x:c>
      <x:c r="H169" s="84" t="n">
        <x:v>1.85</x:v>
      </x:c>
      <x:c r="I169" s="85" t="n">
        <x:v>-5340.236714</x:v>
      </x:c>
      <x:c r="J169" s="84" t="n">
        <x:v>2.035827815</x:v>
      </x:c>
      <x:c r="K169" s="84" t="n">
        <x:v>115.0775909</x:v>
      </x:c>
      <x:c r="L169" s="84" t="n">
        <x:v>13.30590909</x:v>
      </x:c>
      <x:c r="M169" s="84" t="n">
        <x:v>137.66</x:v>
      </x:c>
      <x:c r="N169" s="86" t="n">
        <x:v>0</x:v>
      </x:c>
      <x:c r="O169" s="1"/>
      <x:c r="P169" s="1"/>
      <x:c r="Q169" s="1"/>
      <x:c r="R169" s="1"/>
      <x:c r="S169" s="1"/>
      <x:c r="T169" s="1"/>
      <x:c r="U169" s="1"/>
      <x:c r="V169" s="1"/>
      <x:c r="W169" s="1"/>
      <x:c r="X169" s="1"/>
      <x:c r="Y169" s="1"/>
      <x:c r="Z169" s="1"/>
    </x:row>
    <x:row r="170">
      <x:c r="A170" s="72" t="str">
        <x:v>2019-08</x:v>
      </x:c>
      <x:c r="B170" s="83" t="n">
        <x:v>3410.729032</x:v>
      </x:c>
      <x:c r="C170" s="83" t="n">
        <x:v>59.04181818</x:v>
      </x:c>
      <x:c r="D170" s="83" t="n">
        <x:v>680.3</x:v>
      </x:c>
      <x:c r="E170" s="83" t="n">
        <x:v>7079.66</x:v>
      </x:c>
      <x:c r="F170" s="84" t="n">
        <x:v>4.25</x:v>
      </x:c>
      <x:c r="G170" s="84" t="n">
        <x:v>2.13</x:v>
      </x:c>
      <x:c r="H170" s="84" t="n">
        <x:v>2.12</x:v>
      </x:c>
      <x:c r="I170" s="85" t="n">
        <x:v>-5887.050241</x:v>
      </x:c>
      <x:c r="J170" s="84" t="n">
        <x:v>2.009210978</x:v>
      </x:c>
      <x:c r="K170" s="84" t="n">
        <x:v>117.1003864</x:v>
      </x:c>
      <x:c r="L170" s="84" t="n">
        <x:v>18.97909091</x:v>
      </x:c>
      <x:c r="M170" s="84" t="n">
        <x:v>134.09</x:v>
      </x:c>
      <x:c r="N170" s="86" t="n">
        <x:v>0</x:v>
      </x:c>
      <x:c r="O170" s="1"/>
      <x:c r="P170" s="1"/>
      <x:c r="Q170" s="1"/>
      <x:c r="R170" s="1"/>
      <x:c r="S170" s="1"/>
      <x:c r="T170" s="1"/>
      <x:c r="U170" s="1"/>
      <x:c r="V170" s="1"/>
      <x:c r="W170" s="1"/>
      <x:c r="X170" s="1"/>
      <x:c r="Y170" s="1"/>
      <x:c r="Z170" s="1"/>
    </x:row>
    <x:row r="171">
      <x:c r="A171" s="72" t="str">
        <x:v>2019-09</x:v>
      </x:c>
      <x:c r="B171" s="83" t="n">
        <x:v>3399.457</x:v>
      </x:c>
      <x:c r="C171" s="83" t="n">
        <x:v>62.82666667</x:v>
      </x:c>
      <x:c r="D171" s="83" t="n">
        <x:v>582.33</x:v>
      </x:c>
      <x:c r="E171" s="83" t="n">
        <x:v>7111.82</x:v>
      </x:c>
      <x:c r="F171" s="84" t="n">
        <x:v>4.25</x:v>
      </x:c>
      <x:c r="G171" s="84" t="n">
        <x:v>2.04</x:v>
      </x:c>
      <x:c r="H171" s="84" t="n">
        <x:v>2.21</x:v>
      </x:c>
      <x:c r="I171" s="85" t="n">
        <x:v>3935.148563</x:v>
      </x:c>
      <x:c r="J171" s="84" t="n">
        <x:v>1.762752869</x:v>
      </x:c>
      <x:c r="K171" s="84" t="n">
        <x:v>117.32392</x:v>
      </x:c>
      <x:c r="L171" s="84" t="n">
        <x:v>15.559</x:v>
      </x:c>
      <x:c r="M171" s="84" t="n">
        <x:v>136.63</x:v>
      </x:c>
      <x:c r="N171" s="86" t="n">
        <x:v>0</x:v>
      </x:c>
      <x:c r="O171" s="1"/>
      <x:c r="P171" s="1"/>
      <x:c r="Q171" s="1"/>
      <x:c r="R171" s="1"/>
      <x:c r="S171" s="1"/>
      <x:c r="T171" s="1"/>
      <x:c r="U171" s="1"/>
      <x:c r="V171" s="1"/>
      <x:c r="W171" s="1"/>
      <x:c r="X171" s="1"/>
      <x:c r="Y171" s="1"/>
      <x:c r="Z171" s="1"/>
    </x:row>
    <x:row r="172">
      <x:c r="A172" s="72" t="str">
        <x:v>2019-10</x:v>
      </x:c>
      <x:c r="B172" s="83" t="n">
        <x:v>3433.311613</x:v>
      </x:c>
      <x:c r="C172" s="83" t="n">
        <x:v>59.71304348</x:v>
      </x:c>
      <x:c r="D172" s="83" t="n">
        <x:v>597.33</x:v>
      </x:c>
      <x:c r="E172" s="83" t="n">
        <x:v>7092.28</x:v>
      </x:c>
      <x:c r="F172" s="84" t="n">
        <x:v>4.25</x:v>
      </x:c>
      <x:c r="G172" s="84" t="n">
        <x:v>1.83</x:v>
      </x:c>
      <x:c r="H172" s="84" t="n">
        <x:v>2.42</x:v>
      </x:c>
      <x:c r="I172" s="85" t="n">
        <x:v>-6344.163231</x:v>
      </x:c>
      <x:c r="J172" s="84" t="n">
        <x:v>2.044472782</x:v>
      </x:c>
      <x:c r="K172" s="84" t="n">
        <x:v>116.7462591</x:v>
      </x:c>
      <x:c r="L172" s="84" t="n">
        <x:v>15.46652174</x:v>
      </x:c>
      <x:c r="M172" s="84" t="n">
        <x:v>135.92</x:v>
      </x:c>
      <x:c r="N172" s="86" t="n">
        <x:v>0</x:v>
      </x:c>
      <x:c r="O172" s="1"/>
      <x:c r="P172" s="1"/>
      <x:c r="Q172" s="1"/>
      <x:c r="R172" s="1"/>
      <x:c r="S172" s="1"/>
      <x:c r="T172" s="1"/>
      <x:c r="U172" s="1"/>
      <x:c r="V172" s="1"/>
      <x:c r="W172" s="1"/>
      <x:c r="X172" s="1"/>
      <x:c r="Y172" s="1"/>
      <x:c r="Z172" s="1"/>
    </x:row>
    <x:row r="173">
      <x:c r="A173" s="72" t="str">
        <x:v>2019-11</x:v>
      </x:c>
      <x:c r="B173" s="83" t="n">
        <x:v>3401.473</x:v>
      </x:c>
      <x:c r="C173" s="83" t="n">
        <x:v>63.21190476</x:v>
      </x:c>
      <x:c r="D173" s="83" t="n">
        <x:v>542.94</x:v>
      </x:c>
      <x:c r="E173" s="83" t="n">
        <x:v>7046.82</x:v>
      </x:c>
      <x:c r="F173" s="84" t="n">
        <x:v>4.25</x:v>
      </x:c>
      <x:c r="G173" s="84" t="n">
        <x:v>1.55</x:v>
      </x:c>
      <x:c r="H173" s="84" t="n">
        <x:v>2.7</x:v>
      </x:c>
      <x:c r="I173" s="85" t="n">
        <x:v>-4504.724544</x:v>
      </x:c>
      <x:c r="J173" s="84" t="n">
        <x:v>2.11895512</x:v>
      </x:c>
      <x:c r="K173" s="84" t="n">
        <x:v>116.5594684</x:v>
      </x:c>
      <x:c r="L173" s="84" t="n">
        <x:v>12.5235</x:v>
      </x:c>
      <x:c r="M173" s="84" t="n">
        <x:v>137.2</x:v>
      </x:c>
      <x:c r="N173" s="86" t="n">
        <x:v>0</x:v>
      </x:c>
      <x:c r="O173" s="1"/>
      <x:c r="P173" s="1"/>
      <x:c r="Q173" s="1"/>
      <x:c r="R173" s="1"/>
      <x:c r="S173" s="1"/>
      <x:c r="T173" s="1"/>
      <x:c r="U173" s="1"/>
      <x:c r="V173" s="1"/>
      <x:c r="W173" s="1"/>
      <x:c r="X173" s="1"/>
      <x:c r="Y173" s="1"/>
      <x:c r="Z173" s="1"/>
    </x:row>
    <x:row r="174">
      <x:c r="A174" s="72" t="str">
        <x:v>2019-12</x:v>
      </x:c>
      <x:c r="B174" s="83" t="n">
        <x:v>3378.050645</x:v>
      </x:c>
      <x:c r="C174" s="83" t="n">
        <x:v>67.21714286</x:v>
      </x:c>
      <x:c r="D174" s="83" t="n">
        <x:v>657.54</x:v>
      </x:c>
      <x:c r="E174" s="83" t="n">
        <x:v>7086.53</x:v>
      </x:c>
      <x:c r="F174" s="84" t="n">
        <x:v>4.25</x:v>
      </x:c>
      <x:c r="G174" s="84" t="n">
        <x:v>1.55</x:v>
      </x:c>
      <x:c r="H174" s="84" t="n">
        <x:v>2.7</x:v>
      </x:c>
      <x:c r="I174" s="85" t="n">
        <x:v>-2934.132085</x:v>
      </x:c>
      <x:c r="J174" s="84" t="n">
        <x:v>2.457251638</x:v>
      </x:c>
      <x:c r="K174" s="84" t="n">
        <x:v>115.90961</x:v>
      </x:c>
      <x:c r="L174" s="84" t="n">
        <x:v>13.75666667</x:v>
      </x:c>
      <x:c r="M174" s="84" t="n">
        <x:v>139.13</x:v>
      </x:c>
      <x:c r="N174" s="86" t="n">
        <x:v>0</x:v>
      </x:c>
      <x:c r="O174" s="1"/>
      <x:c r="P174" s="1"/>
      <x:c r="Q174" s="1"/>
      <x:c r="R174" s="1"/>
      <x:c r="S174" s="1"/>
      <x:c r="T174" s="1"/>
      <x:c r="U174" s="1"/>
      <x:c r="V174" s="1"/>
      <x:c r="W174" s="1"/>
      <x:c r="X174" s="1"/>
      <x:c r="Y174" s="1"/>
      <x:c r="Z174" s="1"/>
    </x:row>
    <x:row r="175">
      <x:c r="A175" s="72" t="str">
        <x:v>2020-01</x:v>
      </x:c>
      <x:c r="B175" s="83" t="n">
        <x:v>3311.189355</x:v>
      </x:c>
      <x:c r="C175" s="83" t="n">
        <x:v>63.64545455</x:v>
      </x:c>
      <x:c r="D175" s="83" t="n">
        <x:v>537.91</x:v>
      </x:c>
      <x:c r="E175" s="83" t="n">
        <x:v>7051.96</x:v>
      </x:c>
      <x:c r="F175" s="84" t="n">
        <x:v>4.25</x:v>
      </x:c>
      <x:c r="G175" s="84" t="n">
        <x:v>1.55</x:v>
      </x:c>
      <x:c r="H175" s="84" t="n">
        <x:v>2.7</x:v>
      </x:c>
      <x:c r="I175" s="85" t="n">
        <x:v>2831.894771</x:v>
      </x:c>
      <x:c r="J175" s="84" t="n">
        <x:v>2.72996169</x:v>
      </x:c>
      <x:c r="K175" s="84" t="n">
        <x:v>115.2793857</x:v>
      </x:c>
      <x:c r="L175" s="84" t="n">
        <x:v>13.94095238</x:v>
      </x:c>
      <x:c r="M175" s="84" t="n">
        <x:v>132.64</x:v>
      </x:c>
      <x:c r="N175" s="86" t="n">
        <x:v>0</x:v>
      </x:c>
      <x:c r="O175" s="1"/>
      <x:c r="P175" s="1"/>
      <x:c r="Q175" s="1"/>
      <x:c r="R175" s="1"/>
      <x:c r="S175" s="1"/>
      <x:c r="T175" s="1"/>
      <x:c r="U175" s="1"/>
      <x:c r="V175" s="1"/>
      <x:c r="W175" s="1"/>
      <x:c r="X175" s="1"/>
      <x:c r="Y175" s="1"/>
      <x:c r="Z175" s="1"/>
    </x:row>
    <x:row r="176">
      <x:c r="A176" s="72" t="str">
        <x:v>2020-02</x:v>
      </x:c>
      <x:c r="B176" s="83" t="n">
        <x:v>3411.052759</x:v>
      </x:c>
      <x:c r="C176" s="83" t="n">
        <x:v>55.657</x:v>
      </x:c>
      <x:c r="D176" s="83" t="n">
        <x:v>536.38</x:v>
      </x:c>
      <x:c r="E176" s="83" t="n">
        <x:v>7076.09</x:v>
      </x:c>
      <x:c r="F176" s="84" t="n">
        <x:v>4.25</x:v>
      </x:c>
      <x:c r="G176" s="84" t="n">
        <x:v>1.58</x:v>
      </x:c>
      <x:c r="H176" s="84" t="n">
        <x:v>2.67</x:v>
      </x:c>
      <x:c r="I176" s="85" t="n">
        <x:v>-4034.656326</x:v>
      </x:c>
      <x:c r="J176" s="84" t="n">
        <x:v>2.376308178</x:v>
      </x:c>
      <x:c r="K176" s="84" t="n">
        <x:v>116.7105421</x:v>
      </x:c>
      <x:c r="L176" s="84" t="n">
        <x:v>19.62894737</x:v>
      </x:c>
      <x:c r="M176" s="84" t="n">
        <x:v>125.37</x:v>
      </x:c>
      <x:c r="N176" s="86" t="n">
        <x:v>0</x:v>
      </x:c>
      <x:c r="O176" s="1"/>
      <x:c r="P176" s="1"/>
      <x:c r="Q176" s="1"/>
      <x:c r="R176" s="1"/>
      <x:c r="S176" s="1"/>
      <x:c r="T176" s="1"/>
      <x:c r="U176" s="1"/>
      <x:c r="V176" s="1"/>
      <x:c r="W176" s="1"/>
      <x:c r="X176" s="1"/>
      <x:c r="Y176" s="1"/>
      <x:c r="Z176" s="1"/>
    </x:row>
    <x:row r="177">
      <x:c r="A177" s="72" t="str">
        <x:v>2020-03</x:v>
      </x:c>
      <x:c r="B177" s="83" t="n">
        <x:v>3877.048387</x:v>
      </x:c>
      <x:c r="C177" s="83" t="n">
        <x:v>32.01136364</x:v>
      </x:c>
      <x:c r="D177" s="83" t="n">
        <x:v>718.64</x:v>
      </x:c>
      <x:c r="E177" s="83" t="n">
        <x:v>7234.76</x:v>
      </x:c>
      <x:c r="F177" s="84" t="n">
        <x:v>4.217741935</x:v>
      </x:c>
      <x:c r="G177" s="84" t="n">
        <x:v>0.65</x:v>
      </x:c>
      <x:c r="H177" s="84" t="n">
        <x:v>3.567741935</x:v>
      </x:c>
      <x:c r="I177" s="85" t="n">
        <x:v>-1265.372149</x:v>
      </x:c>
      <x:c r="J177" s="84" t="n">
        <x:v>2.225878777</x:v>
      </x:c>
      <x:c r="K177" s="84" t="n">
        <x:v>121.0227409</x:v>
      </x:c>
      <x:c r="L177" s="84" t="n">
        <x:v>57.73681818</x:v>
      </x:c>
      <x:c r="M177" s="84" t="n">
        <x:v>100.17</x:v>
      </x:c>
      <x:c r="N177" s="86" t="n">
        <x:v>1</x:v>
      </x:c>
      <x:c r="O177" s="1"/>
      <x:c r="P177" s="1"/>
      <x:c r="Q177" s="1"/>
      <x:c r="R177" s="1"/>
      <x:c r="S177" s="1"/>
      <x:c r="T177" s="1"/>
      <x:c r="U177" s="1"/>
      <x:c r="V177" s="1"/>
      <x:c r="W177" s="1"/>
      <x:c r="X177" s="1"/>
      <x:c r="Y177" s="1"/>
      <x:c r="Z177" s="1"/>
    </x:row>
    <x:row r="178">
      <x:c r="A178" s="72" t="str">
        <x:v>2020-04</x:v>
      </x:c>
      <x:c r="B178" s="83" t="n">
        <x:v>3977.393333</x:v>
      </x:c>
      <x:c r="C178" s="83" t="n">
        <x:v>18.3785</x:v>
      </x:c>
      <x:c r="D178" s="83" t="n">
        <x:v>349.52</x:v>
      </x:c>
      <x:c r="E178" s="83" t="n">
        <x:v>6987.75</x:v>
      </x:c>
      <x:c r="F178" s="84" t="n">
        <x:v>3.75</x:v>
      </x:c>
      <x:c r="G178" s="84" t="n">
        <x:v>0.05</x:v>
      </x:c>
      <x:c r="H178" s="84" t="n">
        <x:v>3.7</x:v>
      </x:c>
      <x:c r="I178" s="85" t="n">
        <x:v>-8441.085868</x:v>
      </x:c>
      <x:c r="J178" s="84" t="n">
        <x:v>3.178987191</x:v>
      </x:c>
      <x:c r="K178" s="84" t="n">
        <x:v>123.2803455</x:v>
      </x:c>
      <x:c r="L178" s="84" t="n">
        <x:v>41.45380952</x:v>
      </x:c>
      <x:c r="M178" s="84" t="n">
        <x:v>96.74</x:v>
      </x:c>
      <x:c r="N178" s="86" t="n">
        <x:v>1</x:v>
      </x:c>
      <x:c r="O178" s="1"/>
      <x:c r="P178" s="1"/>
      <x:c r="Q178" s="1"/>
      <x:c r="R178" s="1"/>
      <x:c r="S178" s="1"/>
      <x:c r="T178" s="1"/>
      <x:c r="U178" s="1"/>
      <x:c r="V178" s="1"/>
      <x:c r="W178" s="1"/>
      <x:c r="X178" s="1"/>
      <x:c r="Y178" s="1"/>
      <x:c r="Z178" s="1"/>
    </x:row>
    <x:row r="179">
      <x:c r="A179" s="72" t="str">
        <x:v>2020-05</x:v>
      </x:c>
      <x:c r="B179" s="83" t="n">
        <x:v>3858.191613</x:v>
      </x:c>
      <x:c r="C179" s="83" t="n">
        <x:v>29.37894737</x:v>
      </x:c>
      <x:c r="D179" s="83" t="n">
        <x:v>448.57</x:v>
      </x:c>
      <x:c r="E179" s="83" t="n">
        <x:v>6784.09</x:v>
      </x:c>
      <x:c r="F179" s="84" t="n">
        <x:v>3.298387097</x:v>
      </x:c>
      <x:c r="G179" s="84" t="n">
        <x:v>0.05</x:v>
      </x:c>
      <x:c r="H179" s="84" t="n">
        <x:v>3.248387097</x:v>
      </x:c>
      <x:c r="I179" s="85" t="n">
        <x:v>-7384.940838</x:v>
      </x:c>
      <x:c r="J179" s="84" t="n">
        <x:v>3.909812532</x:v>
      </x:c>
      <x:c r="K179" s="84" t="n">
        <x:v>122.61501</x:v>
      </x:c>
      <x:c r="L179" s="84" t="n">
        <x:v>30.897</x:v>
      </x:c>
      <x:c r="M179" s="84" t="n">
        <x:v>100.17</x:v>
      </x:c>
      <x:c r="N179" s="86" t="n">
        <x:v>1</x:v>
      </x:c>
      <x:c r="O179" s="1"/>
      <x:c r="P179" s="1"/>
      <x:c r="Q179" s="1"/>
      <x:c r="R179" s="1"/>
      <x:c r="S179" s="1"/>
      <x:c r="T179" s="1"/>
      <x:c r="U179" s="1"/>
      <x:c r="V179" s="1"/>
      <x:c r="W179" s="1"/>
      <x:c r="X179" s="1"/>
      <x:c r="Y179" s="1"/>
      <x:c r="Z179" s="1"/>
    </x:row>
    <x:row r="180">
      <x:c r="A180" s="72" t="str">
        <x:v>2020-06</x:v>
      </x:c>
      <x:c r="B180" s="83" t="n">
        <x:v>3701.604333</x:v>
      </x:c>
      <x:c r="C180" s="83" t="n">
        <x:v>40.26681818</x:v>
      </x:c>
      <x:c r="D180" s="83" t="n">
        <x:v>526.42</x:v>
      </x:c>
      <x:c r="E180" s="83" t="n">
        <x:v>6784.76</x:v>
      </x:c>
      <x:c r="F180" s="84" t="n">
        <x:v>2.75</x:v>
      </x:c>
      <x:c r="G180" s="84" t="n">
        <x:v>0.08</x:v>
      </x:c>
      <x:c r="H180" s="84" t="n">
        <x:v>2.67</x:v>
      </x:c>
      <x:c r="I180" s="85" t="n">
        <x:v>-12312.51201</x:v>
      </x:c>
      <x:c r="J180" s="84" t="n">
        <x:v>5.17609732</x:v>
      </x:c>
      <x:c r="K180" s="84" t="n">
        <x:v>119.6766045</x:v>
      </x:c>
      <x:c r="L180" s="84" t="n">
        <x:v>31.11954545</x:v>
      </x:c>
      <x:c r="M180" s="84" t="n">
        <x:v>108.03</x:v>
      </x:c>
      <x:c r="N180" s="86" t="n">
        <x:v>0</x:v>
      </x:c>
      <x:c r="O180" s="1"/>
      <x:c r="P180" s="1"/>
      <x:c r="Q180" s="1"/>
      <x:c r="R180" s="1"/>
      <x:c r="S180" s="1"/>
      <x:c r="T180" s="1"/>
      <x:c r="U180" s="1"/>
      <x:c r="V180" s="1"/>
      <x:c r="W180" s="1"/>
      <x:c r="X180" s="1"/>
      <x:c r="Y180" s="1"/>
      <x:c r="Z180" s="1"/>
    </x:row>
    <x:row r="181">
      <x:c r="A181" s="72" t="str">
        <x:v>2020-07</x:v>
      </x:c>
      <x:c r="B181" s="83" t="n">
        <x:v>3657.866774</x:v>
      </x:c>
      <x:c r="C181" s="83" t="n">
        <x:v>43.24217391</x:v>
      </x:c>
      <x:c r="D181" s="83" t="n">
        <x:v>584.64</x:v>
      </x:c>
      <x:c r="E181" s="83" t="n">
        <x:v>6762.52</x:v>
      </x:c>
      <x:c r="F181" s="84" t="n">
        <x:v>2.5</x:v>
      </x:c>
      <x:c r="G181" s="84" t="n">
        <x:v>0.09</x:v>
      </x:c>
      <x:c r="H181" s="84" t="n">
        <x:v>2.41</x:v>
      </x:c>
      <x:c r="I181" s="85" t="n">
        <x:v>-11480.51974</x:v>
      </x:c>
      <x:c r="J181" s="84" t="n">
        <x:v>5.791065909</x:v>
      </x:c>
      <x:c r="K181" s="84" t="n">
        <x:v>118.69005</x:v>
      </x:c>
      <x:c r="L181" s="84" t="n">
        <x:v>26.84045455</x:v>
      </x:c>
      <x:c r="M181" s="84" t="n">
        <x:v>117.97</x:v>
      </x:c>
      <x:c r="N181" s="86" t="n">
        <x:v>0</x:v>
      </x:c>
      <x:c r="O181" s="1"/>
      <x:c r="P181" s="1"/>
      <x:c r="Q181" s="1"/>
      <x:c r="R181" s="1"/>
      <x:c r="S181" s="1"/>
      <x:c r="T181" s="1"/>
      <x:c r="U181" s="1"/>
      <x:c r="V181" s="1"/>
      <x:c r="W181" s="1"/>
      <x:c r="X181" s="1"/>
      <x:c r="Y181" s="1"/>
      <x:c r="Z181" s="1"/>
    </x:row>
    <x:row r="182">
      <x:c r="A182" s="72" t="str">
        <x:v>2020-08</x:v>
      </x:c>
      <x:c r="B182" s="83" t="n">
        <x:v>3783.025806</x:v>
      </x:c>
      <x:c r="C182" s="83" t="n">
        <x:v>44.736</x:v>
      </x:c>
      <x:c r="D182" s="83" t="n">
        <x:v>635.88</x:v>
      </x:c>
      <x:c r="E182" s="83" t="n">
        <x:v>6718.1</x:v>
      </x:c>
      <x:c r="F182" s="84" t="n">
        <x:v>2.266129032</x:v>
      </x:c>
      <x:c r="G182" s="84" t="n">
        <x:v>0.1</x:v>
      </x:c>
      <x:c r="H182" s="84" t="n">
        <x:v>2.166129032</x:v>
      </x:c>
      <x:c r="I182" s="85" t="n">
        <x:v>-11214.28637</x:v>
      </x:c>
      <x:c r="J182" s="84" t="n">
        <x:v>6.324605304</x:v>
      </x:c>
      <x:c r="K182" s="84" t="n">
        <x:v>116.9453476</x:v>
      </x:c>
      <x:c r="L182" s="84" t="n">
        <x:v>22.88952381</x:v>
      </x:c>
      <x:c r="M182" s="84" t="n">
        <x:v>122.67</x:v>
      </x:c>
      <x:c r="N182" s="86" t="n">
        <x:v>0</x:v>
      </x:c>
      <x:c r="O182" s="1"/>
      <x:c r="P182" s="1"/>
      <x:c r="Q182" s="1"/>
      <x:c r="R182" s="1"/>
      <x:c r="S182" s="1"/>
      <x:c r="T182" s="1"/>
      <x:c r="U182" s="1"/>
      <x:c r="V182" s="1"/>
      <x:c r="W182" s="1"/>
      <x:c r="X182" s="1"/>
      <x:c r="Y182" s="1"/>
      <x:c r="Z182" s="1"/>
    </x:row>
    <x:row r="183">
      <x:c r="A183" s="72" t="str">
        <x:v>2020-09</x:v>
      </x:c>
      <x:c r="B183" s="83" t="n">
        <x:v>3750.215333</x:v>
      </x:c>
      <x:c r="C183" s="83" t="n">
        <x:v>40.90954545</x:v>
      </x:c>
      <x:c r="D183" s="83" t="n">
        <x:v>653</x:v>
      </x:c>
      <x:c r="E183" s="83" t="n">
        <x:v>6788.77</x:v>
      </x:c>
      <x:c r="F183" s="84" t="n">
        <x:v>1.975</x:v>
      </x:c>
      <x:c r="G183" s="84" t="n">
        <x:v>0.09</x:v>
      </x:c>
      <x:c r="H183" s="84" t="n">
        <x:v>1.885</x:v>
      </x:c>
      <x:c r="I183" s="85" t="n">
        <x:v>-6442.003856</x:v>
      </x:c>
      <x:c r="J183" s="84" t="n">
        <x:v>7.363909642</x:v>
      </x:c>
      <x:c r="K183" s="84" t="n">
        <x:v>116.3431333</x:v>
      </x:c>
      <x:c r="L183" s="84" t="n">
        <x:v>27.64761905</x:v>
      </x:c>
      <x:c r="M183" s="84" t="n">
        <x:v>121.86</x:v>
      </x:c>
      <x:c r="N183" s="86" t="n">
        <x:v>0</x:v>
      </x:c>
      <x:c r="O183" s="1"/>
      <x:c r="P183" s="1"/>
      <x:c r="Q183" s="1"/>
      <x:c r="R183" s="1"/>
      <x:c r="S183" s="1"/>
      <x:c r="T183" s="1"/>
      <x:c r="U183" s="1"/>
      <x:c r="V183" s="1"/>
      <x:c r="W183" s="1"/>
      <x:c r="X183" s="1"/>
      <x:c r="Y183" s="1"/>
      <x:c r="Z183" s="1"/>
    </x:row>
    <x:row r="184">
      <x:c r="A184" s="72" t="str">
        <x:v>2020-10</x:v>
      </x:c>
      <x:c r="B184" s="83" t="n">
        <x:v>3833.788387</x:v>
      </x:c>
      <x:c r="C184" s="83" t="n">
        <x:v>40.18954545</x:v>
      </x:c>
      <x:c r="D184" s="83" t="n">
        <x:v>646.59</x:v>
      </x:c>
      <x:c r="E184" s="83" t="n">
        <x:v>6838.03</x:v>
      </x:c>
      <x:c r="F184" s="84" t="n">
        <x:v>1.75</x:v>
      </x:c>
      <x:c r="G184" s="84" t="n">
        <x:v>0.09</x:v>
      </x:c>
      <x:c r="H184" s="84" t="n">
        <x:v>1.66</x:v>
      </x:c>
      <x:c r="I184" s="85" t="n">
        <x:v>2477.461562</x:v>
      </x:c>
      <x:c r="J184" s="84" t="n">
        <x:v>6.480396271</x:v>
      </x:c>
      <x:c r="K184" s="84" t="n">
        <x:v>115.7798143</x:v>
      </x:c>
      <x:c r="L184" s="84" t="n">
        <x:v>29.43863636</x:v>
      </x:c>
      <x:c r="M184" s="84" t="n">
        <x:v>121.18</x:v>
      </x:c>
      <x:c r="N184" s="86" t="n">
        <x:v>0</x:v>
      </x:c>
      <x:c r="O184" s="1"/>
      <x:c r="P184" s="1"/>
      <x:c r="Q184" s="1"/>
      <x:c r="R184" s="1"/>
      <x:c r="S184" s="1"/>
      <x:c r="T184" s="1"/>
      <x:c r="U184" s="1"/>
      <x:c r="V184" s="1"/>
      <x:c r="W184" s="1"/>
      <x:c r="X184" s="1"/>
      <x:c r="Y184" s="1"/>
      <x:c r="Z184" s="1"/>
    </x:row>
    <x:row r="185">
      <x:c r="A185" s="72" t="str">
        <x:v>2020-11</x:v>
      </x:c>
      <x:c r="B185" s="83" t="n">
        <x:v>3685.626667</x:v>
      </x:c>
      <x:c r="C185" s="83" t="n">
        <x:v>42.69238095</x:v>
      </x:c>
      <x:c r="D185" s="83" t="n">
        <x:v>602.59</x:v>
      </x:c>
      <x:c r="E185" s="83" t="n">
        <x:v>6897.68</x:v>
      </x:c>
      <x:c r="F185" s="84" t="n">
        <x:v>1.75</x:v>
      </x:c>
      <x:c r="G185" s="84" t="n">
        <x:v>0.09</x:v>
      </x:c>
      <x:c r="H185" s="84" t="n">
        <x:v>1.66</x:v>
      </x:c>
      <x:c r="I185" s="85" t="n">
        <x:v>-8645.868268</x:v>
      </x:c>
      <x:c r="J185" s="84" t="n">
        <x:v>6.895144794</x:v>
      </x:c>
      <x:c r="K185" s="84" t="n">
        <x:v>114.0984</x:v>
      </x:c>
      <x:c r="L185" s="84" t="n">
        <x:v>24.9955</x:v>
      </x:c>
      <x:c r="M185" s="84" t="n">
        <x:v>123.44</x:v>
      </x:c>
      <x:c r="N185" s="86" t="n">
        <x:v>0</x:v>
      </x:c>
      <x:c r="O185" s="1"/>
      <x:c r="P185" s="1"/>
      <x:c r="Q185" s="1"/>
      <x:c r="R185" s="1"/>
      <x:c r="S185" s="1"/>
      <x:c r="T185" s="1"/>
      <x:c r="U185" s="1"/>
      <x:c r="V185" s="1"/>
      <x:c r="W185" s="1"/>
      <x:c r="X185" s="1"/>
      <x:c r="Y185" s="1"/>
      <x:c r="Z185" s="1"/>
    </x:row>
    <x:row r="186">
      <x:c r="A186" s="72" t="str">
        <x:v>2020-12</x:v>
      </x:c>
      <x:c r="B186" s="83" t="n">
        <x:v>3466.127097</x:v>
      </x:c>
      <x:c r="C186" s="83" t="n">
        <x:v>49.99363636</x:v>
      </x:c>
      <x:c r="D186" s="83" t="n">
        <x:v>668.7</x:v>
      </x:c>
      <x:c r="E186" s="83" t="n">
        <x:v>6908.84</x:v>
      </x:c>
      <x:c r="F186" s="84" t="n">
        <x:v>1.75</x:v>
      </x:c>
      <x:c r="G186" s="84" t="n">
        <x:v>0.09</x:v>
      </x:c>
      <x:c r="H186" s="84" t="n">
        <x:v>1.66</x:v>
      </x:c>
      <x:c r="I186" s="85" t="n">
        <x:v>-11851.53491</x:v>
      </x:c>
      <x:c r="J186" s="84" t="n">
        <x:v>7.788250635</x:v>
      </x:c>
      <x:c r="K186" s="84" t="n">
        <x:v>111.8992143</x:v>
      </x:c>
      <x:c r="L186" s="84" t="n">
        <x:v>22.37409091</x:v>
      </x:c>
      <x:c r="M186" s="84" t="n">
        <x:v>129.34</x:v>
      </x:c>
      <x:c r="N186" s="86" t="n">
        <x:v>0</x:v>
      </x:c>
      <x:c r="O186" s="1"/>
      <x:c r="P186" s="1"/>
      <x:c r="Q186" s="1"/>
      <x:c r="R186" s="1"/>
      <x:c r="S186" s="1"/>
      <x:c r="T186" s="1"/>
      <x:c r="U186" s="1"/>
      <x:c r="V186" s="1"/>
      <x:c r="W186" s="1"/>
      <x:c r="X186" s="1"/>
      <x:c r="Y186" s="1"/>
      <x:c r="Z186" s="1"/>
    </x:row>
    <x:row r="187">
      <x:c r="A187" s="72" t="str">
        <x:v>2021-01</x:v>
      </x:c>
      <x:c r="B187" s="83" t="n">
        <x:v>3491.321613</x:v>
      </x:c>
      <x:c r="C187" s="83" t="n">
        <x:v>54.774</x:v>
      </x:c>
      <x:c r="D187" s="83" t="n">
        <x:v>547.62</x:v>
      </x:c>
      <x:c r="E187" s="83" t="n">
        <x:v>6918.55</x:v>
      </x:c>
      <x:c r="F187" s="84" t="n">
        <x:v>1.75</x:v>
      </x:c>
      <x:c r="G187" s="84" t="n">
        <x:v>0.09</x:v>
      </x:c>
      <x:c r="H187" s="84" t="n">
        <x:v>1.66</x:v>
      </x:c>
      <x:c r="I187" s="85" t="n">
        <x:v>-3975.91576</x:v>
      </x:c>
      <x:c r="J187" s="84" t="n">
        <x:v>7.0911306</x:v>
      </x:c>
      <x:c r="K187" s="84" t="n">
        <x:v>111.4872722</x:v>
      </x:c>
      <x:c r="L187" s="84" t="n">
        <x:v>24.91</x:v>
      </x:c>
      <x:c r="M187" s="84" t="n">
        <x:v>133.99</x:v>
      </x:c>
      <x:c r="N187" s="86" t="n">
        <x:v>0</x:v>
      </x:c>
      <x:c r="O187" s="1"/>
      <x:c r="P187" s="1"/>
      <x:c r="Q187" s="1"/>
      <x:c r="R187" s="1"/>
      <x:c r="S187" s="1"/>
      <x:c r="T187" s="1"/>
      <x:c r="U187" s="1"/>
      <x:c r="V187" s="1"/>
      <x:c r="W187" s="1"/>
      <x:c r="X187" s="1"/>
      <x:c r="Y187" s="1"/>
      <x:c r="Z187" s="1"/>
    </x:row>
    <x:row r="188">
      <x:c r="A188" s="72" t="str">
        <x:v>2021-02</x:v>
      </x:c>
      <x:c r="B188" s="83" t="n">
        <x:v>3554.504286</x:v>
      </x:c>
      <x:c r="C188" s="83" t="n">
        <x:v>62.2765</x:v>
      </x:c>
      <x:c r="D188" s="83" t="n">
        <x:v>606.02</x:v>
      </x:c>
      <x:c r="E188" s="83" t="n">
        <x:v>6988.19</x:v>
      </x:c>
      <x:c r="F188" s="84" t="n">
        <x:v>1.75</x:v>
      </x:c>
      <x:c r="G188" s="84" t="n">
        <x:v>0.08</x:v>
      </x:c>
      <x:c r="H188" s="84" t="n">
        <x:v>1.67</x:v>
      </x:c>
      <x:c r="I188" s="85" t="n">
        <x:v>-11153.51896</x:v>
      </x:c>
      <x:c r="J188" s="84" t="n">
        <x:v>7.68803314</x:v>
      </x:c>
      <x:c r="K188" s="84" t="n">
        <x:v>112.0170526</x:v>
      </x:c>
      <x:c r="L188" s="84" t="n">
        <x:v>23.14052632</x:v>
      </x:c>
      <x:c r="M188" s="84" t="n">
        <x:v>133.22</x:v>
      </x:c>
      <x:c r="N188" s="86" t="n">
        <x:v>0</x:v>
      </x:c>
      <x:c r="O188" s="1"/>
      <x:c r="P188" s="1"/>
      <x:c r="Q188" s="1"/>
      <x:c r="R188" s="1"/>
      <x:c r="S188" s="1"/>
      <x:c r="T188" s="1"/>
      <x:c r="U188" s="1"/>
      <x:c r="V188" s="1"/>
      <x:c r="W188" s="1"/>
      <x:c r="X188" s="1"/>
      <x:c r="Y188" s="1"/>
      <x:c r="Z188" s="1"/>
    </x:row>
    <x:row r="189">
      <x:c r="A189" s="72" t="str">
        <x:v>2021-03</x:v>
      </x:c>
      <x:c r="B189" s="83" t="n">
        <x:v>3612.768387</x:v>
      </x:c>
      <x:c r="C189" s="83" t="n">
        <x:v>65.41</x:v>
      </x:c>
      <x:c r="D189" s="83" t="n">
        <x:v>795.37</x:v>
      </x:c>
      <x:c r="E189" s="83" t="n">
        <x:v>7064.92</x:v>
      </x:c>
      <x:c r="F189" s="84" t="n">
        <x:v>1.75</x:v>
      </x:c>
      <x:c r="G189" s="84" t="n">
        <x:v>0.07</x:v>
      </x:c>
      <x:c r="H189" s="84" t="n">
        <x:v>1.68</x:v>
      </x:c>
      <x:c r="I189" s="85" t="n">
        <x:v>261.5796268</x:v>
      </x:c>
      <x:c r="J189" s="84" t="n">
        <x:v>7.560001257</x:v>
      </x:c>
      <x:c r="K189" s="84" t="n">
        <x:v>113.3366435</x:v>
      </x:c>
      <x:c r="L189" s="84" t="n">
        <x:v>21.84304348</x:v>
      </x:c>
      <x:c r="M189" s="84" t="n">
        <x:v>137.51</x:v>
      </x:c>
      <x:c r="N189" s="86" t="n">
        <x:v>0</x:v>
      </x:c>
      <x:c r="O189" s="1"/>
      <x:c r="P189" s="1"/>
      <x:c r="Q189" s="1"/>
      <x:c r="R189" s="1"/>
      <x:c r="S189" s="1"/>
      <x:c r="T189" s="1"/>
      <x:c r="U189" s="1"/>
      <x:c r="V189" s="1"/>
      <x:c r="W189" s="1"/>
      <x:c r="X189" s="1"/>
      <x:c r="Y189" s="1"/>
      <x:c r="Z189" s="1"/>
    </x:row>
    <x:row r="190">
      <x:c r="A190" s="72" t="str">
        <x:v>2021-04</x:v>
      </x:c>
      <x:c r="B190" s="83" t="n">
        <x:v>3650.776</x:v>
      </x:c>
      <x:c r="C190" s="83" t="n">
        <x:v>64.8065</x:v>
      </x:c>
      <x:c r="D190" s="83" t="n">
        <x:v>709.16</x:v>
      </x:c>
      <x:c r="E190" s="83" t="n">
        <x:v>7424.56</x:v>
      </x:c>
      <x:c r="F190" s="84" t="n">
        <x:v>1.75</x:v>
      </x:c>
      <x:c r="G190" s="84" t="n">
        <x:v>0.07</x:v>
      </x:c>
      <x:c r="H190" s="84" t="n">
        <x:v>1.68</x:v>
      </x:c>
      <x:c r="I190" s="85" t="n">
        <x:v>-5640.34754</x:v>
      </x:c>
      <x:c r="J190" s="84" t="n">
        <x:v>7.325164892</x:v>
      </x:c>
      <x:c r="K190" s="84" t="n">
        <x:v>112.6322864</x:v>
      </x:c>
      <x:c r="L190" s="84" t="n">
        <x:v>17.41619048</x:v>
      </x:c>
      <x:c r="M190" s="84" t="n">
        <x:v>129.87</x:v>
      </x:c>
      <x:c r="N190" s="86" t="n">
        <x:v>0</x:v>
      </x:c>
      <x:c r="O190" s="1"/>
      <x:c r="P190" s="1"/>
      <x:c r="Q190" s="1"/>
      <x:c r="R190" s="1"/>
      <x:c r="S190" s="1"/>
      <x:c r="T190" s="1"/>
      <x:c r="U190" s="1"/>
      <x:c r="V190" s="1"/>
      <x:c r="W190" s="1"/>
      <x:c r="X190" s="1"/>
      <x:c r="Y190" s="1"/>
      <x:c r="Z190" s="1"/>
    </x:row>
    <x:row r="191">
      <x:c r="A191" s="72" t="str">
        <x:v>2021-05</x:v>
      </x:c>
      <x:c r="B191" s="83" t="n">
        <x:v>3735.666129</x:v>
      </x:c>
      <x:c r="C191" s="83" t="n">
        <x:v>68.53421053</x:v>
      </x:c>
      <x:c r="D191" s="83" t="n">
        <x:v>759.17</x:v>
      </x:c>
      <x:c r="E191" s="83" t="n">
        <x:v>7735.16</x:v>
      </x:c>
      <x:c r="F191" s="84" t="n">
        <x:v>1.75</x:v>
      </x:c>
      <x:c r="G191" s="84" t="n">
        <x:v>0.06</x:v>
      </x:c>
      <x:c r="H191" s="84" t="n">
        <x:v>1.69</x:v>
      </x:c>
      <x:c r="I191" s="85" t="n">
        <x:v>-4145.044419</x:v>
      </x:c>
      <x:c r="J191" s="84" t="n">
        <x:v>7.053505991</x:v>
      </x:c>
      <x:c r="K191" s="84" t="n">
        <x:v>111.21227</x:v>
      </x:c>
      <x:c r="L191" s="84" t="n">
        <x:v>19.7605</x:v>
      </x:c>
      <x:c r="M191" s="84" t="n">
        <x:v>131.94</x:v>
      </x:c>
      <x:c r="N191" s="86" t="n">
        <x:v>0</x:v>
      </x:c>
      <x:c r="O191" s="1"/>
      <x:c r="P191" s="1"/>
      <x:c r="Q191" s="1"/>
      <x:c r="R191" s="1"/>
      <x:c r="S191" s="1"/>
      <x:c r="T191" s="1"/>
      <x:c r="U191" s="1"/>
      <x:c r="V191" s="1"/>
      <x:c r="W191" s="1"/>
      <x:c r="X191" s="1"/>
      <x:c r="Y191" s="1"/>
      <x:c r="Z191" s="1"/>
    </x:row>
    <x:row r="192">
      <x:c r="A192" s="72" t="str">
        <x:v>2021-06</x:v>
      </x:c>
      <x:c r="B192" s="83" t="n">
        <x:v>3685.042667</x:v>
      </x:c>
      <x:c r="C192" s="83" t="n">
        <x:v>73.16409091</x:v>
      </x:c>
      <x:c r="D192" s="83" t="n">
        <x:v>699.01</x:v>
      </x:c>
      <x:c r="E192" s="83" t="n">
        <x:v>7907.75</x:v>
      </x:c>
      <x:c r="F192" s="84" t="n">
        <x:v>1.75</x:v>
      </x:c>
      <x:c r="G192" s="84" t="n">
        <x:v>0.08</x:v>
      </x:c>
      <x:c r="H192" s="84" t="n">
        <x:v>1.67</x:v>
      </x:c>
      <x:c r="I192" s="85" t="n">
        <x:v>-10505.66582</x:v>
      </x:c>
      <x:c r="J192" s="84" t="n">
        <x:v>6.902005515</x:v>
      </x:c>
      <x:c r="K192" s="84" t="n">
        <x:v>111.5776955</x:v>
      </x:c>
      <x:c r="L192" s="84" t="n">
        <x:v>16.95681818</x:v>
      </x:c>
      <x:c r="M192" s="84" t="n">
        <x:v>138.18</x:v>
      </x:c>
      <x:c r="N192" s="86" t="n">
        <x:v>0</x:v>
      </x:c>
      <x:c r="O192" s="1"/>
      <x:c r="P192" s="1"/>
      <x:c r="Q192" s="1"/>
      <x:c r="R192" s="1"/>
      <x:c r="S192" s="1"/>
      <x:c r="T192" s="1"/>
      <x:c r="U192" s="1"/>
      <x:c r="V192" s="1"/>
      <x:c r="W192" s="1"/>
      <x:c r="X192" s="1"/>
      <x:c r="Y192" s="1"/>
      <x:c r="Z192" s="1"/>
    </x:row>
    <x:row r="193">
      <x:c r="A193" s="72" t="str">
        <x:v>2021-07</x:v>
      </x:c>
      <x:c r="B193" s="83" t="n">
        <x:v>3829.418065</x:v>
      </x:c>
      <x:c r="C193" s="83" t="n">
        <x:v>75.16590909</x:v>
      </x:c>
      <x:c r="D193" s="83" t="n">
        <x:v>741.6</x:v>
      </x:c>
      <x:c r="E193" s="83" t="n">
        <x:v>8064.71</x:v>
      </x:c>
      <x:c r="F193" s="84" t="n">
        <x:v>1.75</x:v>
      </x:c>
      <x:c r="G193" s="84" t="n">
        <x:v>0.1</x:v>
      </x:c>
      <x:c r="H193" s="84" t="n">
        <x:v>1.65</x:v>
      </x:c>
      <x:c r="I193" s="85" t="n">
        <x:v>-8204.341235</x:v>
      </x:c>
      <x:c r="J193" s="84" t="n">
        <x:v>6.627304432</x:v>
      </x:c>
      <x:c r="K193" s="84" t="n">
        <x:v>113.063319</x:v>
      </x:c>
      <x:c r="L193" s="84" t="n">
        <x:v>17.60333333</x:v>
      </x:c>
      <x:c r="M193" s="84" t="n">
        <x:v>136.71</x:v>
      </x:c>
      <x:c r="N193" s="86" t="n">
        <x:v>0</x:v>
      </x:c>
      <x:c r="O193" s="1"/>
      <x:c r="P193" s="1"/>
      <x:c r="Q193" s="1"/>
      <x:c r="R193" s="1"/>
      <x:c r="S193" s="1"/>
      <x:c r="T193" s="1"/>
      <x:c r="U193" s="1"/>
      <x:c r="V193" s="1"/>
      <x:c r="W193" s="1"/>
      <x:c r="X193" s="1"/>
      <x:c r="Y193" s="1"/>
      <x:c r="Z193" s="1"/>
    </x:row>
    <x:row r="194">
      <x:c r="A194" s="72" t="str">
        <x:v>2021-08</x:v>
      </x:c>
      <x:c r="B194" s="83" t="n">
        <x:v>3881.183548</x:v>
      </x:c>
      <x:c r="C194" s="83" t="n">
        <x:v>70.74714286</x:v>
      </x:c>
      <x:c r="D194" s="83" t="n">
        <x:v>744.43</x:v>
      </x:c>
      <x:c r="E194" s="83" t="n">
        <x:v>8173.26</x:v>
      </x:c>
      <x:c r="F194" s="84" t="n">
        <x:v>1.75</x:v>
      </x:c>
      <x:c r="G194" s="84" t="n">
        <x:v>0.09</x:v>
      </x:c>
      <x:c r="H194" s="84" t="n">
        <x:v>1.66</x:v>
      </x:c>
      <x:c r="I194" s="85" t="n">
        <x:v>4852.144199</x:v>
      </x:c>
      <x:c r="J194" s="84" t="n">
        <x:v>5.280166034</x:v>
      </x:c>
      <x:c r="K194" s="84" t="n">
        <x:v>113.4025364</x:v>
      </x:c>
      <x:c r="L194" s="84" t="n">
        <x:v>17.47272727</x:v>
      </x:c>
      <x:c r="M194" s="84" t="n">
        <x:v>136.74</x:v>
      </x:c>
      <x:c r="N194" s="86" t="n">
        <x:v>0</x:v>
      </x:c>
      <x:c r="O194" s="1"/>
      <x:c r="P194" s="1"/>
      <x:c r="Q194" s="1"/>
      <x:c r="R194" s="1"/>
      <x:c r="S194" s="1"/>
      <x:c r="T194" s="1"/>
      <x:c r="U194" s="1"/>
      <x:c r="V194" s="1"/>
      <x:c r="W194" s="1"/>
      <x:c r="X194" s="1"/>
      <x:c r="Y194" s="1"/>
      <x:c r="Z194" s="1"/>
    </x:row>
    <x:row r="195">
      <x:c r="A195" s="72" t="str">
        <x:v>2021-09</x:v>
      </x:c>
      <x:c r="B195" s="83" t="n">
        <x:v>3821.537667</x:v>
      </x:c>
      <x:c r="C195" s="83" t="n">
        <x:v>74.48863636</x:v>
      </x:c>
      <x:c r="D195" s="83" t="n">
        <x:v>682.84</x:v>
      </x:c>
      <x:c r="E195" s="83" t="n">
        <x:v>8203.1</x:v>
      </x:c>
      <x:c r="F195" s="84" t="n">
        <x:v>1.75</x:v>
      </x:c>
      <x:c r="G195" s="84" t="n">
        <x:v>0.08</x:v>
      </x:c>
      <x:c r="H195" s="84" t="n">
        <x:v>1.67</x:v>
      </x:c>
      <x:c r="I195" s="85" t="n">
        <x:v>-1203.703056</x:v>
      </x:c>
      <x:c r="J195" s="84" t="n">
        <x:v>4.840944881</x:v>
      </x:c>
      <x:c r="K195" s="84" t="n">
        <x:v>113.4437476</x:v>
      </x:c>
      <x:c r="L195" s="84" t="n">
        <x:v>19.8247619</x:v>
      </x:c>
      <x:c r="M195" s="84" t="n">
        <x:v>146.87</x:v>
      </x:c>
      <x:c r="N195" s="86" t="n">
        <x:v>0</x:v>
      </x:c>
      <x:c r="O195" s="1"/>
      <x:c r="P195" s="1"/>
      <x:c r="Q195" s="1"/>
      <x:c r="R195" s="1"/>
      <x:c r="S195" s="1"/>
      <x:c r="T195" s="1"/>
      <x:c r="U195" s="1"/>
      <x:c r="V195" s="1"/>
      <x:c r="W195" s="1"/>
      <x:c r="X195" s="1"/>
      <x:c r="Y195" s="1"/>
      <x:c r="Z195" s="1"/>
    </x:row>
    <x:row r="196">
      <x:c r="A196" s="72" t="str">
        <x:v>2021-10</x:v>
      </x:c>
      <x:c r="B196" s="83" t="n">
        <x:v>3773.384194</x:v>
      </x:c>
      <x:c r="C196" s="83" t="n">
        <x:v>83.53809524</x:v>
      </x:c>
      <x:c r="D196" s="83" t="n">
        <x:v>664.02</x:v>
      </x:c>
      <x:c r="E196" s="83" t="n">
        <x:v>8220.53</x:v>
      </x:c>
      <x:c r="F196" s="84" t="n">
        <x:v>2</x:v>
      </x:c>
      <x:c r="G196" s="84" t="n">
        <x:v>0.08</x:v>
      </x:c>
      <x:c r="H196" s="84" t="n">
        <x:v>1.92</x:v>
      </x:c>
      <x:c r="I196" s="85" t="n">
        <x:v>-14353.43524</x:v>
      </x:c>
      <x:c r="J196" s="84" t="n">
        <x:v>6.25218226</x:v>
      </x:c>
      <x:c r="K196" s="84" t="n">
        <x:v>114.063485</x:v>
      </x:c>
      <x:c r="L196" s="84" t="n">
        <x:v>17.87142857</x:v>
      </x:c>
      <x:c r="M196" s="84" t="n">
        <x:v>149.87</x:v>
      </x:c>
      <x:c r="N196" s="86" t="n">
        <x:v>0</x:v>
      </x:c>
      <x:c r="O196" s="1"/>
      <x:c r="P196" s="1"/>
      <x:c r="Q196" s="1"/>
      <x:c r="R196" s="1"/>
      <x:c r="S196" s="1"/>
      <x:c r="T196" s="1"/>
      <x:c r="U196" s="1"/>
      <x:c r="V196" s="1"/>
      <x:c r="W196" s="1"/>
      <x:c r="X196" s="1"/>
      <x:c r="Y196" s="1"/>
      <x:c r="Z196" s="1"/>
    </x:row>
    <x:row r="197">
      <x:c r="A197" s="72" t="str">
        <x:v>2021-11</x:v>
      </x:c>
      <x:c r="B197" s="83" t="n">
        <x:v>3902.901</x:v>
      </x:c>
      <x:c r="C197" s="83" t="n">
        <x:v>81.05</x:v>
      </x:c>
      <x:c r="D197" s="83" t="n">
        <x:v>817.19</x:v>
      </x:c>
      <x:c r="E197" s="83" t="n">
        <x:v>8435.13</x:v>
      </x:c>
      <x:c r="F197" s="84" t="n">
        <x:v>2.483333333</x:v>
      </x:c>
      <x:c r="G197" s="84" t="n">
        <x:v>0.08</x:v>
      </x:c>
      <x:c r="H197" s="84" t="n">
        <x:v>2.403333333</x:v>
      </x:c>
      <x:c r="I197" s="85" t="n">
        <x:v>-13322.33323</x:v>
      </x:c>
      <x:c r="J197" s="84" t="n">
        <x:v>6.64429459</x:v>
      </x:c>
      <x:c r="K197" s="84" t="n">
        <x:v>114.989795</x:v>
      </x:c>
      <x:c r="L197" s="84" t="n">
        <x:v>18.50047619</x:v>
      </x:c>
      <x:c r="M197" s="84" t="n">
        <x:v>151.22</x:v>
      </x:c>
      <x:c r="N197" s="86" t="n">
        <x:v>0</x:v>
      </x:c>
      <x:c r="O197" s="1"/>
      <x:c r="P197" s="1"/>
      <x:c r="Q197" s="1"/>
      <x:c r="R197" s="1"/>
      <x:c r="S197" s="1"/>
      <x:c r="T197" s="1"/>
      <x:c r="U197" s="1"/>
      <x:c r="V197" s="1"/>
      <x:c r="W197" s="1"/>
      <x:c r="X197" s="1"/>
      <x:c r="Y197" s="1"/>
      <x:c r="Z197" s="1"/>
    </x:row>
    <x:row r="198">
      <x:c r="A198" s="72" t="str">
        <x:v>2021-12</x:v>
      </x:c>
      <x:c r="B198" s="83" t="n">
        <x:v>3963.133548</x:v>
      </x:c>
      <x:c r="C198" s="83" t="n">
        <x:v>74.17047619</x:v>
      </x:c>
      <x:c r="D198" s="83" t="n">
        <x:v>830.81</x:v>
      </x:c>
      <x:c r="E198" s="83" t="n">
        <x:v>8597.24</x:v>
      </x:c>
      <x:c r="F198" s="84" t="n">
        <x:v>2.693548387</x:v>
      </x:c>
      <x:c r="G198" s="84" t="n">
        <x:v>0.08</x:v>
      </x:c>
      <x:c r="H198" s="84" t="n">
        <x:v>2.613548387</x:v>
      </x:c>
      <x:c r="I198" s="85" t="n">
        <x:v>-15758.37634</x:v>
      </x:c>
      <x:c r="J198" s="84" t="n">
        <x:v>6.97187551</x:v>
      </x:c>
      <x:c r="K198" s="84" t="n">
        <x:v>115.8045381</x:v>
      </x:c>
      <x:c r="L198" s="84" t="n">
        <x:v>21.35454545</x:v>
      </x:c>
      <x:c r="M198" s="84" t="n">
        <x:v>150.03</x:v>
      </x:c>
      <x:c r="N198" s="86" t="n">
        <x:v>0</x:v>
      </x:c>
      <x:c r="O198" s="1"/>
      <x:c r="P198" s="1"/>
      <x:c r="Q198" s="1"/>
      <x:c r="R198" s="1"/>
      <x:c r="S198" s="1"/>
      <x:c r="T198" s="1"/>
      <x:c r="U198" s="1"/>
      <x:c r="V198" s="1"/>
      <x:c r="W198" s="1"/>
      <x:c r="X198" s="1"/>
      <x:c r="Y198" s="1"/>
      <x:c r="Z198" s="1"/>
    </x:row>
    <x:row r="199">
      <x:c r="A199" s="72" t="str">
        <x:v>2022-01</x:v>
      </x:c>
      <x:c r="B199" s="83" t="n">
        <x:v>3999.616129</x:v>
      </x:c>
      <x:c r="C199" s="83" t="n">
        <x:v>86.5052381</x:v>
      </x:c>
      <x:c r="D199" s="83" t="n">
        <x:v>664.45</x:v>
      </x:c>
      <x:c r="E199" s="83" t="n">
        <x:v>8714.07</x:v>
      </x:c>
      <x:c r="F199" s="84" t="n">
        <x:v>3.032258065</x:v>
      </x:c>
      <x:c r="G199" s="84" t="n">
        <x:v>0.08</x:v>
      </x:c>
      <x:c r="H199" s="84" t="n">
        <x:v>2.952258065</x:v>
      </x:c>
      <x:c r="I199" s="85" t="n">
        <x:v>2448.449004</x:v>
      </x:c>
      <x:c r="J199" s="84" t="n">
        <x:v>5.215531798</x:v>
      </x:c>
      <x:c r="K199" s="84" t="n">
        <x:v>115.03728</x:v>
      </x:c>
      <x:c r="L199" s="84" t="n">
        <x:v>23.181</x:v>
      </x:c>
      <x:c r="M199" s="84" t="n">
        <x:v>161.25</x:v>
      </x:c>
      <x:c r="N199" s="86" t="n">
        <x:v>0</x:v>
      </x:c>
      <x:c r="O199" s="1"/>
      <x:c r="P199" s="1"/>
      <x:c r="Q199" s="1"/>
      <x:c r="R199" s="1"/>
      <x:c r="S199" s="1"/>
      <x:c r="T199" s="1"/>
      <x:c r="U199" s="1"/>
      <x:c r="V199" s="1"/>
      <x:c r="W199" s="1"/>
      <x:c r="X199" s="1"/>
      <x:c r="Y199" s="1"/>
      <x:c r="Z199" s="1"/>
    </x:row>
    <x:row r="200">
      <x:c r="A200" s="72" t="str">
        <x:v>2022-02</x:v>
      </x:c>
      <x:c r="B200" s="83" t="n">
        <x:v>3935.835714</x:v>
      </x:c>
      <x:c r="C200" s="83" t="n">
        <x:v>97.129</x:v>
      </x:c>
      <x:c r="D200" s="83" t="n">
        <x:v>647.26</x:v>
      </x:c>
      <x:c r="E200" s="83" t="n">
        <x:v>8755.31</x:v>
      </x:c>
      <x:c r="F200" s="84" t="n">
        <x:v>4</x:v>
      </x:c>
      <x:c r="G200" s="84" t="n">
        <x:v>0.08</x:v>
      </x:c>
      <x:c r="H200" s="84" t="n">
        <x:v>3.92</x:v>
      </x:c>
      <x:c r="I200" s="85" t="n">
        <x:v>-9751.783475</x:v>
      </x:c>
      <x:c r="J200" s="84" t="n">
        <x:v>5.120245584</x:v>
      </x:c>
      <x:c r="K200" s="84" t="n">
        <x:v>114.9977421</x:v>
      </x:c>
      <x:c r="L200" s="84" t="n">
        <x:v>25.74842105</x:v>
      </x:c>
      <x:c r="M200" s="84" t="n">
        <x:v>159.72</x:v>
      </x:c>
      <x:c r="N200" s="86" t="n">
        <x:v>0</x:v>
      </x:c>
      <x:c r="O200" s="1"/>
      <x:c r="P200" s="1"/>
      <x:c r="Q200" s="1"/>
      <x:c r="R200" s="1"/>
      <x:c r="S200" s="1"/>
      <x:c r="T200" s="1"/>
      <x:c r="U200" s="1"/>
      <x:c r="V200" s="1"/>
      <x:c r="W200" s="1"/>
      <x:c r="X200" s="1"/>
      <x:c r="Y200" s="1"/>
      <x:c r="Z200" s="1"/>
    </x:row>
    <x:row r="201">
      <x:c r="A201" s="72" t="str">
        <x:v>2022-03</x:v>
      </x:c>
      <x:c r="B201" s="83" t="n">
        <x:v>3807.170968</x:v>
      </x:c>
      <x:c r="C201" s="83" t="n">
        <x:v>117.2452174</x:v>
      </x:c>
      <x:c r="D201" s="83" t="n">
        <x:v>733.95</x:v>
      </x:c>
      <x:c r="E201" s="83" t="n">
        <x:v>8693.89</x:v>
      </x:c>
      <x:c r="F201" s="84" t="n">
        <x:v>4</x:v>
      </x:c>
      <x:c r="G201" s="84" t="n">
        <x:v>0.2</x:v>
      </x:c>
      <x:c r="H201" s="84" t="n">
        <x:v>3.8</x:v>
      </x:c>
      <x:c r="I201" s="85" t="n">
        <x:v>-9535.658323</x:v>
      </x:c>
      <x:c r="J201" s="84" t="n">
        <x:v>5.78623551</x:v>
      </x:c>
      <x:c r="K201" s="84" t="n">
        <x:v>116.2908391</x:v>
      </x:c>
      <x:c r="L201" s="84" t="n">
        <x:v>26.96869565</x:v>
      </x:c>
      <x:c r="M201" s="84" t="n">
        <x:v>168.92</x:v>
      </x:c>
      <x:c r="N201" s="86" t="n">
        <x:v>0</x:v>
      </x:c>
      <x:c r="O201" s="1"/>
      <x:c r="P201" s="1"/>
      <x:c r="Q201" s="1"/>
      <x:c r="R201" s="1"/>
      <x:c r="S201" s="1"/>
      <x:c r="T201" s="1"/>
      <x:c r="U201" s="1"/>
      <x:c r="V201" s="1"/>
      <x:c r="W201" s="1"/>
      <x:c r="X201" s="1"/>
      <x:c r="Y201" s="1"/>
      <x:c r="Z201" s="1"/>
    </x:row>
    <x:row r="202">
      <x:c r="A202" s="72" t="str">
        <x:v>2022-04</x:v>
      </x:c>
      <x:c r="B202" s="83" t="n">
        <x:v>3792.982</x:v>
      </x:c>
      <x:c r="C202" s="83" t="n">
        <x:v>104.5752632</x:v>
      </x:c>
      <x:c r="D202" s="83" t="n">
        <x:v>754.84</x:v>
      </x:c>
      <x:c r="E202" s="83" t="n">
        <x:v>8739.57</x:v>
      </x:c>
      <x:c r="F202" s="84" t="n">
        <x:v>5</x:v>
      </x:c>
      <x:c r="G202" s="84" t="n">
        <x:v>0.33</x:v>
      </x:c>
      <x:c r="H202" s="84" t="n">
        <x:v>4.67</x:v>
      </x:c>
      <x:c r="I202" s="85" t="n">
        <x:v>222.4787016</x:v>
      </x:c>
      <x:c r="J202" s="84" t="n">
        <x:v>5.387696326</x:v>
      </x:c>
      <x:c r="K202" s="84" t="n">
        <x:v>117.1687952</x:v>
      </x:c>
      <x:c r="L202" s="84" t="n">
        <x:v>24.3735</x:v>
      </x:c>
      <x:c r="M202" s="84" t="n">
        <x:v>174.49</x:v>
      </x:c>
      <x:c r="N202" s="86" t="n">
        <x:v>0</x:v>
      </x:c>
      <x:c r="O202" s="1"/>
      <x:c r="P202" s="1"/>
      <x:c r="Q202" s="1"/>
      <x:c r="R202" s="1"/>
      <x:c r="S202" s="1"/>
      <x:c r="T202" s="1"/>
      <x:c r="U202" s="1"/>
      <x:c r="V202" s="1"/>
      <x:c r="W202" s="1"/>
      <x:c r="X202" s="1"/>
      <x:c r="Y202" s="1"/>
      <x:c r="Z202" s="1"/>
    </x:row>
    <x:row r="203">
      <x:c r="A203" s="72" t="str">
        <x:v>2022-05</x:v>
      </x:c>
      <x:c r="B203" s="83" t="n">
        <x:v>4019.079355</x:v>
      </x:c>
      <x:c r="C203" s="83" t="n">
        <x:v>113.337619</x:v>
      </x:c>
      <x:c r="D203" s="83" t="n">
        <x:v>841.09</x:v>
      </x:c>
      <x:c r="E203" s="83" t="n">
        <x:v>8821.49</x:v>
      </x:c>
      <x:c r="F203" s="84" t="n">
        <x:v>5.967741935</x:v>
      </x:c>
      <x:c r="G203" s="84" t="n">
        <x:v>0.77</x:v>
      </x:c>
      <x:c r="H203" s="84" t="n">
        <x:v>5.197741935</x:v>
      </x:c>
      <x:c r="I203" s="85" t="n">
        <x:v>-2825.785652</x:v>
      </x:c>
      <x:c r="J203" s="84" t="n">
        <x:v>5.298016658</x:v>
      </x:c>
      <x:c r="K203" s="84" t="n">
        <x:v>119.6961905</x:v>
      </x:c>
      <x:c r="L203" s="84" t="n">
        <x:v>29.31363636</x:v>
      </x:c>
      <x:c r="M203" s="84" t="n">
        <x:v>164.26</x:v>
      </x:c>
      <x:c r="N203" s="86" t="n">
        <x:v>0</x:v>
      </x:c>
      <x:c r="O203" s="1"/>
      <x:c r="P203" s="1"/>
      <x:c r="Q203" s="1"/>
      <x:c r="R203" s="1"/>
      <x:c r="S203" s="1"/>
      <x:c r="T203" s="1"/>
      <x:c r="U203" s="1"/>
      <x:c r="V203" s="1"/>
      <x:c r="W203" s="1"/>
      <x:c r="X203" s="1"/>
      <x:c r="Y203" s="1"/>
      <x:c r="Z203" s="1"/>
    </x:row>
    <x:row r="204">
      <x:c r="A204" s="72" t="str">
        <x:v>2022-06</x:v>
      </x:c>
      <x:c r="B204" s="83" t="n">
        <x:v>3930.766667</x:v>
      </x:c>
      <x:c r="C204" s="83" t="n">
        <x:v>122.7109524</x:v>
      </x:c>
      <x:c r="D204" s="83" t="n">
        <x:v>821.59</x:v>
      </x:c>
      <x:c r="E204" s="83" t="n">
        <x:v>8944.07</x:v>
      </x:c>
      <x:c r="F204" s="84" t="n">
        <x:v>6</x:v>
      </x:c>
      <x:c r="G204" s="84" t="n">
        <x:v>1.21</x:v>
      </x:c>
      <x:c r="H204" s="84" t="n">
        <x:v>4.79</x:v>
      </x:c>
      <x:c r="I204" s="85" t="n">
        <x:v>-13728.02858</x:v>
      </x:c>
      <x:c r="J204" s="84" t="n">
        <x:v>5.517064225</x:v>
      </x:c>
      <x:c r="K204" s="84" t="n">
        <x:v>120.0257095</x:v>
      </x:c>
      <x:c r="L204" s="84" t="n">
        <x:v>28.23318182</x:v>
      </x:c>
      <x:c r="M204" s="84" t="n">
        <x:v>194.14</x:v>
      </x:c>
      <x:c r="N204" s="86" t="n">
        <x:v>0</x:v>
      </x:c>
      <x:c r="O204" s="1"/>
      <x:c r="P204" s="1"/>
      <x:c r="Q204" s="1"/>
      <x:c r="R204" s="1"/>
      <x:c r="S204" s="1"/>
      <x:c r="T204" s="1"/>
      <x:c r="U204" s="1"/>
      <x:c r="V204" s="1"/>
      <x:c r="W204" s="1"/>
      <x:c r="X204" s="1"/>
      <x:c r="Y204" s="1"/>
      <x:c r="Z204" s="1"/>
    </x:row>
    <x:row r="205">
      <x:c r="A205" s="72" t="str">
        <x:v>2022-07</x:v>
      </x:c>
      <x:c r="B205" s="83" t="n">
        <x:v>4367.805806</x:v>
      </x:c>
      <x:c r="C205" s="83" t="n">
        <x:v>111.9257143</x:v>
      </x:c>
      <x:c r="D205" s="83" t="n">
        <x:v>889.45</x:v>
      </x:c>
      <x:c r="E205" s="83" t="n">
        <x:v>9091.92</x:v>
      </x:c>
      <x:c r="F205" s="84" t="n">
        <x:v>7.5</x:v>
      </x:c>
      <x:c r="G205" s="84" t="n">
        <x:v>1.68</x:v>
      </x:c>
      <x:c r="H205" s="84" t="n">
        <x:v>5.82</x:v>
      </x:c>
      <x:c r="I205" s="85" t="n">
        <x:v>-6723.770522</x:v>
      </x:c>
      <x:c r="J205" s="84" t="n">
        <x:v>5.416419004</x:v>
      </x:c>
      <x:c r="K205" s="84" t="n">
        <x:v>122.7512</x:v>
      </x:c>
      <x:c r="L205" s="84" t="n">
        <x:v>24.9952381</x:v>
      </x:c>
      <x:c r="M205" s="84" t="n">
        <x:v>189.5</x:v>
      </x:c>
      <x:c r="N205" s="86" t="n">
        <x:v>0</x:v>
      </x:c>
      <x:c r="O205" s="1"/>
      <x:c r="P205" s="1"/>
      <x:c r="Q205" s="1"/>
      <x:c r="R205" s="1"/>
      <x:c r="S205" s="1"/>
      <x:c r="T205" s="1"/>
      <x:c r="U205" s="1"/>
      <x:c r="V205" s="1"/>
      <x:c r="W205" s="1"/>
      <x:c r="X205" s="1"/>
      <x:c r="Y205" s="1"/>
      <x:c r="Z205" s="1"/>
    </x:row>
    <x:row r="206">
      <x:c r="A206" s="72" t="str">
        <x:v>2022-08</x:v>
      </x:c>
      <x:c r="B206" s="83" t="n">
        <x:v>4322.469355</x:v>
      </x:c>
      <x:c r="C206" s="83" t="n">
        <x:v>100.4463636</x:v>
      </x:c>
      <x:c r="D206" s="83" t="n">
        <x:v>769.44</x:v>
      </x:c>
      <x:c r="E206" s="83" t="n">
        <x:v>9116.93</x:v>
      </x:c>
      <x:c r="F206" s="84" t="n">
        <x:v>9</x:v>
      </x:c>
      <x:c r="G206" s="84" t="n">
        <x:v>2.33</x:v>
      </x:c>
      <x:c r="H206" s="84" t="n">
        <x:v>6.67</x:v>
      </x:c>
      <x:c r="I206" s="85" t="n">
        <x:v>-9665.237656</x:v>
      </x:c>
      <x:c r="J206" s="84" t="n">
        <x:v>6.403271638</x:v>
      </x:c>
      <x:c r="K206" s="84" t="n">
        <x:v>122.3177522</x:v>
      </x:c>
      <x:c r="L206" s="84" t="n">
        <x:v>22.16956522</x:v>
      </x:c>
      <x:c r="M206" s="84" t="n">
        <x:v>161.64</x:v>
      </x:c>
      <x:c r="N206" s="86" t="n">
        <x:v>0</x:v>
      </x:c>
      <x:c r="O206" s="1"/>
      <x:c r="P206" s="1"/>
      <x:c r="Q206" s="1"/>
      <x:c r="R206" s="1"/>
      <x:c r="S206" s="1"/>
      <x:c r="T206" s="1"/>
      <x:c r="U206" s="1"/>
      <x:c r="V206" s="1"/>
      <x:c r="W206" s="1"/>
      <x:c r="X206" s="1"/>
      <x:c r="Y206" s="1"/>
      <x:c r="Z206" s="1"/>
    </x:row>
    <x:row r="207">
      <x:c r="A207" s="72" t="str">
        <x:v>2022-09</x:v>
      </x:c>
      <x:c r="B207" s="83" t="n">
        <x:v>4433.651</x:v>
      </x:c>
      <x:c r="C207" s="83" t="n">
        <x:v>89.7647619</x:v>
      </x:c>
      <x:c r="D207" s="83" t="n">
        <x:v>750.95</x:v>
      </x:c>
      <x:c r="E207" s="83" t="n">
        <x:v>9185.04</x:v>
      </x:c>
      <x:c r="F207" s="84" t="n">
        <x:v>9.033333333</x:v>
      </x:c>
      <x:c r="G207" s="84" t="n">
        <x:v>2.56</x:v>
      </x:c>
      <x:c r="H207" s="84" t="n">
        <x:v>6.473333333</x:v>
      </x:c>
      <x:c r="I207" s="85" t="n">
        <x:v>775.7208097</x:v>
      </x:c>
      <x:c r="J207" s="84" t="n">
        <x:v>6.268715719</x:v>
      </x:c>
      <x:c r="K207" s="84" t="n">
        <x:v>125.5946</x:v>
      </x:c>
      <x:c r="L207" s="84" t="n">
        <x:v>27.34181818</x:v>
      </x:c>
      <x:c r="M207" s="84" t="n">
        <x:v>171.86</x:v>
      </x:c>
      <x:c r="N207" s="86" t="n">
        <x:v>0</x:v>
      </x:c>
      <x:c r="O207" s="1"/>
      <x:c r="P207" s="1"/>
      <x:c r="Q207" s="1"/>
      <x:c r="R207" s="1"/>
      <x:c r="S207" s="1"/>
      <x:c r="T207" s="1"/>
      <x:c r="U207" s="1"/>
      <x:c r="V207" s="1"/>
      <x:c r="W207" s="1"/>
      <x:c r="X207" s="1"/>
      <x:c r="Y207" s="1"/>
      <x:c r="Z207" s="1"/>
    </x:row>
    <x:row r="208">
      <x:c r="A208" s="72" t="str">
        <x:v>2022-10</x:v>
      </x:c>
      <x:c r="B208" s="83" t="n">
        <x:v>4711.830323</x:v>
      </x:c>
      <x:c r="C208" s="83" t="n">
        <x:v>93.33190476</x:v>
      </x:c>
      <x:c r="D208" s="83" t="n">
        <x:v>894.34</x:v>
      </x:c>
      <x:c r="E208" s="83" t="n">
        <x:v>9415.36</x:v>
      </x:c>
      <x:c r="F208" s="84" t="n">
        <x:v>10.03225806</x:v>
      </x:c>
      <x:c r="G208" s="84" t="n">
        <x:v>3.08</x:v>
      </x:c>
      <x:c r="H208" s="84" t="n">
        <x:v>6.952258065</x:v>
      </x:c>
      <x:c r="I208" s="85" t="n">
        <x:v>-7519.731175</x:v>
      </x:c>
      <x:c r="J208" s="84" t="n">
        <x:v>5.804178868</x:v>
      </x:c>
      <x:c r="K208" s="84" t="n">
        <x:v>127.480605</x:v>
      </x:c>
      <x:c r="L208" s="84" t="n">
        <x:v>30.00571429</x:v>
      </x:c>
      <x:c r="M208" s="84" t="n">
        <x:v>169.15</x:v>
      </x:c>
      <x:c r="N208" s="86" t="n">
        <x:v>0</x:v>
      </x:c>
      <x:c r="O208" s="1"/>
      <x:c r="P208" s="1"/>
      <x:c r="Q208" s="1"/>
      <x:c r="R208" s="1"/>
      <x:c r="S208" s="1"/>
      <x:c r="T208" s="1"/>
      <x:c r="U208" s="1"/>
      <x:c r="V208" s="1"/>
      <x:c r="W208" s="1"/>
      <x:c r="X208" s="1"/>
      <x:c r="Y208" s="1"/>
      <x:c r="Z208" s="1"/>
    </x:row>
    <x:row r="209">
      <x:c r="A209" s="72" t="str">
        <x:v>2022-11</x:v>
      </x:c>
      <x:c r="B209" s="83" t="n">
        <x:v>4926.660667</x:v>
      </x:c>
      <x:c r="C209" s="83" t="n">
        <x:v>91.41545455</x:v>
      </x:c>
      <x:c r="D209" s="83" t="n">
        <x:v>812.59</x:v>
      </x:c>
      <x:c r="E209" s="83" t="n">
        <x:v>9410.76</x:v>
      </x:c>
      <x:c r="F209" s="84" t="n">
        <x:v>11</x:v>
      </x:c>
      <x:c r="G209" s="84" t="n">
        <x:v>3.78</x:v>
      </x:c>
      <x:c r="H209" s="84" t="n">
        <x:v>7.22</x:v>
      </x:c>
      <x:c r="I209" s="85" t="n">
        <x:v>-5467.725894</x:v>
      </x:c>
      <x:c r="J209" s="84" t="n">
        <x:v>5.270243754</x:v>
      </x:c>
      <x:c r="K209" s="84" t="n">
        <x:v>124.85272</x:v>
      </x:c>
      <x:c r="L209" s="84" t="n">
        <x:v>23.29909091</x:v>
      </x:c>
      <x:c r="M209" s="84" t="n">
        <x:v>168.11</x:v>
      </x:c>
      <x:c r="N209" s="86" t="n">
        <x:v>0</x:v>
      </x:c>
      <x:c r="O209" s="1"/>
      <x:c r="P209" s="1"/>
      <x:c r="Q209" s="1"/>
      <x:c r="R209" s="1"/>
      <x:c r="S209" s="1"/>
      <x:c r="T209" s="1"/>
      <x:c r="U209" s="1"/>
      <x:c r="V209" s="1"/>
      <x:c r="W209" s="1"/>
      <x:c r="X209" s="1"/>
      <x:c r="Y209" s="1"/>
      <x:c r="Z209" s="1"/>
    </x:row>
    <x:row r="210">
      <x:c r="A210" s="72" t="str">
        <x:v>2022-12</x:v>
      </x:c>
      <x:c r="B210" s="83" t="n">
        <x:v>4788.490645</x:v>
      </x:c>
      <x:c r="C210" s="83" t="n">
        <x:v>80.924</x:v>
      </x:c>
      <x:c r="D210" s="83" t="n">
        <x:v>848.88</x:v>
      </x:c>
      <x:c r="E210" s="83" t="n">
        <x:v>9428.83</x:v>
      </x:c>
      <x:c r="F210" s="84" t="n">
        <x:v>11.41935484</x:v>
      </x:c>
      <x:c r="G210" s="84" t="n">
        <x:v>4.1</x:v>
      </x:c>
      <x:c r="H210" s="84" t="n">
        <x:v>7.319354839</x:v>
      </x:c>
      <x:c r="I210" s="85" t="n">
        <x:v>-15808.39626</x:v>
      </x:c>
      <x:c r="J210" s="84" t="n">
        <x:v>5.273643973</x:v>
      </x:c>
      <x:c r="K210" s="84" t="n">
        <x:v>122.2343286</x:v>
      </x:c>
      <x:c r="L210" s="84" t="n">
        <x:v>21.78428571</x:v>
      </x:c>
      <x:c r="M210" s="84" t="n">
        <x:v>161.8</x:v>
      </x:c>
      <x:c r="N210" s="86" t="n">
        <x:v>0</x:v>
      </x:c>
      <x:c r="O210" s="1"/>
      <x:c r="P210" s="1"/>
      <x:c r="Q210" s="1"/>
      <x:c r="R210" s="1"/>
      <x:c r="S210" s="1"/>
      <x:c r="T210" s="1"/>
      <x:c r="U210" s="1"/>
      <x:c r="V210" s="1"/>
      <x:c r="W210" s="1"/>
      <x:c r="X210" s="1"/>
      <x:c r="Y210" s="1"/>
      <x:c r="Z210" s="1"/>
    </x:row>
    <x:row r="211">
      <x:c r="A211" s="72" t="str">
        <x:v>2023-01</x:v>
      </x:c>
      <x:c r="B211" s="83" t="n">
        <x:v>4715.203871</x:v>
      </x:c>
      <x:c r="C211" s="83" t="n">
        <x:v>82.50142857</x:v>
      </x:c>
      <x:c r="D211" s="83" t="n">
        <x:v>785.02</x:v>
      </x:c>
      <x:c r="E211" s="83" t="n">
        <x:v>9549.4</x:v>
      </x:c>
      <x:c r="F211" s="84" t="n">
        <x:v>12.0483871</x:v>
      </x:c>
      <x:c r="G211" s="84" t="n">
        <x:v>4.33</x:v>
      </x:c>
      <x:c r="H211" s="84" t="n">
        <x:v>7.718387097</x:v>
      </x:c>
      <x:c r="I211" s="85" t="n">
        <x:v>3235.982625</x:v>
      </x:c>
      <x:c r="J211" s="84" t="n">
        <x:v>4.838201575</x:v>
      </x:c>
      <x:c r="K211" s="84" t="n">
        <x:v>119.810065</x:v>
      </x:c>
      <x:c r="L211" s="84" t="n">
        <x:v>20.16904762</x:v>
      </x:c>
      <x:c r="M211" s="84" t="n">
        <x:v>160.16</x:v>
      </x:c>
      <x:c r="N211" s="86" t="n">
        <x:v>0</x:v>
      </x:c>
      <x:c r="O211" s="1"/>
      <x:c r="P211" s="1"/>
      <x:c r="Q211" s="1"/>
      <x:c r="R211" s="1"/>
      <x:c r="S211" s="1"/>
      <x:c r="T211" s="1"/>
      <x:c r="U211" s="1"/>
      <x:c r="V211" s="1"/>
      <x:c r="W211" s="1"/>
      <x:c r="X211" s="1"/>
      <x:c r="Y211" s="1"/>
      <x:c r="Z211" s="1"/>
    </x:row>
    <x:row r="212">
      <x:c r="A212" s="72" t="str">
        <x:v>2023-02</x:v>
      </x:c>
      <x:c r="B212" s="83" t="n">
        <x:v>4803.1125</x:v>
      </x:c>
      <x:c r="C212" s="83" t="n">
        <x:v>82.585</x:v>
      </x:c>
      <x:c r="D212" s="83" t="n">
        <x:v>832.7</x:v>
      </x:c>
      <x:c r="E212" s="83" t="n">
        <x:v>9734.84</x:v>
      </x:c>
      <x:c r="F212" s="84" t="n">
        <x:v>12.75</x:v>
      </x:c>
      <x:c r="G212" s="84" t="n">
        <x:v>4.57</x:v>
      </x:c>
      <x:c r="H212" s="84" t="n">
        <x:v>8.18</x:v>
      </x:c>
      <x:c r="I212" s="85" t="n">
        <x:v>-10208.45713</x:v>
      </x:c>
      <x:c r="J212" s="84" t="n">
        <x:v>4.866973857</x:v>
      </x:c>
      <x:c r="K212" s="84" t="n">
        <x:v>120.3083737</x:v>
      </x:c>
      <x:c r="L212" s="84" t="n">
        <x:v>20.1205</x:v>
      </x:c>
      <x:c r="M212" s="84" t="n">
        <x:v>162.34</x:v>
      </x:c>
      <x:c r="N212" s="86" t="n">
        <x:v>0</x:v>
      </x:c>
      <x:c r="O212" s="1"/>
      <x:c r="P212" s="1"/>
      <x:c r="Q212" s="1"/>
      <x:c r="R212" s="1"/>
      <x:c r="S212" s="1"/>
      <x:c r="T212" s="1"/>
      <x:c r="U212" s="1"/>
      <x:c r="V212" s="1"/>
      <x:c r="W212" s="1"/>
      <x:c r="X212" s="1"/>
      <x:c r="Y212" s="1"/>
      <x:c r="Z212" s="1"/>
    </x:row>
    <x:row r="213">
      <x:c r="A213" s="72" t="str">
        <x:v>2023-03</x:v>
      </x:c>
      <x:c r="B213" s="83" t="n">
        <x:v>4766.305806</x:v>
      </x:c>
      <x:c r="C213" s="83" t="n">
        <x:v>78.43434783</x:v>
      </x:c>
      <x:c r="D213" s="83" t="n">
        <x:v>858.26</x:v>
      </x:c>
      <x:c r="E213" s="83" t="n">
        <x:v>9859.15</x:v>
      </x:c>
      <x:c r="F213" s="84" t="n">
        <x:v>12.75806452</x:v>
      </x:c>
      <x:c r="G213" s="84" t="n">
        <x:v>4.65</x:v>
      </x:c>
      <x:c r="H213" s="84" t="n">
        <x:v>8.108064516</x:v>
      </x:c>
      <x:c r="I213" s="85" t="n">
        <x:v>-6830.854038</x:v>
      </x:c>
      <x:c r="J213" s="84" t="n">
        <x:v>4.69656028</x:v>
      </x:c>
      <x:c r="K213" s="84" t="n">
        <x:v>120.745013</x:v>
      </x:c>
      <x:c r="L213" s="84" t="n">
        <x:v>21.64434783</x:v>
      </x:c>
      <x:c r="M213" s="84" t="n">
        <x:v>153.95</x:v>
      </x:c>
      <x:c r="N213" s="86" t="n">
        <x:v>0</x:v>
      </x:c>
      <x:c r="O213" s="1"/>
      <x:c r="P213" s="1"/>
      <x:c r="Q213" s="1"/>
      <x:c r="R213" s="1"/>
      <x:c r="S213" s="1"/>
      <x:c r="T213" s="1"/>
      <x:c r="U213" s="1"/>
      <x:c r="V213" s="1"/>
      <x:c r="W213" s="1"/>
      <x:c r="X213" s="1"/>
      <x:c r="Y213" s="1"/>
      <x:c r="Z213" s="1"/>
    </x:row>
    <x:row r="214">
      <x:c r="A214" s="72" t="str">
        <x:v>2023-04</x:v>
      </x:c>
      <x:c r="B214" s="83" t="n">
        <x:v>4542.674333</x:v>
      </x:c>
      <x:c r="C214" s="83" t="n">
        <x:v>84.63833333</x:v>
      </x:c>
      <x:c r="D214" s="83" t="n">
        <x:v>736.74</x:v>
      </x:c>
      <x:c r="E214" s="83" t="n">
        <x:v>9841.05</x:v>
      </x:c>
      <x:c r="F214" s="84" t="n">
        <x:v>13</x:v>
      </x:c>
      <x:c r="G214" s="84" t="n">
        <x:v>4.83</x:v>
      </x:c>
      <x:c r="H214" s="84" t="n">
        <x:v>8.17</x:v>
      </x:c>
      <x:c r="I214" s="85" t="n">
        <x:v>6253.650288</x:v>
      </x:c>
      <x:c r="J214" s="84" t="n">
        <x:v>4.316572151</x:v>
      </x:c>
      <x:c r="K214" s="84" t="n">
        <x:v>119.245145</x:v>
      </x:c>
      <x:c r="L214" s="84" t="n">
        <x:v>17.81789474</x:v>
      </x:c>
      <x:c r="M214" s="84" t="n">
        <x:v>155.74</x:v>
      </x:c>
      <x:c r="N214" s="86" t="n">
        <x:v>0</x:v>
      </x:c>
      <x:c r="O214" s="1"/>
      <x:c r="P214" s="1"/>
      <x:c r="Q214" s="1"/>
      <x:c r="R214" s="1"/>
      <x:c r="S214" s="1"/>
      <x:c r="T214" s="1"/>
      <x:c r="U214" s="1"/>
      <x:c r="V214" s="1"/>
      <x:c r="W214" s="1"/>
      <x:c r="X214" s="1"/>
      <x:c r="Y214" s="1"/>
      <x:c r="Z214" s="1"/>
    </x:row>
    <x:row r="215">
      <x:c r="A215" s="72" t="str">
        <x:v>2023-05</x:v>
      </x:c>
      <x:c r="B215" s="83" t="n">
        <x:v>4540.089032</x:v>
      </x:c>
      <x:c r="C215" s="83" t="n">
        <x:v>75.466</x:v>
      </x:c>
      <x:c r="D215" s="83" t="n">
        <x:v>877.18</x:v>
      </x:c>
      <x:c r="E215" s="83" t="n">
        <x:v>9877.14</x:v>
      </x:c>
      <x:c r="F215" s="84" t="n">
        <x:v>13.24193548</x:v>
      </x:c>
      <x:c r="G215" s="84" t="n">
        <x:v>5.06</x:v>
      </x:c>
      <x:c r="H215" s="84" t="n">
        <x:v>8.181935484</x:v>
      </x:c>
      <x:c r="I215" s="85" t="n">
        <x:v>358.2410622</x:v>
      </x:c>
      <x:c r="J215" s="84" t="n">
        <x:v>4.115965629</x:v>
      </x:c>
      <x:c r="K215" s="84" t="n">
        <x:v>119.6292545</x:v>
      </x:c>
      <x:c r="L215" s="84" t="n">
        <x:v>17.63608696</x:v>
      </x:c>
      <x:c r="M215" s="84" t="n">
        <x:v>152.75</x:v>
      </x:c>
      <x:c r="N215" s="86" t="n">
        <x:v>0</x:v>
      </x:c>
      <x:c r="O215" s="1"/>
      <x:c r="P215" s="1"/>
      <x:c r="Q215" s="1"/>
      <x:c r="R215" s="1"/>
      <x:c r="S215" s="1"/>
      <x:c r="T215" s="1"/>
      <x:c r="U215" s="1"/>
      <x:c r="V215" s="1"/>
      <x:c r="W215" s="1"/>
      <x:c r="X215" s="1"/>
      <x:c r="Y215" s="1"/>
      <x:c r="Z215" s="1"/>
    </x:row>
    <x:row r="216">
      <x:c r="A216" s="72" t="str">
        <x:v>2023-06</x:v>
      </x:c>
      <x:c r="B216" s="83" t="n">
        <x:v>4209.268</x:v>
      </x:c>
      <x:c r="C216" s="83" t="n">
        <x:v>74.83909091</x:v>
      </x:c>
      <x:c r="D216" s="83" t="n">
        <x:v>783.48</x:v>
      </x:c>
      <x:c r="E216" s="83" t="n">
        <x:v>9839.03</x:v>
      </x:c>
      <x:c r="F216" s="84" t="n">
        <x:v>13.25</x:v>
      </x:c>
      <x:c r="G216" s="84" t="n">
        <x:v>5.08</x:v>
      </x:c>
      <x:c r="H216" s="84" t="n">
        <x:v>8.17</x:v>
      </x:c>
      <x:c r="I216" s="85" t="n">
        <x:v>-6250.657965</x:v>
      </x:c>
      <x:c r="J216" s="84" t="n">
        <x:v>3.64486113</x:v>
      </x:c>
      <x:c r="K216" s="84" t="n">
        <x:v>119.2969524</x:v>
      </x:c>
      <x:c r="L216" s="84" t="n">
        <x:v>14.00318182</x:v>
      </x:c>
      <x:c r="M216" s="84" t="n">
        <x:v>149</x:v>
      </x:c>
      <x:c r="N216" s="86" t="n">
        <x:v>0</x:v>
      </x:c>
      <x:c r="O216" s="1"/>
      <x:c r="P216" s="1"/>
      <x:c r="Q216" s="1"/>
      <x:c r="R216" s="1"/>
      <x:c r="S216" s="1"/>
      <x:c r="T216" s="1"/>
      <x:c r="U216" s="1"/>
      <x:c r="V216" s="1"/>
      <x:c r="W216" s="1"/>
      <x:c r="X216" s="1"/>
      <x:c r="Y216" s="1"/>
      <x:c r="Z216" s="1"/>
    </x:row>
    <x:row r="217">
      <x:c r="A217" s="72" t="str">
        <x:v>2023-07</x:v>
      </x:c>
      <x:c r="B217" s="83" t="n">
        <x:v>4069.233548</x:v>
      </x:c>
      <x:c r="C217" s="83" t="n">
        <x:v>80.10809524</x:v>
      </x:c>
      <x:c r="D217" s="83" t="n">
        <x:v>761.61</x:v>
      </x:c>
      <x:c r="E217" s="83" t="n">
        <x:v>9711.19</x:v>
      </x:c>
      <x:c r="F217" s="84" t="n">
        <x:v>13.25</x:v>
      </x:c>
      <x:c r="G217" s="84" t="n">
        <x:v>5.12</x:v>
      </x:c>
      <x:c r="H217" s="84" t="n">
        <x:v>8.13</x:v>
      </x:c>
      <x:c r="I217" s="85" t="n">
        <x:v>-926.8154562</x:v>
      </x:c>
      <x:c r="J217" s="84" t="n">
        <x:v>3.279629586</x:v>
      </x:c>
      <x:c r="K217" s="84" t="n">
        <x:v>118.049165</x:v>
      </x:c>
      <x:c r="L217" s="84" t="n">
        <x:v>13.93238095</x:v>
      </x:c>
      <x:c r="M217" s="84" t="n">
        <x:v>148.93</x:v>
      </x:c>
      <x:c r="N217" s="86" t="n">
        <x:v>0</x:v>
      </x:c>
      <x:c r="O217" s="1"/>
      <x:c r="P217" s="1"/>
      <x:c r="Q217" s="1"/>
      <x:c r="R217" s="1"/>
      <x:c r="S217" s="1"/>
      <x:c r="T217" s="1"/>
      <x:c r="U217" s="1"/>
      <x:c r="V217" s="1"/>
      <x:c r="W217" s="1"/>
      <x:c r="X217" s="1"/>
      <x:c r="Y217" s="1"/>
      <x:c r="Z217" s="1"/>
    </x:row>
    <x:row r="218">
      <x:c r="A218" s="72" t="str">
        <x:v>2023-08</x:v>
      </x:c>
      <x:c r="B218" s="83" t="n">
        <x:v>4070.725161</x:v>
      </x:c>
      <x:c r="C218" s="83" t="n">
        <x:v>86.14772727</x:v>
      </x:c>
      <x:c r="D218" s="83" t="n">
        <x:v>887.76</x:v>
      </x:c>
      <x:c r="E218" s="83" t="n">
        <x:v>9829.51</x:v>
      </x:c>
      <x:c r="F218" s="84" t="n">
        <x:v>13.25</x:v>
      </x:c>
      <x:c r="G218" s="84" t="n">
        <x:v>5.33</x:v>
      </x:c>
      <x:c r="H218" s="84" t="n">
        <x:v>7.92</x:v>
      </x:c>
      <x:c r="I218" s="85" t="n">
        <x:v>-4986.281174</x:v>
      </x:c>
      <x:c r="J218" s="84" t="n">
        <x:v>2.984836461</x:v>
      </x:c>
      <x:c r="K218" s="84" t="n">
        <x:v>119.8563478</x:v>
      </x:c>
      <x:c r="L218" s="84" t="n">
        <x:v>15.85391304</x:v>
      </x:c>
      <x:c r="M218" s="84" t="n">
        <x:v>158.2</x:v>
      </x:c>
      <x:c r="N218" s="86" t="n">
        <x:v>0</x:v>
      </x:c>
      <x:c r="O218" s="1"/>
      <x:c r="P218" s="1"/>
      <x:c r="Q218" s="1"/>
      <x:c r="R218" s="1"/>
      <x:c r="S218" s="1"/>
      <x:c r="T218" s="1"/>
      <x:c r="U218" s="1"/>
      <x:c r="V218" s="1"/>
      <x:c r="W218" s="1"/>
      <x:c r="X218" s="1"/>
      <x:c r="Y218" s="1"/>
      <x:c r="Z218" s="1"/>
    </x:row>
    <x:row r="219">
      <x:c r="A219" s="72" t="str">
        <x:v>2023-09</x:v>
      </x:c>
      <x:c r="B219" s="83" t="n">
        <x:v>4004.520667</x:v>
      </x:c>
      <x:c r="C219" s="83" t="n">
        <x:v>93.72238095</x:v>
      </x:c>
      <x:c r="D219" s="83" t="n">
        <x:v>881.47</x:v>
      </x:c>
      <x:c r="E219" s="83" t="n">
        <x:v>9960.03</x:v>
      </x:c>
      <x:c r="F219" s="84" t="n">
        <x:v>13.25</x:v>
      </x:c>
      <x:c r="G219" s="84" t="n">
        <x:v>5.33</x:v>
      </x:c>
      <x:c r="H219" s="84" t="n">
        <x:v>7.92</x:v>
      </x:c>
      <x:c r="I219" s="85" t="n">
        <x:v>-4435.154069</x:v>
      </x:c>
      <x:c r="J219" s="84" t="n">
        <x:v>3.31314259</x:v>
      </x:c>
      <x:c r="K219" s="84" t="n">
        <x:v>121.64553</x:v>
      </x:c>
      <x:c r="L219" s="84" t="n">
        <x:v>15.17333333</x:v>
      </x:c>
      <x:c r="M219" s="84" t="n">
        <x:v>158.88</x:v>
      </x:c>
      <x:c r="N219" s="86" t="n">
        <x:v>0</x:v>
      </x:c>
      <x:c r="O219" s="1"/>
      <x:c r="P219" s="1"/>
      <x:c r="Q219" s="1"/>
      <x:c r="R219" s="1"/>
      <x:c r="S219" s="1"/>
      <x:c r="T219" s="1"/>
      <x:c r="U219" s="1"/>
      <x:c r="V219" s="1"/>
      <x:c r="W219" s="1"/>
      <x:c r="X219" s="1"/>
      <x:c r="Y219" s="1"/>
      <x:c r="Z219" s="1"/>
    </x:row>
    <x:row r="220">
      <x:c r="A220" s="72" t="str">
        <x:v>2023-10</x:v>
      </x:c>
      <x:c r="B220" s="83" t="n">
        <x:v>4222.433226</x:v>
      </x:c>
      <x:c r="C220" s="83" t="n">
        <x:v>90.59590909</x:v>
      </x:c>
      <x:c r="D220" s="83" t="n">
        <x:v>885.75</x:v>
      </x:c>
      <x:c r="E220" s="83" t="n">
        <x:v>9951.44</x:v>
      </x:c>
      <x:c r="F220" s="84" t="n">
        <x:v>13.25</x:v>
      </x:c>
      <x:c r="G220" s="84" t="n">
        <x:v>5.33</x:v>
      </x:c>
      <x:c r="H220" s="84" t="n">
        <x:v>7.92</x:v>
      </x:c>
      <x:c r="I220" s="85" t="n">
        <x:v>-13240.80264</x:v>
      </x:c>
      <x:c r="J220" s="84" t="n">
        <x:v>3.673593161</x:v>
      </x:c>
      <x:c r="K220" s="84" t="n">
        <x:v>123.4971476</x:v>
      </x:c>
      <x:c r="L220" s="84" t="n">
        <x:v>18.88772727</x:v>
      </x:c>
      <x:c r="M220" s="84" t="n">
        <x:v>157.26</x:v>
      </x:c>
      <x:c r="N220" s="86" t="n">
        <x:v>0</x:v>
      </x:c>
      <x:c r="O220" s="1"/>
      <x:c r="P220" s="1"/>
      <x:c r="Q220" s="1"/>
      <x:c r="R220" s="1"/>
      <x:c r="S220" s="1"/>
      <x:c r="T220" s="1"/>
      <x:c r="U220" s="1"/>
      <x:c r="V220" s="1"/>
      <x:c r="W220" s="1"/>
      <x:c r="X220" s="1"/>
      <x:c r="Y220" s="1"/>
      <x:c r="Z220" s="1"/>
    </x:row>
    <x:row r="221">
      <x:c r="A221" s="72" t="str">
        <x:v>2023-11</x:v>
      </x:c>
      <x:c r="B221" s="83" t="n">
        <x:v>4038.804667</x:v>
      </x:c>
      <x:c r="C221" s="83" t="n">
        <x:v>82.94</x:v>
      </x:c>
      <x:c r="D221" s="83" t="n">
        <x:v>886.9</x:v>
      </x:c>
      <x:c r="E221" s="83" t="n">
        <x:v>10025.75</x:v>
      </x:c>
      <x:c r="F221" s="84" t="n">
        <x:v>13.25</x:v>
      </x:c>
      <x:c r="G221" s="84" t="n">
        <x:v>5.33</x:v>
      </x:c>
      <x:c r="H221" s="84" t="n">
        <x:v>7.92</x:v>
      </x:c>
      <x:c r="I221" s="85" t="n">
        <x:v>-13022.02769</x:v>
      </x:c>
      <x:c r="J221" s="84" t="n">
        <x:v>4.149544635</x:v>
      </x:c>
      <x:c r="K221" s="84" t="n">
        <x:v>121.22212</x:v>
      </x:c>
      <x:c r="L221" s="84" t="n">
        <x:v>14.01909091</x:v>
      </x:c>
      <x:c r="M221" s="84" t="n">
        <x:v>143.02</x:v>
      </x:c>
      <x:c r="N221" s="86" t="n">
        <x:v>0</x:v>
      </x:c>
      <x:c r="O221" s="1"/>
      <x:c r="P221" s="1"/>
      <x:c r="Q221" s="1"/>
      <x:c r="R221" s="1"/>
      <x:c r="S221" s="1"/>
      <x:c r="T221" s="1"/>
      <x:c r="U221" s="1"/>
      <x:c r="V221" s="1"/>
      <x:c r="W221" s="1"/>
      <x:c r="X221" s="1"/>
      <x:c r="Y221" s="1"/>
      <x:c r="Z221" s="1"/>
    </x:row>
    <x:row r="222">
      <x:c r="A222" s="72" t="str">
        <x:v>2023-12</x:v>
      </x:c>
      <x:c r="B222" s="83" t="n">
        <x:v>3948.206774</x:v>
      </x:c>
      <x:c r="C222" s="83" t="n">
        <x:v>77.63105263</x:v>
      </x:c>
      <x:c r="D222" s="83" t="n">
        <x:v>914.21</x:v>
      </x:c>
      <x:c r="E222" s="83" t="n">
        <x:v>10091.08</x:v>
      </x:c>
      <x:c r="F222" s="84" t="n">
        <x:v>13.15322581</x:v>
      </x:c>
      <x:c r="G222" s="84" t="n">
        <x:v>5.33</x:v>
      </x:c>
      <x:c r="H222" s="84" t="n">
        <x:v>7.823225806</x:v>
      </x:c>
      <x:c r="I222" s="85" t="n">
        <x:v>-16863.47586</x:v>
      </x:c>
      <x:c r="J222" s="84" t="n">
        <x:v>4.216018904</x:v>
      </x:c>
      <x:c r="K222" s="84" t="n">
        <x:v>119.83314</x:v>
      </x:c>
      <x:c r="L222" s="84" t="n">
        <x:v>12.7185</x:v>
      </x:c>
      <x:c r="M222" s="84" t="n">
        <x:v>148.74</x:v>
      </x:c>
      <x:c r="N222" s="86" t="n">
        <x:v>0</x:v>
      </x:c>
      <x:c r="O222" s="1"/>
      <x:c r="P222" s="1"/>
      <x:c r="Q222" s="1"/>
      <x:c r="R222" s="1"/>
      <x:c r="S222" s="1"/>
      <x:c r="T222" s="1"/>
      <x:c r="U222" s="1"/>
      <x:c r="V222" s="1"/>
      <x:c r="W222" s="1"/>
      <x:c r="X222" s="1"/>
      <x:c r="Y222" s="1"/>
      <x:c r="Z222" s="1"/>
    </x:row>
    <x:row r="223">
      <x:c r="A223" s="72" t="str">
        <x:v>2024-01</x:v>
      </x:c>
      <x:c r="B223" s="83" t="n">
        <x:v>3915.19871</x:v>
      </x:c>
      <x:c r="C223" s="83" t="n">
        <x:v>80.12409091</x:v>
      </x:c>
      <x:c r="D223" s="83" t="n">
        <x:v>912.79</x:v>
      </x:c>
      <x:c r="E223" s="83" t="n">
        <x:v>10218.85</x:v>
      </x:c>
      <x:c r="F223" s="84" t="n">
        <x:v>13</x:v>
      </x:c>
      <x:c r="G223" s="84" t="n">
        <x:v>5.33</x:v>
      </x:c>
      <x:c r="H223" s="84" t="n">
        <x:v>7.67</x:v>
      </x:c>
      <x:c r="I223" s="85" t="n">
        <x:v>-1386.781896</x:v>
      </x:c>
      <x:c r="J223" s="84" t="n">
        <x:v>4.175494571</x:v>
      </x:c>
      <x:c r="K223" s="84" t="n">
        <x:v>120.2273571</x:v>
      </x:c>
      <x:c r="L223" s="84" t="n">
        <x:v>13.38863636</x:v>
      </x:c>
      <x:c r="M223" s="84" t="n">
        <x:v>151.86</x:v>
      </x:c>
      <x:c r="N223" s="86" t="n">
        <x:v>0</x:v>
      </x:c>
      <x:c r="O223" s="1"/>
      <x:c r="P223" s="1"/>
      <x:c r="Q223" s="1"/>
      <x:c r="R223" s="1"/>
      <x:c r="S223" s="1"/>
      <x:c r="T223" s="1"/>
      <x:c r="U223" s="1"/>
      <x:c r="V223" s="1"/>
      <x:c r="W223" s="1"/>
      <x:c r="X223" s="1"/>
      <x:c r="Y223" s="1"/>
      <x:c r="Z223" s="1"/>
    </x:row>
    <x:row r="224">
      <x:c r="A224" s="72" t="str">
        <x:v>2024-02</x:v>
      </x:c>
      <x:c r="B224" s="83" t="n">
        <x:v>3931.438621</x:v>
      </x:c>
      <x:c r="C224" s="83" t="n">
        <x:v>83.47809524</x:v>
      </x:c>
      <x:c r="D224" s="83" t="n">
        <x:v>913.93</x:v>
      </x:c>
      <x:c r="E224" s="83" t="n">
        <x:v>10300.08</x:v>
      </x:c>
      <x:c r="F224" s="84" t="n">
        <x:v>12.75</x:v>
      </x:c>
      <x:c r="G224" s="84" t="n">
        <x:v>5.33</x:v>
      </x:c>
      <x:c r="H224" s="84" t="n">
        <x:v>7.42</x:v>
      </x:c>
      <x:c r="I224" s="85" t="n">
        <x:v>-12856.69828</x:v>
      </x:c>
      <x:c r="J224" s="84" t="n">
        <x:v>4.330062739</x:v>
      </x:c>
      <x:c r="K224" s="84" t="n">
        <x:v>121.06594</x:v>
      </x:c>
      <x:c r="L224" s="84" t="n">
        <x:v>13.98047619</x:v>
      </x:c>
      <x:c r="M224" s="84" t="n">
        <x:v>151.07</x:v>
      </x:c>
      <x:c r="N224" s="86" t="n">
        <x:v>0</x:v>
      </x:c>
      <x:c r="O224" s="1"/>
      <x:c r="P224" s="1"/>
      <x:c r="Q224" s="1"/>
      <x:c r="R224" s="1"/>
      <x:c r="S224" s="1"/>
      <x:c r="T224" s="1"/>
      <x:c r="U224" s="1"/>
      <x:c r="V224" s="1"/>
      <x:c r="W224" s="1"/>
      <x:c r="X224" s="1"/>
      <x:c r="Y224" s="1"/>
      <x:c r="Z224" s="1"/>
    </x:row>
    <x:row r="225">
      <x:c r="A225" s="72" t="str">
        <x:v>2024-03</x:v>
      </x:c>
      <x:c r="B225" s="83" t="n">
        <x:v>3899.34129</x:v>
      </x:c>
      <x:c r="C225" s="83" t="n">
        <x:v>85.4085</x:v>
      </x:c>
      <x:c r="D225" s="83" t="n">
        <x:v>894.05</x:v>
      </x:c>
      <x:c r="E225" s="83" t="n">
        <x:v>10335.87</x:v>
      </x:c>
      <x:c r="F225" s="84" t="n">
        <x:v>12.65322581</x:v>
      </x:c>
      <x:c r="G225" s="84" t="n">
        <x:v>5.33</x:v>
      </x:c>
      <x:c r="H225" s="84" t="n">
        <x:v>7.323225806</x:v>
      </x:c>
      <x:c r="I225" s="85" t="n">
        <x:v>-2100.702934</x:v>
      </x:c>
      <x:c r="J225" s="84" t="n">
        <x:v>4.053981088</x:v>
      </x:c>
      <x:c r="K225" s="84" t="n">
        <x:v>120.6588333</x:v>
      </x:c>
      <x:c r="L225" s="84" t="n">
        <x:v>13.7875</x:v>
      </x:c>
      <x:c r="M225" s="84" t="n">
        <x:v>152.47</x:v>
      </x:c>
      <x:c r="N225" s="86" t="n">
        <x:v>0</x:v>
      </x:c>
      <x:c r="O225" s="1"/>
      <x:c r="P225" s="1"/>
      <x:c r="Q225" s="1"/>
      <x:c r="R225" s="1"/>
      <x:c r="S225" s="1"/>
      <x:c r="T225" s="1"/>
      <x:c r="U225" s="1"/>
      <x:c r="V225" s="1"/>
      <x:c r="W225" s="1"/>
      <x:c r="X225" s="1"/>
      <x:c r="Y225" s="1"/>
      <x:c r="Z225" s="1"/>
    </x:row>
    <x:row r="226">
      <x:c r="A226" s="72" t="str">
        <x:v>2024-04</x:v>
      </x:c>
      <x:c r="B226" s="83" t="n">
        <x:v>3867.975333</x:v>
      </x:c>
      <x:c r="C226" s="83" t="n">
        <x:v>89.93809524</x:v>
      </x:c>
      <x:c r="D226" s="83" t="n">
        <x:v>929.39</x:v>
      </x:c>
      <x:c r="E226" s="83" t="n">
        <x:v>10528.52</x:v>
      </x:c>
      <x:c r="F226" s="84" t="n">
        <x:v>12.25</x:v>
      </x:c>
      <x:c r="G226" s="84" t="n">
        <x:v>5.33</x:v>
      </x:c>
      <x:c r="H226" s="84" t="n">
        <x:v>6.92</x:v>
      </x:c>
      <x:c r="I226" s="85" t="n">
        <x:v>-18621.39771</x:v>
      </x:c>
      <x:c r="J226" s="84" t="n">
        <x:v>5.505846826</x:v>
      </x:c>
      <x:c r="K226" s="84" t="n">
        <x:v>122.1428136</x:v>
      </x:c>
      <x:c r="L226" s="84" t="n">
        <x:v>16.13772727</x:v>
      </x:c>
      <x:c r="M226" s="84" t="n">
        <x:v>156.2</x:v>
      </x:c>
      <x:c r="N226" s="86" t="n">
        <x:v>0</x:v>
      </x:c>
      <x:c r="O226" s="1"/>
      <x:c r="P226" s="1"/>
      <x:c r="Q226" s="1"/>
      <x:c r="R226" s="1"/>
      <x:c r="S226" s="1"/>
      <x:c r="T226" s="1"/>
      <x:c r="U226" s="1"/>
      <x:c r="V226" s="1"/>
      <x:c r="W226" s="1"/>
      <x:c r="X226" s="1"/>
      <x:c r="Y226" s="1"/>
      <x:c r="Z226" s="1"/>
    </x:row>
    <x:row r="227">
      <x:c r="A227" s="72" t="str">
        <x:v>2024-05</x:v>
      </x:c>
      <x:c r="B227" s="83" t="n">
        <x:v>3869.100645</x:v>
      </x:c>
      <x:c r="C227" s="83" t="n">
        <x:v>81.74619048</x:v>
      </x:c>
      <x:c r="D227" s="83" t="n">
        <x:v>960.09</x:v>
      </x:c>
      <x:c r="E227" s="83" t="n">
        <x:v>10611.43</x:v>
      </x:c>
      <x:c r="F227" s="84" t="n">
        <x:v>11.76612903</x:v>
      </x:c>
      <x:c r="G227" s="84" t="n">
        <x:v>5.33</x:v>
      </x:c>
      <x:c r="H227" s="84" t="n">
        <x:v>6.436129032</x:v>
      </x:c>
      <x:c r="I227" s="85" t="n">
        <x:v>-4474.015612</x:v>
      </x:c>
      <x:c r="J227" s="84" t="n">
        <x:v>5.787888007</x:v>
      </x:c>
      <x:c r="K227" s="84" t="n">
        <x:v>121.8583409</x:v>
      </x:c>
      <x:c r="L227" s="84" t="n">
        <x:v>13.05869565</x:v>
      </x:c>
      <x:c r="M227" s="84" t="n">
        <x:v>149.8</x:v>
      </x:c>
      <x:c r="N227" s="86" t="n">
        <x:v>0</x:v>
      </x:c>
      <x:c r="O227" s="1"/>
      <x:c r="P227" s="1"/>
      <x:c r="Q227" s="1"/>
      <x:c r="R227" s="1"/>
      <x:c r="S227" s="1"/>
      <x:c r="T227" s="1"/>
      <x:c r="U227" s="1"/>
      <x:c r="V227" s="1"/>
      <x:c r="W227" s="1"/>
      <x:c r="X227" s="1"/>
      <x:c r="Y227" s="1"/>
      <x:c r="Z227" s="1"/>
    </x:row>
    <x:row r="228">
      <x:c r="A228" s="72" t="str">
        <x:v>2024-06</x:v>
      </x:c>
      <x:c r="B228" s="83" t="n">
        <x:v>4042.797</x:v>
      </x:c>
      <x:c r="C228" s="83" t="n">
        <x:v>82.246</x:v>
      </x:c>
      <x:c r="D228" s="83" t="n">
        <x:v>1017.28</x:v>
      </x:c>
      <x:c r="E228" s="83" t="n">
        <x:v>10845.23</x:v>
      </x:c>
      <x:c r="F228" s="84" t="n">
        <x:v>11.75</x:v>
      </x:c>
      <x:c r="G228" s="84" t="n">
        <x:v>5.33</x:v>
      </x:c>
      <x:c r="H228" s="84" t="n">
        <x:v>6.42</x:v>
      </x:c>
      <x:c r="I228" s="85" t="n">
        <x:v>-15576.83121</x:v>
      </x:c>
      <x:c r="J228" s="84" t="n">
        <x:v>6.332222692</x:v>
      </x:c>
      <x:c r="K228" s="84" t="n">
        <x:v>123.7094789</x:v>
      </x:c>
      <x:c r="L228" s="84" t="n">
        <x:v>12.667</x:v>
      </x:c>
      <x:c r="M228" s="84" t="n">
        <x:v>157.16</x:v>
      </x:c>
      <x:c r="N228" s="86" t="n">
        <x:v>0</x:v>
      </x:c>
      <x:c r="O228" s="1"/>
      <x:c r="P228" s="1"/>
      <x:c r="Q228" s="1"/>
      <x:c r="R228" s="1"/>
      <x:c r="S228" s="1"/>
      <x:c r="T228" s="1"/>
      <x:c r="U228" s="1"/>
      <x:c r="V228" s="1"/>
      <x:c r="W228" s="1"/>
      <x:c r="X228" s="1"/>
      <x:c r="Y228" s="1"/>
      <x:c r="Z228" s="1"/>
    </x:row>
    <x:row r="229">
      <x:c r="A229" s="72" t="str">
        <x:v>2024-07</x:v>
      </x:c>
      <x:c r="B229" s="83" t="n">
        <x:v>4036.921935</x:v>
      </x:c>
      <x:c r="C229" s="83" t="n">
        <x:v>85.15304348</x:v>
      </x:c>
      <x:c r="D229" s="83" t="n">
        <x:v>1006.44</x:v>
      </x:c>
      <x:c r="E229" s="83" t="n">
        <x:v>11090.06</x:v>
      </x:c>
      <x:c r="F229" s="84" t="n">
        <x:v>11.26612903</x:v>
      </x:c>
      <x:c r="G229" s="84" t="n">
        <x:v>5.33</x:v>
      </x:c>
      <x:c r="H229" s="84" t="n">
        <x:v>5.936129032</x:v>
      </x:c>
      <x:c r="I229" s="85" t="n">
        <x:v>-2836.833987</x:v>
      </x:c>
      <x:c r="J229" s="84" t="n">
        <x:v>6.443703501</x:v>
      </x:c>
      <x:c r="K229" s="84" t="n">
        <x:v>123.3824364</x:v>
      </x:c>
      <x:c r="L229" s="84" t="n">
        <x:v>14.37391304</x:v>
      </x:c>
      <x:c r="M229" s="84" t="n">
        <x:v>156.3</x:v>
      </x:c>
      <x:c r="N229" s="86" t="n">
        <x:v>0</x:v>
      </x:c>
      <x:c r="O229" s="1"/>
      <x:c r="P229" s="1"/>
      <x:c r="Q229" s="1"/>
      <x:c r="R229" s="1"/>
      <x:c r="S229" s="1"/>
      <x:c r="T229" s="1"/>
      <x:c r="U229" s="1"/>
      <x:c r="V229" s="1"/>
      <x:c r="W229" s="1"/>
      <x:c r="X229" s="1"/>
      <x:c r="Y229" s="1"/>
      <x:c r="Z229" s="1"/>
    </x:row>
    <x:row r="230">
      <x:c r="A230" s="72" t="str">
        <x:v>2024-08</x:v>
      </x:c>
      <x:c r="B230" s="83" t="n">
        <x:v>4065.546452</x:v>
      </x:c>
      <x:c r="C230" s="83" t="n">
        <x:v>80.3552381</x:v>
      </x:c>
      <x:c r="D230" s="83" t="n">
        <x:v>1008.94</x:v>
      </x:c>
      <x:c r="E230" s="83" t="n">
        <x:v>11211.24</x:v>
      </x:c>
      <x:c r="F230" s="84" t="n">
        <x:v>10.75</x:v>
      </x:c>
      <x:c r="G230" s="84" t="n">
        <x:v>5.33</x:v>
      </x:c>
      <x:c r="H230" s="84" t="n">
        <x:v>5.42</x:v>
      </x:c>
      <x:c r="I230" s="85" t="n">
        <x:v>-10928.00282</x:v>
      </x:c>
      <x:c r="J230" s="84" t="n">
        <x:v>6.790500101</x:v>
      </x:c>
      <x:c r="K230" s="84" t="n">
        <x:v>122.6137409</x:v>
      </x:c>
      <x:c r="L230" s="84" t="n">
        <x:v>19.31227273</x:v>
      </x:c>
      <x:c r="M230" s="84" t="n">
        <x:v>157.21</x:v>
      </x:c>
      <x:c r="N230" s="86" t="n">
        <x:v>0</x:v>
      </x:c>
      <x:c r="O230" s="1"/>
      <x:c r="P230" s="1"/>
      <x:c r="Q230" s="1"/>
      <x:c r="R230" s="1"/>
      <x:c r="S230" s="1"/>
      <x:c r="T230" s="1"/>
      <x:c r="U230" s="1"/>
      <x:c r="V230" s="1"/>
      <x:c r="W230" s="1"/>
      <x:c r="X230" s="1"/>
      <x:c r="Y230" s="1"/>
      <x:c r="Z230" s="1"/>
    </x:row>
    <x:row r="231">
      <x:c r="A231" s="72" t="str">
        <x:v>2024-09</x:v>
      </x:c>
      <x:c r="B231" s="83" t="n">
        <x:v>4182.512333</x:v>
      </x:c>
      <x:c r="C231" s="83" t="n">
        <x:v>74.01666667</x:v>
      </x:c>
      <x:c r="D231" s="83" t="n">
        <x:v>1037.32</x:v>
      </x:c>
      <x:c r="E231" s="83" t="n">
        <x:v>11367.09</x:v>
      </x:c>
      <x:c r="F231" s="84" t="n">
        <x:v>10.75</x:v>
      </x:c>
      <x:c r="G231" s="84" t="n">
        <x:v>5.13</x:v>
      </x:c>
      <x:c r="H231" s="84" t="n">
        <x:v>5.62</x:v>
      </x:c>
      <x:c r="I231" s="85" t="n">
        <x:v>-1961.057506</x:v>
      </x:c>
      <x:c r="J231" s="84" t="n">
        <x:v>6.646096117</x:v>
      </x:c>
      <x:c r="K231" s="84" t="n">
        <x:v>121.884855</x:v>
      </x:c>
      <x:c r="L231" s="84" t="n">
        <x:v>17.66333333</x:v>
      </x:c>
      <x:c r="M231" s="84" t="n">
        <x:v>153.43</x:v>
      </x:c>
      <x:c r="N231" s="86" t="n">
        <x:v>0</x:v>
      </x:c>
      <x:c r="O231" s="1"/>
      <x:c r="P231" s="1"/>
      <x:c r="Q231" s="1"/>
      <x:c r="R231" s="1"/>
      <x:c r="S231" s="1"/>
      <x:c r="T231" s="1"/>
      <x:c r="U231" s="1"/>
      <x:c r="V231" s="1"/>
      <x:c r="W231" s="1"/>
      <x:c r="X231" s="1"/>
      <x:c r="Y231" s="1"/>
      <x:c r="Z231" s="1"/>
    </x:row>
    <x:row r="232">
      <x:c r="A232" s="72" t="str">
        <x:v>2024-10</x:v>
      </x:c>
      <x:c r="B232" s="83" t="n">
        <x:v>4249.47</x:v>
      </x:c>
      <x:c r="C232" s="83" t="n">
        <x:v>75.6326087</x:v>
      </x:c>
      <x:c r="D232" s="83" t="n">
        <x:v>1036.4</x:v>
      </x:c>
      <x:c r="E232" s="83" t="n">
        <x:v>11517.74</x:v>
      </x:c>
      <x:c r="F232" s="84" t="n">
        <x:v>10.25</x:v>
      </x:c>
      <x:c r="G232" s="84" t="n">
        <x:v>4.83</x:v>
      </x:c>
      <x:c r="H232" s="84" t="n">
        <x:v>5.42</x:v>
      </x:c>
      <x:c r="I232" s="85" t="n">
        <x:v>-13343.67814</x:v>
      </x:c>
      <x:c r="J232" s="84" t="n">
        <x:v>6.652100585</x:v>
      </x:c>
      <x:c r="K232" s="84" t="n">
        <x:v>123.5952909</x:v>
      </x:c>
      <x:c r="L232" s="84" t="n">
        <x:v>19.96086957</x:v>
      </x:c>
      <x:c r="M232" s="84" t="n">
        <x:v>157.45</x:v>
      </x:c>
      <x:c r="N232" s="86" t="n">
        <x:v>0</x:v>
      </x:c>
      <x:c r="O232" s="1"/>
      <x:c r="P232" s="1"/>
      <x:c r="Q232" s="1"/>
      <x:c r="R232" s="1"/>
      <x:c r="S232" s="1"/>
      <x:c r="T232" s="1"/>
      <x:c r="U232" s="1"/>
      <x:c r="V232" s="1"/>
      <x:c r="W232" s="1"/>
      <x:c r="X232" s="1"/>
      <x:c r="Y232" s="1"/>
      <x:c r="Z232" s="1"/>
    </x:row>
    <x:row r="233">
      <x:c r="A233" s="72" t="str">
        <x:v>2024-11</x:v>
      </x:c>
      <x:c r="B233" s="83" t="n">
        <x:v>4408.652333</x:v>
      </x:c>
      <x:c r="C233" s="83" t="n">
        <x:v>74.3452381</x:v>
      </x:c>
      <x:c r="D233" s="83" t="n">
        <x:v>1033.19</x:v>
      </x:c>
      <x:c r="E233" s="83" t="n">
        <x:v>11664.03</x:v>
      </x:c>
      <x:c r="F233" s="84" t="n">
        <x:v>9.75</x:v>
      </x:c>
      <x:c r="G233" s="84" t="n">
        <x:v>4.64</x:v>
      </x:c>
      <x:c r="H233" s="84" t="n">
        <x:v>5.11</x:v>
      </x:c>
      <x:c r="I233" s="85" t="n">
        <x:v>-18186.62878</x:v>
      </x:c>
      <x:c r="J233" s="84" t="n">
        <x:v>6.953539496</x:v>
      </x:c>
      <x:c r="K233" s="84" t="n">
        <x:v>126.3113368</x:v>
      </x:c>
      <x:c r="L233" s="84" t="n">
        <x:v>16.0152381</x:v>
      </x:c>
      <x:c r="M233" s="84" t="n">
        <x:v>157.35</x:v>
      </x:c>
      <x:c r="N233" s="86" t="n">
        <x:v>0</x:v>
      </x:c>
      <x:c r="O233" s="1"/>
      <x:c r="P233" s="1"/>
      <x:c r="Q233" s="1"/>
      <x:c r="R233" s="1"/>
      <x:c r="S233" s="1"/>
      <x:c r="T233" s="1"/>
      <x:c r="U233" s="1"/>
      <x:c r="V233" s="1"/>
      <x:c r="W233" s="1"/>
      <x:c r="X233" s="1"/>
      <x:c r="Y233" s="1"/>
      <x:c r="Z233" s="1"/>
    </x:row>
    <x:row r="234">
      <x:c r="A234" s="72" t="str">
        <x:v>2024-12</x:v>
      </x:c>
      <x:c r="B234" s="83" t="n">
        <x:v>4385.14871</x:v>
      </x:c>
      <x:c r="C234" s="83" t="n">
        <x:v>73.8595</x:v>
      </x:c>
      <x:c r="D234" s="83" t="n">
        <x:v>1098.4</x:v>
      </x:c>
      <x:c r="E234" s="83" t="n">
        <x:v>11848.22</x:v>
      </x:c>
      <x:c r="F234" s="84" t="n">
        <x:v>9.677419355</x:v>
      </x:c>
      <x:c r="G234" s="84" t="n">
        <x:v>4.48</x:v>
      </x:c>
      <x:c r="H234" s="84" t="n">
        <x:v>5.197419355</x:v>
      </x:c>
      <x:c r="I234" s="85" t="n">
        <x:v>-12238.24063</x:v>
      </x:c>
      <x:c r="J234" s="84" t="n">
        <x:v>6.683581401</x:v>
      </x:c>
      <x:c r="K234" s="84" t="n">
        <x:v>127.575781</x:v>
      </x:c>
      <x:c r="L234" s="84" t="n">
        <x:v>15.86619048</x:v>
      </x:c>
      <x:c r="M234" s="84" t="n">
        <x:v>161.4</x:v>
      </x:c>
      <x:c r="N234" s="86" t="n">
        <x:v>0</x:v>
      </x:c>
      <x:c r="O234" s="1"/>
      <x:c r="P234" s="1"/>
      <x:c r="Q234" s="1"/>
      <x:c r="R234" s="1"/>
      <x:c r="S234" s="1"/>
      <x:c r="T234" s="1"/>
      <x:c r="U234" s="1"/>
      <x:c r="V234" s="1"/>
      <x:c r="W234" s="1"/>
      <x:c r="X234" s="1"/>
      <x:c r="Y234" s="1"/>
      <x:c r="Z234" s="1"/>
    </x:row>
    <x:row r="235">
      <x:c r="A235" s="72" t="str">
        <x:v>2025-01</x:v>
      </x:c>
      <x:c r="B235" s="83" t="n">
        <x:v>4307.567419</x:v>
      </x:c>
      <x:c r="C235" s="83" t="n">
        <x:v>79.27045455</x:v>
      </x:c>
      <x:c r="D235" s="83" t="n">
        <x:v>1009.66</x:v>
      </x:c>
      <x:c r="E235" s="83" t="n">
        <x:v>11945.09</x:v>
      </x:c>
      <x:c r="F235" s="84" t="n">
        <x:v>9.5</x:v>
      </x:c>
      <x:c r="G235" s="84" t="n">
        <x:v>4.33</x:v>
      </x:c>
      <x:c r="H235" s="84" t="n">
        <x:v>5.17</x:v>
      </x:c>
      <x:c r="I235" s="85" t="n">
        <x:v>-12491.39631</x:v>
      </x:c>
      <x:c r="J235" s="84" t="n">
        <x:v>6.775576693</x:v>
      </x:c>
      <x:c r="K235" s="84" t="n">
        <x:v>128.8369524</x:v>
      </x:c>
      <x:c r="L235" s="84" t="n">
        <x:v>16.76363636</x:v>
      </x:c>
      <x:c r="M235" s="84" t="n">
        <x:v>165.69</x:v>
      </x:c>
      <x:c r="N235" s="86" t="n">
        <x:v>0</x:v>
      </x:c>
      <x:c r="O235" s="1"/>
      <x:c r="P235" s="1"/>
      <x:c r="Q235" s="1"/>
      <x:c r="R235" s="1"/>
      <x:c r="S235" s="1"/>
      <x:c r="T235" s="1"/>
      <x:c r="U235" s="1"/>
      <x:c r="V235" s="1"/>
      <x:c r="W235" s="1"/>
      <x:c r="X235" s="1"/>
      <x:c r="Y235" s="1"/>
      <x:c r="Z235" s="1"/>
    </x:row>
    <x:row r="236">
      <x:c r="A236" s="72" t="str">
        <x:v>2025-02</x:v>
      </x:c>
      <x:c r="B236" s="83" t="n">
        <x:v>4127.953929</x:v>
      </x:c>
      <x:c r="C236" s="83" t="n">
        <x:v>75.438</x:v>
      </x:c>
      <x:c r="D236" s="83" t="n">
        <x:v>1031.63</x:v>
      </x:c>
      <x:c r="E236" s="83" t="n">
        <x:v>12062.79</x:v>
      </x:c>
      <x:c r="F236" s="84" t="n">
        <x:v>9.5</x:v>
      </x:c>
      <x:c r="G236" s="84" t="n">
        <x:v>4.33</x:v>
      </x:c>
      <x:c r="H236" s="84" t="n">
        <x:v>5.17</x:v>
      </x:c>
      <x:c r="I236" s="85" t="n">
        <x:v>-17409.86142</x:v>
      </x:c>
      <x:c r="J236" s="84" t="n">
        <x:v>7.021169873</x:v>
      </x:c>
      <x:c r="K236" s="84" t="n">
        <x:v>127.8758316</x:v>
      </x:c>
      <x:c r="L236" s="84" t="n">
        <x:v>16.968</x:v>
      </x:c>
      <x:c r="M236" s="84" t="n">
        <x:v>164.54</x:v>
      </x:c>
      <x:c r="N236" s="86" t="n">
        <x:v>0</x:v>
      </x:c>
      <x:c r="O236" s="1"/>
      <x:c r="P236" s="1"/>
      <x:c r="Q236" s="1"/>
      <x:c r="R236" s="1"/>
      <x:c r="S236" s="1"/>
      <x:c r="T236" s="1"/>
      <x:c r="U236" s="1"/>
      <x:c r="V236" s="1"/>
      <x:c r="W236" s="1"/>
      <x:c r="X236" s="1"/>
      <x:c r="Y236" s="1"/>
      <x:c r="Z236" s="1"/>
    </x:row>
    <x:row r="237">
      <x:c r="A237" s="72" t="str">
        <x:v>2025-03</x:v>
      </x:c>
      <x:c r="B237" s="83" t="n">
        <x:v>4137.684516</x:v>
      </x:c>
      <x:c r="C237" s="83" t="n">
        <x:v>72.73285714</x:v>
      </x:c>
      <x:c r="D237" s="83" t="n">
        <x:v>1089.33</x:v>
      </x:c>
      <x:c r="E237" s="83" t="n">
        <x:v>12258.07</x:v>
      </x:c>
      <x:c r="F237" s="84" t="n">
        <x:v>9.5</x:v>
      </x:c>
      <x:c r="G237" s="84" t="n">
        <x:v>4.33</x:v>
      </x:c>
      <x:c r="H237" s="84" t="n">
        <x:v>5.17</x:v>
      </x:c>
      <x:c r="I237" s="85" t="n">
        <x:v>-7588.630465</x:v>
      </x:c>
      <x:c r="J237" s="84" t="n">
        <x:v>7.317183331</x:v>
      </x:c>
      <x:c r="K237" s="84" t="n">
        <x:v>126.2430429</x:v>
      </x:c>
      <x:c r="L237" s="84" t="n">
        <x:v>21.84142857</x:v>
      </x:c>
      <x:c r="M237" s="84" t="n">
        <x:v>163.87</x:v>
      </x:c>
      <x:c r="N237" s="86" t="n">
        <x:v>0</x:v>
      </x:c>
      <x:c r="O237" s="1"/>
      <x:c r="P237" s="1"/>
      <x:c r="Q237" s="1"/>
      <x:c r="R237" s="1"/>
      <x:c r="S237" s="1"/>
      <x:c r="T237" s="1"/>
      <x:c r="U237" s="1"/>
      <x:c r="V237" s="1"/>
      <x:c r="W237" s="1"/>
      <x:c r="X237" s="1"/>
      <x:c r="Y237" s="1"/>
      <x:c r="Z237" s="1"/>
    </x:row>
    <x:row r="238">
      <x:c r="A238" s="72" t="str">
        <x:v>2025-04</x:v>
      </x:c>
      <x:c r="B238" s="83" t="n">
        <x:v>4280.258</x:v>
      </x:c>
      <x:c r="C238" s="83" t="n">
        <x:v>68.1345</x:v>
      </x:c>
      <x:c r="D238" s="83" t="n">
        <x:v>1097.41</x:v>
      </x:c>
      <x:c r="E238" s="83" t="n">
        <x:v>12426.09</x:v>
      </x:c>
      <x:c r="F238" s="84" t="n">
        <x:v>9.5</x:v>
      </x:c>
      <x:c r="G238" s="84" t="n">
        <x:v>4.33</x:v>
      </x:c>
      <x:c r="H238" s="84" t="n">
        <x:v>5.17</x:v>
      </x:c>
      <x:c r="I238" s="85" t="n">
        <x:v>-13594.17391</x:v>
      </x:c>
      <x:c r="J238" s="84" t="n">
        <x:v>7.046019782</x:v>
      </x:c>
      <x:c r="K238" s="84" t="n">
        <x:v>124.1402</x:v>
      </x:c>
      <x:c r="L238" s="84" t="n">
        <x:v>31.96619048</x:v>
      </x:c>
      <x:c r="M238" s="84" t="n">
        <x:v>162.39</x:v>
      </x:c>
      <x:c r="N238" s="86" t="n">
        <x:v>0</x:v>
      </x:c>
      <x:c r="O238" s="1"/>
      <x:c r="P238" s="1"/>
      <x:c r="Q238" s="1"/>
      <x:c r="R238" s="1"/>
      <x:c r="S238" s="1"/>
      <x:c r="T238" s="1"/>
      <x:c r="U238" s="1"/>
      <x:c r="V238" s="1"/>
      <x:c r="W238" s="1"/>
      <x:c r="X238" s="1"/>
      <x:c r="Y238" s="1"/>
      <x:c r="Z238" s="1"/>
    </x:row>
    <x:row r="239">
      <x:c r="A239" s="72" t="str">
        <x:v>2025-05</x:v>
      </x:c>
      <x:c r="B239" s="83" t="n">
        <x:v>4203.377097</x:v>
      </x:c>
      <x:c r="C239" s="83" t="n">
        <x:v>64.453</x:v>
      </x:c>
      <x:c r="D239" s="83" t="n">
        <x:v>1095.91</x:v>
      </x:c>
      <x:c r="E239" s="83" t="n">
        <x:v>12561.91</x:v>
      </x:c>
      <x:c r="F239" s="84" t="n">
        <x:v>9.258064516</x:v>
      </x:c>
      <x:c r="G239" s="84" t="n">
        <x:v>4.33</x:v>
      </x:c>
      <x:c r="H239" s="84" t="n">
        <x:v>4.928064516</x:v>
      </x:c>
      <x:c r="I239" s="85" t="n">
        <x:v>-5976.691931</x:v>
      </x:c>
      <x:c r="J239" s="84" t="n">
        <x:v>7.127072678</x:v>
      </x:c>
      <x:c r="K239" s="84" t="n">
        <x:v>122.3421619</x:v>
      </x:c>
      <x:c r="L239" s="84" t="n">
        <x:v>20.46227273</x:v>
      </x:c>
      <x:c r="M239" s="84" t="n">
        <x:v>157.92</x:v>
      </x:c>
      <x:c r="N239" s="86" t="n">
        <x:v>0</x:v>
      </x:c>
      <x:c r="O239" s="1"/>
      <x:c r="P239" s="1"/>
      <x:c r="Q239" s="1"/>
      <x:c r="R239" s="1"/>
      <x:c r="S239" s="1"/>
      <x:c r="T239" s="1"/>
      <x:c r="U239" s="1"/>
      <x:c r="V239" s="1"/>
      <x:c r="W239" s="1"/>
      <x:c r="X239" s="1"/>
      <x:c r="Y239" s="1"/>
      <x:c r="Z239" s="1"/>
    </x:row>
    <x:row r="240">
      <x:c r="A240" s="72" t="str">
        <x:v>2025-06</x:v>
      </x:c>
      <x:c r="B240" s="83" t="n">
        <x:v>4113.485</x:v>
      </x:c>
      <x:c r="C240" s="83" t="n">
        <x:v>71.4447619</x:v>
      </x:c>
      <x:c r="D240" s="83" t="n">
        <x:v>1084.15</x:v>
      </x:c>
      <x:c r="E240" s="83" t="n">
        <x:v>12628.78</x:v>
      </x:c>
      <x:c r="F240" s="84" t="n">
        <x:v>9.25</x:v>
      </x:c>
      <x:c r="G240" s="84" t="n">
        <x:v>4.33</x:v>
      </x:c>
      <x:c r="H240" s="84" t="n">
        <x:v>4.92</x:v>
      </x:c>
      <x:c r="I240" s="85" t="n">
        <x:v>-11405.85686</x:v>
      </x:c>
      <x:c r="J240" s="84" t="n">
        <x:v>6.902094389</x:v>
      </x:c>
      <x:c r="K240" s="84" t="n">
        <x:v>120.59387</x:v>
      </x:c>
      <x:c r="L240" s="84" t="n">
        <x:v>18.40333333</x:v>
      </x:c>
      <x:c r="M240" s="84" t="n">
        <x:v>164.6</x:v>
      </x:c>
      <x:c r="N240" s="86" t="n">
        <x:v>0</x:v>
      </x:c>
      <x:c r="O240" s="1"/>
      <x:c r="P240" s="1"/>
      <x:c r="Q240" s="1"/>
      <x:c r="R240" s="1"/>
      <x:c r="S240" s="1"/>
      <x:c r="T240" s="1"/>
      <x:c r="U240" s="1"/>
      <x:c r="V240" s="1"/>
      <x:c r="W240" s="1"/>
      <x:c r="X240" s="1"/>
      <x:c r="Y240" s="1"/>
      <x:c r="Z240" s="1"/>
    </x:row>
    <x:row r="241">
      <x:c r="A241" s="72" t="str">
        <x:v>2025-07</x:v>
      </x:c>
      <x:c r="B241" s="83" t="n">
        <x:v>4040.848387</x:v>
      </x:c>
      <x:c r="C241" s="83" t="n">
        <x:v>71.04130435</x:v>
      </x:c>
      <x:c r="D241" s="83" t="n">
        <x:v>1158.36</x:v>
      </x:c>
      <x:c r="E241" s="83" t="n">
        <x:v>12780.7</x:v>
      </x:c>
      <x:c r="F241" s="84" t="n">
        <x:v>9.25</x:v>
      </x:c>
      <x:c r="G241" s="84" t="n">
        <x:v>4.33</x:v>
      </x:c>
      <x:c r="H241" s="84" t="n">
        <x:v>4.92</x:v>
      </x:c>
      <x:c r="I241" s="85" t="n">
        <x:v>-1995.450946</x:v>
      </x:c>
      <x:c r="J241" s="84" t="n">
        <x:v>6.856711008</x:v>
      </x:c>
      <x:c r="K241" s="84" t="n">
        <x:v>120.1126909</x:v>
      </x:c>
      <x:c r="L241" s="84" t="n">
        <x:v>16.38130435</x:v>
      </x:c>
      <x:c r="M241" s="84" t="n">
        <x:v>164.94</x:v>
      </x:c>
      <x:c r="N241" s="86" t="n">
        <x:v>0</x:v>
      </x:c>
      <x:c r="O241" s="1"/>
      <x:c r="P241" s="1"/>
      <x:c r="Q241" s="1"/>
      <x:c r="R241" s="1"/>
      <x:c r="S241" s="1"/>
      <x:c r="T241" s="1"/>
      <x:c r="U241" s="1"/>
      <x:c r="V241" s="1"/>
      <x:c r="W241" s="1"/>
      <x:c r="X241" s="1"/>
      <x:c r="Y241" s="1"/>
      <x:c r="Z241" s="1"/>
    </x:row>
    <x:row r="242">
      <x:c r="A242" s="72" t="str">
        <x:v>2025-08</x:v>
      </x:c>
      <x:c r="B242" s="83" t="n">
        <x:v>4047.411613</x:v>
      </x:c>
      <x:c r="C242" s="83" t="n">
        <x:v>67.87</x:v>
      </x:c>
      <x:c r="D242" s="83" t="n">
        <x:v>1095.38</x:v>
      </x:c>
      <x:c r="E242" s="83" t="n">
        <x:v>12867.14</x:v>
      </x:c>
      <x:c r="F242" s="84" t="n">
        <x:v>9.25</x:v>
      </x:c>
      <x:c r="G242" s="84" t="n">
        <x:v>4.33</x:v>
      </x:c>
      <x:c r="H242" s="84" t="n">
        <x:v>4.92</x:v>
      </x:c>
      <x:c r="I242" s="85" t="n">
        <x:v>-5824.707711</x:v>
      </x:c>
      <x:c r="J242" s="84" t="n">
        <x:v>6.581444247</x:v>
      </x:c>
      <x:c r="K242" s="84" t="n">
        <x:v>120.5758429</x:v>
      </x:c>
      <x:c r="L242" s="84" t="n">
        <x:v>15.75</x:v>
      </x:c>
      <x:c r="M242" s="84" t="n">
        <x:v>167.7</x:v>
      </x:c>
      <x:c r="N242" s="86" t="n">
        <x:v>0</x:v>
      </x:c>
      <x:c r="O242" s="1"/>
      <x:c r="P242" s="1"/>
      <x:c r="Q242" s="1"/>
      <x:c r="R242" s="1"/>
      <x:c r="S242" s="1"/>
      <x:c r="T242" s="1"/>
      <x:c r="U242" s="1"/>
      <x:c r="V242" s="1"/>
      <x:c r="W242" s="1"/>
      <x:c r="X242" s="1"/>
      <x:c r="Y242" s="1"/>
      <x:c r="Z242" s="1"/>
    </x:row>
    <x:row r="243">
      <x:c r="A243" s="72" t="str">
        <x:v>2025-09</x:v>
      </x:c>
      <x:c r="B243" s="83" t="n">
        <x:v>3922.212</x:v>
      </x:c>
      <x:c r="C243" s="83" t="n">
        <x:v>67.98545455</x:v>
      </x:c>
      <x:c r="D243" s="83" t="n">
        <x:v>1100.26</x:v>
      </x:c>
      <x:c r="E243" s="83" t="n">
        <x:v>12930.08</x:v>
      </x:c>
      <x:c r="F243" s="84" t="n">
        <x:v>9.25</x:v>
      </x:c>
      <x:c r="G243" s="84" t="n">
        <x:v>4.22</x:v>
      </x:c>
      <x:c r="H243" s="84" t="n">
        <x:v>5.03</x:v>
      </x:c>
      <x:c r="I243" s="85" t="n">
        <x:v>1570.725831</x:v>
      </x:c>
      <x:c r="J243" s="84" t="n">
        <x:v>6.390943298</x:v>
      </x:c>
      <x:c r="K243" s="84" t="n">
        <x:v>120.0290619</x:v>
      </x:c>
      <x:c r="L243" s="84" t="n">
        <x:v>15.78909091</x:v>
      </x:c>
      <x:c r="M243" s="84" t="n">
        <x:v>169.72</x:v>
      </x:c>
      <x:c r="N243" s="86" t="n">
        <x:v>0</x:v>
      </x:c>
      <x:c r="O243" s="1"/>
      <x:c r="P243" s="1"/>
      <x:c r="Q243" s="1"/>
      <x:c r="R243" s="1"/>
      <x:c r="S243" s="1"/>
      <x:c r="T243" s="1"/>
      <x:c r="U243" s="1"/>
      <x:c r="V243" s="1"/>
      <x:c r="W243" s="1"/>
      <x:c r="X243" s="1"/>
      <x:c r="Y243" s="1"/>
      <x:c r="Z243" s="1"/>
    </x:row>
    <x:row r="244">
      <x:c r="A244" s="72" t="str">
        <x:v>2025-10</x:v>
      </x:c>
      <x:c r="B244" s="83" t="n">
        <x:v>3877.844839</x:v>
      </x:c>
      <x:c r="C244" s="83" t="n">
        <x:v>64.54347826</x:v>
      </x:c>
      <x:c r="D244" s="83" t="n">
        <x:v>1092.1</x:v>
      </x:c>
      <x:c r="E244" s="83" t="n">
        <x:v>12985.78</x:v>
      </x:c>
      <x:c r="F244" s="84" t="n">
        <x:v>9.25</x:v>
      </x:c>
      <x:c r="G244" s="84" t="n">
        <x:v>4.09</x:v>
      </x:c>
      <x:c r="H244" s="84" t="n">
        <x:v>5.16</x:v>
      </x:c>
      <x:c r="I244" s="85" t="n">
        <x:v>-9455.491073</x:v>
      </x:c>
      <x:c r="J244" s="84" t="n">
        <x:v>6.18121828</x:v>
      </x:c>
      <x:c r="K244" s="84" t="n">
        <x:v>120.7618</x:v>
      </x:c>
      <x:c r="L244" s="84" t="n">
        <x:v>18.08652174</x:v>
      </x:c>
      <x:c r="M244" s="84" t="n">
        <x:v>163</x:v>
      </x:c>
      <x:c r="N244" s="86" t="n">
        <x:v>0</x:v>
      </x:c>
      <x:c r="O244" s="1"/>
      <x:c r="P244" s="1"/>
      <x:c r="Q244" s="1"/>
      <x:c r="R244" s="1"/>
      <x:c r="S244" s="1"/>
      <x:c r="T244" s="1"/>
      <x:c r="U244" s="1"/>
      <x:c r="V244" s="1"/>
      <x:c r="W244" s="1"/>
      <x:c r="X244" s="1"/>
      <x:c r="Y244" s="1"/>
      <x:c r="Z244" s="1"/>
    </x:row>
    <x:row r="245">
      <x:c r="A245" s="72" t="str">
        <x:v>2025-11</x:v>
      </x:c>
      <x:c r="B245" s="83" t="n">
        <x:v>3786.183333</x:v>
      </x:c>
      <x:c r="C245" s="83" t="n">
        <x:v>63.797</x:v>
      </x:c>
      <x:c r="D245" s="83" t="n">
        <x:v>1070.69</x:v>
      </x:c>
      <x:c r="E245" s="83" t="n">
        <x:v>13023.28</x:v>
      </x:c>
      <x:c r="F245" s="84" t="n">
        <x:v>9.25</x:v>
      </x:c>
      <x:c r="G245" s="84" t="n">
        <x:v>3.88</x:v>
      </x:c>
      <x:c r="H245" s="84" t="n">
        <x:v>5.37</x:v>
      </x:c>
      <x:c r="I245" s="85" t="n">
        <x:v>-25812.60589</x:v>
      </x:c>
      <x:c r="J245" s="84" t="n">
        <x:v>6.592556047</x:v>
      </x:c>
      <x:c r="K245" s="84" t="n">
        <x:v>121.4177167</x:v>
      </x:c>
      <x:c r="L245" s="84" t="n">
        <x:v>19.7695</x:v>
      </x:c>
      <x:c r="M245" s="84" t="n">
        <x:v>162.01</x:v>
      </x:c>
      <x:c r="N245" s="86" t="n">
        <x:v>0</x:v>
      </x:c>
      <x:c r="O245" s="1"/>
      <x:c r="P245" s="1"/>
      <x:c r="Q245" s="1"/>
      <x:c r="R245" s="1"/>
      <x:c r="S245" s="1"/>
      <x:c r="T245" s="1"/>
      <x:c r="U245" s="1"/>
      <x:c r="V245" s="1"/>
      <x:c r="W245" s="1"/>
      <x:c r="X245" s="1"/>
      <x:c r="Y245" s="1"/>
      <x:c r="Z245" s="1"/>
    </x:row>
    <x:row r="246">
      <x:c r="A246" s="72" t="str">
        <x:v>2025-12</x:v>
      </x:c>
      <x:c r="B246" s="83" t="n">
        <x:v>3791.471935</x:v>
      </x:c>
      <x:c r="C246" s="83" t="n">
        <x:v>62.54428571</x:v>
      </x:c>
      <x:c r="D246" s="83" t="n">
        <x:v>1173.39</x:v>
      </x:c>
      <x:c r="E246" s="83" t="n">
        <x:v>13098.27</x:v>
      </x:c>
      <x:c r="F246" s="84" t="n">
        <x:v>9.25</x:v>
      </x:c>
      <x:c r="G246" s="84" t="n">
        <x:v>3.72</x:v>
      </x:c>
      <x:c r="H246" s="84" t="n">
        <x:v>5.53</x:v>
      </x:c>
      <x:c r="I246" s="85" t="n">
        <x:v>-7822.991807</x:v>
      </x:c>
      <x:c r="J246" s="84" t="n">
        <x:v>6.354401832</x:v>
      </x:c>
      <x:c r="K246" s="84" t="n">
        <x:v>120.1883227</x:v>
      </x:c>
      <x:c r="L246" s="84" t="n">
        <x:v>15.54818182</x:v>
      </x:c>
      <x:c r="M246" s="84" t="n">
        <x:v>163.76</x:v>
      </x:c>
      <x:c r="N246" s="86" t="n">
        <x:v>0</x:v>
      </x:c>
      <x:c r="O246" s="1"/>
      <x:c r="P246" s="1"/>
      <x:c r="Q246" s="1"/>
      <x:c r="R246" s="1"/>
      <x:c r="S246" s="1"/>
      <x:c r="T246" s="1"/>
      <x:c r="U246" s="1"/>
      <x:c r="V246" s="1"/>
      <x:c r="W246" s="1"/>
      <x:c r="X246" s="1"/>
      <x:c r="Y246" s="1"/>
      <x:c r="Z246" s="1"/>
    </x:row>
    <x:row r="247">
      <x:c r="A247" s="72" t="str">
        <x:v>2026-01</x:v>
      </x:c>
      <x:c r="B247" s="83" t="n">
        <x:v>3702.999032</x:v>
      </x:c>
      <x:c r="C247" s="83" t="n">
        <x:v>66.60238095</x:v>
      </x:c>
      <x:c r="D247" s="83" t="n">
        <x:v>1020.11</x:v>
      </x:c>
      <x:c r="E247" s="83" t="n">
        <x:v>13108.72</x:v>
      </x:c>
      <x:c r="F247" s="84" t="n">
        <x:v>9.25</x:v>
      </x:c>
      <x:c r="G247" s="84" t="n">
        <x:v>3.64</x:v>
      </x:c>
      <x:c r="H247" s="84" t="n">
        <x:v>5.61</x:v>
      </x:c>
      <x:c r="I247" s="85" t="n">
        <x:v>-5666.100052</x:v>
      </x:c>
      <x:c r="J247" s="84" t="n">
        <x:v>5.496041161</x:v>
      </x:c>
      <x:c r="K247" s="84" t="n">
        <x:v>119.22981</x:v>
      </x:c>
      <x:c r="L247" s="84" t="n">
        <x:v>16.17904762</x:v>
      </x:c>
      <x:c r="M247" s="84" t="n">
        <x:v>164.09</x:v>
      </x:c>
      <x:c r="N247" s="86" t="n">
        <x:v>0</x:v>
      </x:c>
      <x:c r="O247" s="1"/>
      <x:c r="P247" s="1"/>
      <x:c r="Q247" s="1"/>
      <x:c r="R247" s="1"/>
      <x:c r="S247" s="1"/>
      <x:c r="T247" s="1"/>
      <x:c r="U247" s="1"/>
      <x:c r="V247" s="1"/>
      <x:c r="W247" s="1"/>
      <x:c r="X247" s="1"/>
      <x:c r="Y247" s="1"/>
      <x:c r="Z247" s="1"/>
    </x:row>
    <x:row r="248">
      <x:c r="A248" s="72" t="str">
        <x:v>2026-02</x:v>
      </x:c>
      <x:c r="B248" s="83" t="n">
        <x:v>3675.641429</x:v>
      </x:c>
      <x:c r="C248" s="83" t="n">
        <x:v>70.887</x:v>
      </x:c>
      <x:c r="D248" s="83" t="n">
        <x:v>1101.16</x:v>
      </x:c>
      <x:c r="E248" s="83" t="n">
        <x:v>13178.25</x:v>
      </x:c>
      <x:c r="F248" s="84" t="n">
        <x:v>10.21428571</x:v>
      </x:c>
      <x:c r="G248" s="84" t="n">
        <x:v>3.64</x:v>
      </x:c>
      <x:c r="H248" s="84" t="n">
        <x:v>6.574285714</x:v>
      </x:c>
      <x:c r="I248" s="85" t="n">
        <x:v>-28017.28184</x:v>
      </x:c>
      <x:c r="J248" s="84" t="n">
        <x:v>6.021341708</x:v>
      </x:c>
      <x:c r="K248" s="84" t="n">
        <x:v>117.9060211</x:v>
      </x:c>
      <x:c r="L248" s="84" t="n">
        <x:v>19.207</x:v>
      </x:c>
      <x:c r="M248" s="84" t="n">
        <x:v>165.05</x:v>
      </x:c>
      <x:c r="N248" s="86" t="n">
        <x:v>0</x:v>
      </x:c>
      <x:c r="O248" s="1"/>
      <x:c r="P248" s="1"/>
      <x:c r="Q248" s="1"/>
      <x:c r="R248" s="1"/>
      <x:c r="S248" s="1"/>
      <x:c r="T248" s="1"/>
      <x:c r="U248" s="1"/>
      <x:c r="V248" s="1"/>
      <x:c r="W248" s="1"/>
      <x:c r="X248" s="1"/>
      <x:c r="Y248" s="1"/>
      <x:c r="Z248" s="1"/>
    </x:row>
    <x:row r="249">
      <x:c r="A249" s="72" t="str">
        <x:v>2026-03</x:v>
      </x:c>
      <x:c r="B249" s="83" t="n">
        <x:v>3717.557419</x:v>
      </x:c>
      <x:c r="C249" s="83" t="n">
        <x:v>103.1345455</x:v>
      </x:c>
      <x:c r="D249" s="83" t="n">
        <x:v>1225.69</x:v>
      </x:c>
      <x:c r="E249" s="83" t="n">
        <x:v>13314.61</x:v>
      </x:c>
      <x:c r="F249" s="84" t="n">
        <x:v>10.25</x:v>
      </x:c>
      <x:c r="G249" s="84" t="n">
        <x:v>3.64</x:v>
      </x:c>
      <x:c r="H249" s="84" t="n">
        <x:v>6.61</x:v>
      </x:c>
      <x:c r="I249" s="85" t="n">
        <x:v>-2351.738572</x:v>
      </x:c>
      <x:c r="J249" s="84" t="n">
        <x:v>5.76200041</x:v>
      </x:c>
      <x:c r="K249" s="84" t="n">
        <x:v>119.9198545</x:v>
      </x:c>
      <x:c r="L249" s="84" t="n">
        <x:v>25.59681818</x:v>
      </x:c>
      <x:c r="M249" s="84" t="n">
        <x:v>180.04</x:v>
      </x:c>
      <x:c r="N249" s="86" t="n">
        <x:v>0</x:v>
      </x:c>
      <x:c r="O249" s="1"/>
      <x:c r="P249" s="1"/>
      <x:c r="Q249" s="1"/>
      <x:c r="R249" s="1"/>
      <x:c r="S249" s="1"/>
      <x:c r="T249" s="1"/>
      <x:c r="U249" s="1"/>
      <x:c r="V249" s="1"/>
      <x:c r="W249" s="1"/>
      <x:c r="X249" s="1"/>
      <x:c r="Y249" s="1"/>
      <x:c r="Z249" s="1"/>
    </x:row>
    <x:row r="250">
      <x:c r="A250" s="72" t="str">
        <x:v>2026-04</x:v>
      </x:c>
      <x:c r="B250" s="83" t="n">
        <x:v>3617.518667</x:v>
      </x:c>
      <x:c r="C250" s="83" t="n">
        <x:v>117.2875</x:v>
      </x:c>
      <x:c r="D250" s="83" t="n">
        <x:v>1102.86</x:v>
      </x:c>
      <x:c r="E250" s="83" t="n">
        <x:v>13320.06</x:v>
      </x:c>
      <x:c r="F250" s="84" t="n">
        <x:v>11.25</x:v>
      </x:c>
      <x:c r="G250" s="84" t="n">
        <x:v>3.64</x:v>
      </x:c>
      <x:c r="H250" s="84" t="n">
        <x:v>7.61</x:v>
      </x:c>
      <x:c r="I250" s="85" t="n">
        <x:v>-9092.641521</x:v>
      </x:c>
      <x:c r="J250" s="84" t="n">
        <x:v>5.539075577</x:v>
      </x:c>
      <x:c r="K250" s="84" t="n">
        <x:v>119.0363182</x:v>
      </x:c>
      <x:c r="L250" s="84" t="n">
        <x:v>19.81190476</x:v>
      </x:c>
      <x:c r="M250" s="84" t="n">
        <x:v>185.04</x:v>
      </x:c>
      <x:c r="N250" s="86" t="n">
        <x:v>0</x:v>
      </x:c>
      <x:c r="O250" s="1"/>
      <x:c r="P250" s="1"/>
      <x:c r="Q250" s="1"/>
      <x:c r="R250" s="1"/>
      <x:c r="S250" s="1"/>
      <x:c r="T250" s="1"/>
      <x:c r="U250" s="1"/>
      <x:c r="V250" s="1"/>
      <x:c r="W250" s="1"/>
      <x:c r="X250" s="1"/>
      <x:c r="Y250" s="1"/>
      <x:c r="Z250" s="1"/>
    </x:row>
    <x:row r="251">
      <x:c r="A251" s="1"/>
      <x:c r="B251" s="1"/>
      <x:c r="C251" s="1"/>
      <x:c r="D251" s="1"/>
      <x:c r="E251" s="1"/>
      <x:c r="F251" s="1"/>
      <x:c r="G251" s="1"/>
      <x:c r="H251" s="1"/>
      <x:c r="I251" s="1"/>
      <x:c r="J251" s="1"/>
      <x:c r="K251" s="1"/>
      <x:c r="L251" s="1"/>
      <x:c r="M251" s="1"/>
      <x:c r="N251" s="1"/>
      <x:c r="O251" s="1"/>
      <x:c r="P251" s="1"/>
      <x:c r="Q251" s="1"/>
      <x:c r="R251" s="1"/>
      <x:c r="S251" s="1"/>
      <x:c r="T251" s="1"/>
      <x:c r="U251" s="1"/>
      <x:c r="V251" s="1"/>
      <x:c r="W251" s="1"/>
      <x:c r="X251" s="1"/>
      <x:c r="Y251" s="1"/>
      <x:c r="Z251" s="1"/>
    </x:row>
    <x:row r="252">
      <x:c r="A252" s="1"/>
      <x:c r="B252" s="1"/>
      <x:c r="C252" s="1"/>
      <x:c r="D252" s="1"/>
      <x:c r="E252" s="1"/>
      <x:c r="F252" s="1"/>
      <x:c r="G252" s="1"/>
      <x:c r="H252" s="1"/>
      <x:c r="I252" s="1"/>
      <x:c r="J252" s="1"/>
      <x:c r="K252" s="1"/>
      <x:c r="L252" s="1"/>
      <x:c r="M252" s="1"/>
      <x:c r="N252" s="1"/>
      <x:c r="O252" s="1"/>
      <x:c r="P252" s="1"/>
      <x:c r="Q252" s="1"/>
      <x:c r="R252" s="1"/>
      <x:c r="S252" s="1"/>
      <x:c r="T252" s="1"/>
      <x:c r="U252" s="1"/>
      <x:c r="V252" s="1"/>
      <x:c r="W252" s="1"/>
      <x:c r="X252" s="1"/>
      <x:c r="Y252" s="1"/>
      <x:c r="Z252" s="1"/>
    </x:row>
    <x:row r="253">
      <x:c r="A253" s="1"/>
      <x:c r="B253" s="1"/>
      <x:c r="C253" s="1"/>
      <x:c r="D253" s="1"/>
      <x:c r="E253" s="1"/>
      <x:c r="F253" s="1"/>
      <x:c r="G253" s="1"/>
      <x:c r="H253" s="1"/>
      <x:c r="I253" s="1"/>
      <x:c r="J253" s="1"/>
      <x:c r="K253" s="1"/>
      <x:c r="L253" s="1"/>
      <x:c r="M253" s="1"/>
      <x:c r="N253" s="1"/>
      <x:c r="O253" s="1"/>
      <x:c r="P253" s="1"/>
      <x:c r="Q253" s="1"/>
      <x:c r="R253" s="1"/>
      <x:c r="S253" s="1"/>
      <x:c r="T253" s="1"/>
      <x:c r="U253" s="1"/>
      <x:c r="V253" s="1"/>
      <x:c r="W253" s="1"/>
      <x:c r="X253" s="1"/>
      <x:c r="Y253" s="1"/>
      <x:c r="Z253" s="1"/>
    </x:row>
    <x:row r="254">
      <x:c r="A254" s="1"/>
      <x:c r="B254" s="1"/>
      <x:c r="C254" s="1"/>
      <x:c r="D254" s="1"/>
      <x:c r="E254" s="1"/>
      <x:c r="F254" s="1"/>
      <x:c r="G254" s="1"/>
      <x:c r="H254" s="1"/>
      <x:c r="I254" s="1"/>
      <x:c r="J254" s="1"/>
      <x:c r="K254" s="1"/>
      <x:c r="L254" s="1"/>
      <x:c r="M254" s="1"/>
      <x:c r="N254" s="1"/>
      <x:c r="O254" s="1"/>
      <x:c r="P254" s="1"/>
      <x:c r="Q254" s="1"/>
      <x:c r="R254" s="1"/>
      <x:c r="S254" s="1"/>
      <x:c r="T254" s="1"/>
      <x:c r="U254" s="1"/>
      <x:c r="V254" s="1"/>
      <x:c r="W254" s="1"/>
      <x:c r="X254" s="1"/>
      <x:c r="Y254" s="1"/>
      <x:c r="Z254" s="1"/>
    </x:row>
    <x:row r="255">
      <x:c r="A255" s="1"/>
      <x:c r="B255" s="1"/>
      <x:c r="C255" s="1"/>
      <x:c r="D255" s="1"/>
      <x:c r="E255" s="1"/>
      <x:c r="F255" s="1"/>
      <x:c r="G255" s="1"/>
      <x:c r="H255" s="1"/>
      <x:c r="I255" s="1"/>
      <x:c r="J255" s="1"/>
      <x:c r="K255" s="1"/>
      <x:c r="L255" s="1"/>
      <x:c r="M255" s="1"/>
      <x:c r="N255" s="1"/>
      <x:c r="O255" s="1"/>
      <x:c r="P255" s="1"/>
      <x:c r="Q255" s="1"/>
      <x:c r="R255" s="1"/>
      <x:c r="S255" s="1"/>
      <x:c r="T255" s="1"/>
      <x:c r="U255" s="1"/>
      <x:c r="V255" s="1"/>
      <x:c r="W255" s="1"/>
      <x:c r="X255" s="1"/>
      <x:c r="Y255" s="1"/>
      <x:c r="Z255" s="1"/>
    </x:row>
    <x:row r="256">
      <x:c r="A256" s="1"/>
      <x:c r="B256" s="1"/>
      <x:c r="C256" s="1"/>
      <x:c r="D256" s="1"/>
      <x:c r="E256" s="1"/>
      <x:c r="F256" s="1"/>
      <x:c r="G256" s="1"/>
      <x:c r="H256" s="1"/>
      <x:c r="I256" s="1"/>
      <x:c r="J256" s="1"/>
      <x:c r="K256" s="1"/>
      <x:c r="L256" s="1"/>
      <x:c r="M256" s="1"/>
      <x:c r="N256" s="1"/>
      <x:c r="O256" s="1"/>
      <x:c r="P256" s="1"/>
      <x:c r="Q256" s="1"/>
      <x:c r="R256" s="1"/>
      <x:c r="S256" s="1"/>
      <x:c r="T256" s="1"/>
      <x:c r="U256" s="1"/>
      <x:c r="V256" s="1"/>
      <x:c r="W256" s="1"/>
      <x:c r="X256" s="1"/>
      <x:c r="Y256" s="1"/>
      <x:c r="Z256" s="1"/>
    </x:row>
    <x:row r="257">
      <x:c r="A257" s="1"/>
      <x:c r="B257" s="1"/>
      <x:c r="C257" s="1"/>
      <x:c r="D257" s="1"/>
      <x:c r="E257" s="1"/>
      <x:c r="F257" s="1"/>
      <x:c r="G257" s="1"/>
      <x:c r="H257" s="1"/>
      <x:c r="I257" s="1"/>
      <x:c r="J257" s="1"/>
      <x:c r="K257" s="1"/>
      <x:c r="L257" s="1"/>
      <x:c r="M257" s="1"/>
      <x:c r="N257" s="1"/>
      <x:c r="O257" s="1"/>
      <x:c r="P257" s="1"/>
      <x:c r="Q257" s="1"/>
      <x:c r="R257" s="1"/>
      <x:c r="S257" s="1"/>
      <x:c r="T257" s="1"/>
      <x:c r="U257" s="1"/>
      <x:c r="V257" s="1"/>
      <x:c r="W257" s="1"/>
      <x:c r="X257" s="1"/>
      <x:c r="Y257" s="1"/>
      <x:c r="Z257" s="1"/>
    </x:row>
    <x:row r="258">
      <x:c r="A258" s="1"/>
      <x:c r="B258" s="1"/>
      <x:c r="C258" s="1"/>
      <x:c r="D258" s="1"/>
      <x:c r="E258" s="1"/>
      <x:c r="F258" s="1"/>
      <x:c r="G258" s="1"/>
      <x:c r="H258" s="1"/>
      <x:c r="I258" s="1"/>
      <x:c r="J258" s="1"/>
      <x:c r="K258" s="1"/>
      <x:c r="L258" s="1"/>
      <x:c r="M258" s="1"/>
      <x:c r="N258" s="1"/>
      <x:c r="O258" s="1"/>
      <x:c r="P258" s="1"/>
      <x:c r="Q258" s="1"/>
      <x:c r="R258" s="1"/>
      <x:c r="S258" s="1"/>
      <x:c r="T258" s="1"/>
      <x:c r="U258" s="1"/>
      <x:c r="V258" s="1"/>
      <x:c r="W258" s="1"/>
      <x:c r="X258" s="1"/>
      <x:c r="Y258" s="1"/>
      <x:c r="Z258" s="1"/>
    </x:row>
    <x:row r="259">
      <x:c r="A259" s="1"/>
      <x:c r="B259" s="1"/>
      <x:c r="C259" s="1"/>
      <x:c r="D259" s="1"/>
      <x:c r="E259" s="1"/>
      <x:c r="F259" s="1"/>
      <x:c r="G259" s="1"/>
      <x:c r="H259" s="1"/>
      <x:c r="I259" s="1"/>
      <x:c r="J259" s="1"/>
      <x:c r="K259" s="1"/>
      <x:c r="L259" s="1"/>
      <x:c r="M259" s="1"/>
      <x:c r="N259" s="1"/>
      <x:c r="O259" s="1"/>
      <x:c r="P259" s="1"/>
      <x:c r="Q259" s="1"/>
      <x:c r="R259" s="1"/>
      <x:c r="S259" s="1"/>
      <x:c r="T259" s="1"/>
      <x:c r="U259" s="1"/>
      <x:c r="V259" s="1"/>
      <x:c r="W259" s="1"/>
      <x:c r="X259" s="1"/>
      <x:c r="Y259" s="1"/>
      <x:c r="Z259" s="1"/>
    </x:row>
    <x:row r="260">
      <x:c r="A260" s="1"/>
      <x:c r="B260" s="1"/>
      <x:c r="C260" s="1"/>
      <x:c r="D260" s="1"/>
      <x:c r="E260" s="1"/>
      <x:c r="F260" s="1"/>
      <x:c r="G260" s="1"/>
      <x:c r="H260" s="1"/>
      <x:c r="I260" s="1"/>
      <x:c r="J260" s="1"/>
      <x:c r="K260" s="1"/>
      <x:c r="L260" s="1"/>
      <x:c r="M260" s="1"/>
      <x:c r="N260" s="1"/>
      <x:c r="O260" s="1"/>
      <x:c r="P260" s="1"/>
      <x:c r="Q260" s="1"/>
      <x:c r="R260" s="1"/>
      <x:c r="S260" s="1"/>
      <x:c r="T260" s="1"/>
      <x:c r="U260" s="1"/>
      <x:c r="V260" s="1"/>
      <x:c r="W260" s="1"/>
      <x:c r="X260" s="1"/>
      <x:c r="Y260" s="1"/>
      <x:c r="Z260" s="1"/>
    </x:row>
    <x:row r="261">
      <x:c r="A261" s="1"/>
      <x:c r="B261" s="1"/>
      <x:c r="C261" s="1"/>
      <x:c r="D261" s="1"/>
      <x:c r="E261" s="1"/>
      <x:c r="F261" s="1"/>
      <x:c r="G261" s="1"/>
      <x:c r="H261" s="1"/>
      <x:c r="I261" s="1"/>
      <x:c r="J261" s="1"/>
      <x:c r="K261" s="1"/>
      <x:c r="L261" s="1"/>
      <x:c r="M261" s="1"/>
      <x:c r="N261" s="1"/>
      <x:c r="O261" s="1"/>
      <x:c r="P261" s="1"/>
      <x:c r="Q261" s="1"/>
      <x:c r="R261" s="1"/>
      <x:c r="S261" s="1"/>
      <x:c r="T261" s="1"/>
      <x:c r="U261" s="1"/>
      <x:c r="V261" s="1"/>
      <x:c r="W261" s="1"/>
      <x:c r="X261" s="1"/>
      <x:c r="Y261" s="1"/>
      <x:c r="Z261" s="1"/>
    </x:row>
    <x:row r="262">
      <x:c r="A262" s="1"/>
      <x:c r="B262" s="1"/>
      <x:c r="C262" s="1"/>
      <x:c r="D262" s="1"/>
      <x:c r="E262" s="1"/>
      <x:c r="F262" s="1"/>
      <x:c r="G262" s="1"/>
      <x:c r="H262" s="1"/>
      <x:c r="I262" s="1"/>
      <x:c r="J262" s="1"/>
      <x:c r="K262" s="1"/>
      <x:c r="L262" s="1"/>
      <x:c r="M262" s="1"/>
      <x:c r="N262" s="1"/>
      <x:c r="O262" s="1"/>
      <x:c r="P262" s="1"/>
      <x:c r="Q262" s="1"/>
      <x:c r="R262" s="1"/>
      <x:c r="S262" s="1"/>
      <x:c r="T262" s="1"/>
      <x:c r="U262" s="1"/>
      <x:c r="V262" s="1"/>
      <x:c r="W262" s="1"/>
      <x:c r="X262" s="1"/>
      <x:c r="Y262" s="1"/>
      <x:c r="Z262" s="1"/>
    </x:row>
    <x:row r="263">
      <x:c r="A263" s="1"/>
      <x:c r="B263" s="1"/>
      <x:c r="C263" s="1"/>
      <x:c r="D263" s="1"/>
      <x:c r="E263" s="1"/>
      <x:c r="F263" s="1"/>
      <x:c r="G263" s="1"/>
      <x:c r="H263" s="1"/>
      <x:c r="I263" s="1"/>
      <x:c r="J263" s="1"/>
      <x:c r="K263" s="1"/>
      <x:c r="L263" s="1"/>
      <x:c r="M263" s="1"/>
      <x:c r="N263" s="1"/>
      <x:c r="O263" s="1"/>
      <x:c r="P263" s="1"/>
      <x:c r="Q263" s="1"/>
      <x:c r="R263" s="1"/>
      <x:c r="S263" s="1"/>
      <x:c r="T263" s="1"/>
      <x:c r="U263" s="1"/>
      <x:c r="V263" s="1"/>
      <x:c r="W263" s="1"/>
      <x:c r="X263" s="1"/>
      <x:c r="Y263" s="1"/>
      <x:c r="Z263" s="1"/>
    </x:row>
    <x:row r="264">
      <x:c r="A264" s="1"/>
      <x:c r="B264" s="1"/>
      <x:c r="C264" s="1"/>
      <x:c r="D264" s="1"/>
      <x:c r="E264" s="1"/>
      <x:c r="F264" s="1"/>
      <x:c r="G264" s="1"/>
      <x:c r="H264" s="1"/>
      <x:c r="I264" s="1"/>
      <x:c r="J264" s="1"/>
      <x:c r="K264" s="1"/>
      <x:c r="L264" s="1"/>
      <x:c r="M264" s="1"/>
      <x:c r="N264" s="1"/>
      <x:c r="O264" s="1"/>
      <x:c r="P264" s="1"/>
      <x:c r="Q264" s="1"/>
      <x:c r="R264" s="1"/>
      <x:c r="S264" s="1"/>
      <x:c r="T264" s="1"/>
      <x:c r="U264" s="1"/>
      <x:c r="V264" s="1"/>
      <x:c r="W264" s="1"/>
      <x:c r="X264" s="1"/>
      <x:c r="Y264" s="1"/>
      <x:c r="Z264" s="1"/>
    </x:row>
    <x:row r="265">
      <x:c r="A265" s="1"/>
      <x:c r="B265" s="1"/>
      <x:c r="C265" s="1"/>
      <x:c r="D265" s="1"/>
      <x:c r="E265" s="1"/>
      <x:c r="F265" s="1"/>
      <x:c r="G265" s="1"/>
      <x:c r="H265" s="1"/>
      <x:c r="I265" s="1"/>
      <x:c r="J265" s="1"/>
      <x:c r="K265" s="1"/>
      <x:c r="L265" s="1"/>
      <x:c r="M265" s="1"/>
      <x:c r="N265" s="1"/>
      <x:c r="O265" s="1"/>
      <x:c r="P265" s="1"/>
      <x:c r="Q265" s="1"/>
      <x:c r="R265" s="1"/>
      <x:c r="S265" s="1"/>
      <x:c r="T265" s="1"/>
      <x:c r="U265" s="1"/>
      <x:c r="V265" s="1"/>
      <x:c r="W265" s="1"/>
      <x:c r="X265" s="1"/>
      <x:c r="Y265" s="1"/>
      <x:c r="Z265" s="1"/>
    </x:row>
    <x:row r="266">
      <x:c r="A266" s="1"/>
      <x:c r="B266" s="1"/>
      <x:c r="C266" s="1"/>
      <x:c r="D266" s="1"/>
      <x:c r="E266" s="1"/>
      <x:c r="F266" s="1"/>
      <x:c r="G266" s="1"/>
      <x:c r="H266" s="1"/>
      <x:c r="I266" s="1"/>
      <x:c r="J266" s="1"/>
      <x:c r="K266" s="1"/>
      <x:c r="L266" s="1"/>
      <x:c r="M266" s="1"/>
      <x:c r="N266" s="1"/>
      <x:c r="O266" s="1"/>
      <x:c r="P266" s="1"/>
      <x:c r="Q266" s="1"/>
      <x:c r="R266" s="1"/>
      <x:c r="S266" s="1"/>
      <x:c r="T266" s="1"/>
      <x:c r="U266" s="1"/>
      <x:c r="V266" s="1"/>
      <x:c r="W266" s="1"/>
      <x:c r="X266" s="1"/>
      <x:c r="Y266" s="1"/>
      <x:c r="Z266" s="1"/>
    </x:row>
    <x:row r="267">
      <x:c r="A267" s="1"/>
      <x:c r="B267" s="1"/>
      <x:c r="C267" s="1"/>
      <x:c r="D267" s="1"/>
      <x:c r="E267" s="1"/>
      <x:c r="F267" s="1"/>
      <x:c r="G267" s="1"/>
      <x:c r="H267" s="1"/>
      <x:c r="I267" s="1"/>
      <x:c r="J267" s="1"/>
      <x:c r="K267" s="1"/>
      <x:c r="L267" s="1"/>
      <x:c r="M267" s="1"/>
      <x:c r="N267" s="1"/>
      <x:c r="O267" s="1"/>
      <x:c r="P267" s="1"/>
      <x:c r="Q267" s="1"/>
      <x:c r="R267" s="1"/>
      <x:c r="S267" s="1"/>
      <x:c r="T267" s="1"/>
      <x:c r="U267" s="1"/>
      <x:c r="V267" s="1"/>
      <x:c r="W267" s="1"/>
      <x:c r="X267" s="1"/>
      <x:c r="Y267" s="1"/>
      <x:c r="Z267" s="1"/>
    </x:row>
    <x:row r="268">
      <x:c r="A268" s="1"/>
      <x:c r="B268" s="1"/>
      <x:c r="C268" s="1"/>
      <x:c r="D268" s="1"/>
      <x:c r="E268" s="1"/>
      <x:c r="F268" s="1"/>
      <x:c r="G268" s="1"/>
      <x:c r="H268" s="1"/>
      <x:c r="I268" s="1"/>
      <x:c r="J268" s="1"/>
      <x:c r="K268" s="1"/>
      <x:c r="L268" s="1"/>
      <x:c r="M268" s="1"/>
      <x:c r="N268" s="1"/>
      <x:c r="O268" s="1"/>
      <x:c r="P268" s="1"/>
      <x:c r="Q268" s="1"/>
      <x:c r="R268" s="1"/>
      <x:c r="S268" s="1"/>
      <x:c r="T268" s="1"/>
      <x:c r="U268" s="1"/>
      <x:c r="V268" s="1"/>
      <x:c r="W268" s="1"/>
      <x:c r="X268" s="1"/>
      <x:c r="Y268" s="1"/>
      <x:c r="Z268" s="1"/>
    </x:row>
    <x:row r="269">
      <x:c r="A269" s="1"/>
      <x:c r="B269" s="1"/>
      <x:c r="C269" s="1"/>
      <x:c r="D269" s="1"/>
      <x:c r="E269" s="1"/>
      <x:c r="F269" s="1"/>
      <x:c r="G269" s="1"/>
      <x:c r="H269" s="1"/>
      <x:c r="I269" s="1"/>
      <x:c r="J269" s="1"/>
      <x:c r="K269" s="1"/>
      <x:c r="L269" s="1"/>
      <x:c r="M269" s="1"/>
      <x:c r="N269" s="1"/>
      <x:c r="O269" s="1"/>
      <x:c r="P269" s="1"/>
      <x:c r="Q269" s="1"/>
      <x:c r="R269" s="1"/>
      <x:c r="S269" s="1"/>
      <x:c r="T269" s="1"/>
      <x:c r="U269" s="1"/>
      <x:c r="V269" s="1"/>
      <x:c r="W269" s="1"/>
      <x:c r="X269" s="1"/>
      <x:c r="Y269" s="1"/>
      <x:c r="Z269" s="1"/>
    </x:row>
    <x:row r="270">
      <x:c r="A270" s="1"/>
      <x:c r="B270" s="1"/>
      <x:c r="C270" s="1"/>
      <x:c r="D270" s="1"/>
      <x:c r="E270" s="1"/>
      <x:c r="F270" s="1"/>
      <x:c r="G270" s="1"/>
      <x:c r="H270" s="1"/>
      <x:c r="I270" s="1"/>
      <x:c r="J270" s="1"/>
      <x:c r="K270" s="1"/>
      <x:c r="L270" s="1"/>
      <x:c r="M270" s="1"/>
      <x:c r="N270" s="1"/>
      <x:c r="O270" s="1"/>
      <x:c r="P270" s="1"/>
      <x:c r="Q270" s="1"/>
      <x:c r="R270" s="1"/>
      <x:c r="S270" s="1"/>
      <x:c r="T270" s="1"/>
      <x:c r="U270" s="1"/>
      <x:c r="V270" s="1"/>
      <x:c r="W270" s="1"/>
      <x:c r="X270" s="1"/>
      <x:c r="Y270" s="1"/>
      <x:c r="Z270" s="1"/>
    </x:row>
    <x:row r="271">
      <x:c r="A271" s="1"/>
      <x:c r="B271" s="1"/>
      <x:c r="C271" s="1"/>
      <x:c r="D271" s="1"/>
      <x:c r="E271" s="1"/>
      <x:c r="F271" s="1"/>
      <x:c r="G271" s="1"/>
      <x:c r="H271" s="1"/>
      <x:c r="I271" s="1"/>
      <x:c r="J271" s="1"/>
      <x:c r="K271" s="1"/>
      <x:c r="L271" s="1"/>
      <x:c r="M271" s="1"/>
      <x:c r="N271" s="1"/>
      <x:c r="O271" s="1"/>
      <x:c r="P271" s="1"/>
      <x:c r="Q271" s="1"/>
      <x:c r="R271" s="1"/>
      <x:c r="S271" s="1"/>
      <x:c r="T271" s="1"/>
      <x:c r="U271" s="1"/>
      <x:c r="V271" s="1"/>
      <x:c r="W271" s="1"/>
      <x:c r="X271" s="1"/>
      <x:c r="Y271" s="1"/>
      <x:c r="Z271" s="1"/>
    </x:row>
    <x:row r="272">
      <x:c r="A272" s="1"/>
      <x:c r="B272" s="1"/>
      <x:c r="C272" s="1"/>
      <x:c r="D272" s="1"/>
      <x:c r="E272" s="1"/>
      <x:c r="F272" s="1"/>
      <x:c r="G272" s="1"/>
      <x:c r="H272" s="1"/>
      <x:c r="I272" s="1"/>
      <x:c r="J272" s="1"/>
      <x:c r="K272" s="1"/>
      <x:c r="L272" s="1"/>
      <x:c r="M272" s="1"/>
      <x:c r="N272" s="1"/>
      <x:c r="O272" s="1"/>
      <x:c r="P272" s="1"/>
      <x:c r="Q272" s="1"/>
      <x:c r="R272" s="1"/>
      <x:c r="S272" s="1"/>
      <x:c r="T272" s="1"/>
      <x:c r="U272" s="1"/>
      <x:c r="V272" s="1"/>
      <x:c r="W272" s="1"/>
      <x:c r="X272" s="1"/>
      <x:c r="Y272" s="1"/>
      <x:c r="Z272" s="1"/>
    </x:row>
    <x:row r="273">
      <x:c r="A273" s="1"/>
      <x:c r="B273" s="1"/>
      <x:c r="C273" s="1"/>
      <x:c r="D273" s="1"/>
      <x:c r="E273" s="1"/>
      <x:c r="F273" s="1"/>
      <x:c r="G273" s="1"/>
      <x:c r="H273" s="1"/>
      <x:c r="I273" s="1"/>
      <x:c r="J273" s="1"/>
      <x:c r="K273" s="1"/>
      <x:c r="L273" s="1"/>
      <x:c r="M273" s="1"/>
      <x:c r="N273" s="1"/>
      <x:c r="O273" s="1"/>
      <x:c r="P273" s="1"/>
      <x:c r="Q273" s="1"/>
      <x:c r="R273" s="1"/>
      <x:c r="S273" s="1"/>
      <x:c r="T273" s="1"/>
      <x:c r="U273" s="1"/>
      <x:c r="V273" s="1"/>
      <x:c r="W273" s="1"/>
      <x:c r="X273" s="1"/>
      <x:c r="Y273" s="1"/>
      <x:c r="Z273" s="1"/>
    </x:row>
    <x:row r="274">
      <x:c r="A274" s="1"/>
      <x:c r="B274" s="1"/>
      <x:c r="C274" s="1"/>
      <x:c r="D274" s="1"/>
      <x:c r="E274" s="1"/>
      <x:c r="F274" s="1"/>
      <x:c r="G274" s="1"/>
      <x:c r="H274" s="1"/>
      <x:c r="I274" s="1"/>
      <x:c r="J274" s="1"/>
      <x:c r="K274" s="1"/>
      <x:c r="L274" s="1"/>
      <x:c r="M274" s="1"/>
      <x:c r="N274" s="1"/>
      <x:c r="O274" s="1"/>
      <x:c r="P274" s="1"/>
      <x:c r="Q274" s="1"/>
      <x:c r="R274" s="1"/>
      <x:c r="S274" s="1"/>
      <x:c r="T274" s="1"/>
      <x:c r="U274" s="1"/>
      <x:c r="V274" s="1"/>
      <x:c r="W274" s="1"/>
      <x:c r="X274" s="1"/>
      <x:c r="Y274" s="1"/>
      <x:c r="Z274" s="1"/>
    </x:row>
    <x:row r="275">
      <x:c r="A275" s="1"/>
      <x:c r="B275" s="1"/>
      <x:c r="C275" s="1"/>
      <x:c r="D275" s="1"/>
      <x:c r="E275" s="1"/>
      <x:c r="F275" s="1"/>
      <x:c r="G275" s="1"/>
      <x:c r="H275" s="1"/>
      <x:c r="I275" s="1"/>
      <x:c r="J275" s="1"/>
      <x:c r="K275" s="1"/>
      <x:c r="L275" s="1"/>
      <x:c r="M275" s="1"/>
      <x:c r="N275" s="1"/>
      <x:c r="O275" s="1"/>
      <x:c r="P275" s="1"/>
      <x:c r="Q275" s="1"/>
      <x:c r="R275" s="1"/>
      <x:c r="S275" s="1"/>
      <x:c r="T275" s="1"/>
      <x:c r="U275" s="1"/>
      <x:c r="V275" s="1"/>
      <x:c r="W275" s="1"/>
      <x:c r="X275" s="1"/>
      <x:c r="Y275" s="1"/>
      <x:c r="Z275" s="1"/>
    </x:row>
    <x:row r="276">
      <x:c r="A276" s="1"/>
      <x:c r="B276" s="1"/>
      <x:c r="C276" s="1"/>
      <x:c r="D276" s="1"/>
      <x:c r="E276" s="1"/>
      <x:c r="F276" s="1"/>
      <x:c r="G276" s="1"/>
      <x:c r="H276" s="1"/>
      <x:c r="I276" s="1"/>
      <x:c r="J276" s="1"/>
      <x:c r="K276" s="1"/>
      <x:c r="L276" s="1"/>
      <x:c r="M276" s="1"/>
      <x:c r="N276" s="1"/>
      <x:c r="O276" s="1"/>
      <x:c r="P276" s="1"/>
      <x:c r="Q276" s="1"/>
      <x:c r="R276" s="1"/>
      <x:c r="S276" s="1"/>
      <x:c r="T276" s="1"/>
      <x:c r="U276" s="1"/>
      <x:c r="V276" s="1"/>
      <x:c r="W276" s="1"/>
      <x:c r="X276" s="1"/>
      <x:c r="Y276" s="1"/>
      <x:c r="Z276" s="1"/>
    </x:row>
    <x:row r="277">
      <x:c r="A277" s="1"/>
      <x:c r="B277" s="1"/>
      <x:c r="C277" s="1"/>
      <x:c r="D277" s="1"/>
      <x:c r="E277" s="1"/>
      <x:c r="F277" s="1"/>
      <x:c r="G277" s="1"/>
      <x:c r="H277" s="1"/>
      <x:c r="I277" s="1"/>
      <x:c r="J277" s="1"/>
      <x:c r="K277" s="1"/>
      <x:c r="L277" s="1"/>
      <x:c r="M277" s="1"/>
      <x:c r="N277" s="1"/>
      <x:c r="O277" s="1"/>
      <x:c r="P277" s="1"/>
      <x:c r="Q277" s="1"/>
      <x:c r="R277" s="1"/>
      <x:c r="S277" s="1"/>
      <x:c r="T277" s="1"/>
      <x:c r="U277" s="1"/>
      <x:c r="V277" s="1"/>
      <x:c r="W277" s="1"/>
      <x:c r="X277" s="1"/>
      <x:c r="Y277" s="1"/>
      <x:c r="Z277" s="1"/>
    </x:row>
    <x:row r="278">
      <x:c r="A278" s="1"/>
      <x:c r="B278" s="1"/>
      <x:c r="C278" s="1"/>
      <x:c r="D278" s="1"/>
      <x:c r="E278" s="1"/>
      <x:c r="F278" s="1"/>
      <x:c r="G278" s="1"/>
      <x:c r="H278" s="1"/>
      <x:c r="I278" s="1"/>
      <x:c r="J278" s="1"/>
      <x:c r="K278" s="1"/>
      <x:c r="L278" s="1"/>
      <x:c r="M278" s="1"/>
      <x:c r="N278" s="1"/>
      <x:c r="O278" s="1"/>
      <x:c r="P278" s="1"/>
      <x:c r="Q278" s="1"/>
      <x:c r="R278" s="1"/>
      <x:c r="S278" s="1"/>
      <x:c r="T278" s="1"/>
      <x:c r="U278" s="1"/>
      <x:c r="V278" s="1"/>
      <x:c r="W278" s="1"/>
      <x:c r="X278" s="1"/>
      <x:c r="Y278" s="1"/>
      <x:c r="Z278" s="1"/>
    </x:row>
    <x:row r="279">
      <x:c r="A279" s="1"/>
      <x:c r="B279" s="1"/>
      <x:c r="C279" s="1"/>
      <x:c r="D279" s="1"/>
      <x:c r="E279" s="1"/>
      <x:c r="F279" s="1"/>
      <x:c r="G279" s="1"/>
      <x:c r="H279" s="1"/>
      <x:c r="I279" s="1"/>
      <x:c r="J279" s="1"/>
      <x:c r="K279" s="1"/>
      <x:c r="L279" s="1"/>
      <x:c r="M279" s="1"/>
      <x:c r="N279" s="1"/>
      <x:c r="O279" s="1"/>
      <x:c r="P279" s="1"/>
      <x:c r="Q279" s="1"/>
      <x:c r="R279" s="1"/>
      <x:c r="S279" s="1"/>
      <x:c r="T279" s="1"/>
      <x:c r="U279" s="1"/>
      <x:c r="V279" s="1"/>
      <x:c r="W279" s="1"/>
      <x:c r="X279" s="1"/>
      <x:c r="Y279" s="1"/>
      <x:c r="Z279" s="1"/>
    </x:row>
    <x:row r="280">
      <x:c r="A280" s="1"/>
      <x:c r="B280" s="1"/>
      <x:c r="C280" s="1"/>
      <x:c r="D280" s="1"/>
      <x:c r="E280" s="1"/>
      <x:c r="F280" s="1"/>
      <x:c r="G280" s="1"/>
      <x:c r="H280" s="1"/>
      <x:c r="I280" s="1"/>
      <x:c r="J280" s="1"/>
      <x:c r="K280" s="1"/>
      <x:c r="L280" s="1"/>
      <x:c r="M280" s="1"/>
      <x:c r="N280" s="1"/>
      <x:c r="O280" s="1"/>
      <x:c r="P280" s="1"/>
      <x:c r="Q280" s="1"/>
      <x:c r="R280" s="1"/>
      <x:c r="S280" s="1"/>
      <x:c r="T280" s="1"/>
      <x:c r="U280" s="1"/>
      <x:c r="V280" s="1"/>
      <x:c r="W280" s="1"/>
      <x:c r="X280" s="1"/>
      <x:c r="Y280" s="1"/>
      <x:c r="Z280" s="1"/>
    </x:row>
    <x:row r="281">
      <x:c r="A281" s="1"/>
      <x:c r="B281" s="1"/>
      <x:c r="C281" s="1"/>
      <x:c r="D281" s="1"/>
      <x:c r="E281" s="1"/>
      <x:c r="F281" s="1"/>
      <x:c r="G281" s="1"/>
      <x:c r="H281" s="1"/>
      <x:c r="I281" s="1"/>
      <x:c r="J281" s="1"/>
      <x:c r="K281" s="1"/>
      <x:c r="L281" s="1"/>
      <x:c r="M281" s="1"/>
      <x:c r="N281" s="1"/>
      <x:c r="O281" s="1"/>
      <x:c r="P281" s="1"/>
      <x:c r="Q281" s="1"/>
      <x:c r="R281" s="1"/>
      <x:c r="S281" s="1"/>
      <x:c r="T281" s="1"/>
      <x:c r="U281" s="1"/>
      <x:c r="V281" s="1"/>
      <x:c r="W281" s="1"/>
      <x:c r="X281" s="1"/>
      <x:c r="Y281" s="1"/>
      <x:c r="Z281" s="1"/>
    </x:row>
    <x:row r="282">
      <x:c r="A282" s="1"/>
      <x:c r="B282" s="1"/>
      <x:c r="C282" s="1"/>
      <x:c r="D282" s="1"/>
      <x:c r="E282" s="1"/>
      <x:c r="F282" s="1"/>
      <x:c r="G282" s="1"/>
      <x:c r="H282" s="1"/>
      <x:c r="I282" s="1"/>
      <x:c r="J282" s="1"/>
      <x:c r="K282" s="1"/>
      <x:c r="L282" s="1"/>
      <x:c r="M282" s="1"/>
      <x:c r="N282" s="1"/>
      <x:c r="O282" s="1"/>
      <x:c r="P282" s="1"/>
      <x:c r="Q282" s="1"/>
      <x:c r="R282" s="1"/>
      <x:c r="S282" s="1"/>
      <x:c r="T282" s="1"/>
      <x:c r="U282" s="1"/>
      <x:c r="V282" s="1"/>
      <x:c r="W282" s="1"/>
      <x:c r="X282" s="1"/>
      <x:c r="Y282" s="1"/>
      <x:c r="Z282" s="1"/>
    </x:row>
    <x:row r="283">
      <x:c r="A283" s="1"/>
      <x:c r="B283" s="1"/>
      <x:c r="C283" s="1"/>
      <x:c r="D283" s="1"/>
      <x:c r="E283" s="1"/>
      <x:c r="F283" s="1"/>
      <x:c r="G283" s="1"/>
      <x:c r="H283" s="1"/>
      <x:c r="I283" s="1"/>
      <x:c r="J283" s="1"/>
      <x:c r="K283" s="1"/>
      <x:c r="L283" s="1"/>
      <x:c r="M283" s="1"/>
      <x:c r="N283" s="1"/>
      <x:c r="O283" s="1"/>
      <x:c r="P283" s="1"/>
      <x:c r="Q283" s="1"/>
      <x:c r="R283" s="1"/>
      <x:c r="S283" s="1"/>
      <x:c r="T283" s="1"/>
      <x:c r="U283" s="1"/>
      <x:c r="V283" s="1"/>
      <x:c r="W283" s="1"/>
      <x:c r="X283" s="1"/>
      <x:c r="Y283" s="1"/>
      <x:c r="Z283" s="1"/>
    </x:row>
    <x:row r="284">
      <x:c r="A284" s="1"/>
      <x:c r="B284" s="1"/>
      <x:c r="C284" s="1"/>
      <x:c r="D284" s="1"/>
      <x:c r="E284" s="1"/>
      <x:c r="F284" s="1"/>
      <x:c r="G284" s="1"/>
      <x:c r="H284" s="1"/>
      <x:c r="I284" s="1"/>
      <x:c r="J284" s="1"/>
      <x:c r="K284" s="1"/>
      <x:c r="L284" s="1"/>
      <x:c r="M284" s="1"/>
      <x:c r="N284" s="1"/>
      <x:c r="O284" s="1"/>
      <x:c r="P284" s="1"/>
      <x:c r="Q284" s="1"/>
      <x:c r="R284" s="1"/>
      <x:c r="S284" s="1"/>
      <x:c r="T284" s="1"/>
      <x:c r="U284" s="1"/>
      <x:c r="V284" s="1"/>
      <x:c r="W284" s="1"/>
      <x:c r="X284" s="1"/>
      <x:c r="Y284" s="1"/>
      <x:c r="Z284" s="1"/>
    </x:row>
    <x:row r="285">
      <x:c r="A285" s="1"/>
      <x:c r="B285" s="1"/>
      <x:c r="C285" s="1"/>
      <x:c r="D285" s="1"/>
      <x:c r="E285" s="1"/>
      <x:c r="F285" s="1"/>
      <x:c r="G285" s="1"/>
      <x:c r="H285" s="1"/>
      <x:c r="I285" s="1"/>
      <x:c r="J285" s="1"/>
      <x:c r="K285" s="1"/>
      <x:c r="L285" s="1"/>
      <x:c r="M285" s="1"/>
      <x:c r="N285" s="1"/>
      <x:c r="O285" s="1"/>
      <x:c r="P285" s="1"/>
      <x:c r="Q285" s="1"/>
      <x:c r="R285" s="1"/>
      <x:c r="S285" s="1"/>
      <x:c r="T285" s="1"/>
      <x:c r="U285" s="1"/>
      <x:c r="V285" s="1"/>
      <x:c r="W285" s="1"/>
      <x:c r="X285" s="1"/>
      <x:c r="Y285" s="1"/>
      <x:c r="Z285" s="1"/>
    </x:row>
    <x:row r="286">
      <x:c r="A286" s="1"/>
      <x:c r="B286" s="1"/>
      <x:c r="C286" s="1"/>
      <x:c r="D286" s="1"/>
      <x:c r="E286" s="1"/>
      <x:c r="F286" s="1"/>
      <x:c r="G286" s="1"/>
      <x:c r="H286" s="1"/>
      <x:c r="I286" s="1"/>
      <x:c r="J286" s="1"/>
      <x:c r="K286" s="1"/>
      <x:c r="L286" s="1"/>
      <x:c r="M286" s="1"/>
      <x:c r="N286" s="1"/>
      <x:c r="O286" s="1"/>
      <x:c r="P286" s="1"/>
      <x:c r="Q286" s="1"/>
      <x:c r="R286" s="1"/>
      <x:c r="S286" s="1"/>
      <x:c r="T286" s="1"/>
      <x:c r="U286" s="1"/>
      <x:c r="V286" s="1"/>
      <x:c r="W286" s="1"/>
      <x:c r="X286" s="1"/>
      <x:c r="Y286" s="1"/>
      <x:c r="Z286" s="1"/>
    </x:row>
    <x:row r="287">
      <x:c r="A287" s="1"/>
      <x:c r="B287" s="1"/>
      <x:c r="C287" s="1"/>
      <x:c r="D287" s="1"/>
      <x:c r="E287" s="1"/>
      <x:c r="F287" s="1"/>
      <x:c r="G287" s="1"/>
      <x:c r="H287" s="1"/>
      <x:c r="I287" s="1"/>
      <x:c r="J287" s="1"/>
      <x:c r="K287" s="1"/>
      <x:c r="L287" s="1"/>
      <x:c r="M287" s="1"/>
      <x:c r="N287" s="1"/>
      <x:c r="O287" s="1"/>
      <x:c r="P287" s="1"/>
      <x:c r="Q287" s="1"/>
      <x:c r="R287" s="1"/>
      <x:c r="S287" s="1"/>
      <x:c r="T287" s="1"/>
      <x:c r="U287" s="1"/>
      <x:c r="V287" s="1"/>
      <x:c r="W287" s="1"/>
      <x:c r="X287" s="1"/>
      <x:c r="Y287" s="1"/>
      <x:c r="Z287" s="1"/>
    </x:row>
    <x:row r="288">
      <x:c r="A288" s="1"/>
      <x:c r="B288" s="1"/>
      <x:c r="C288" s="1"/>
      <x:c r="D288" s="1"/>
      <x:c r="E288" s="1"/>
      <x:c r="F288" s="1"/>
      <x:c r="G288" s="1"/>
      <x:c r="H288" s="1"/>
      <x:c r="I288" s="1"/>
      <x:c r="J288" s="1"/>
      <x:c r="K288" s="1"/>
      <x:c r="L288" s="1"/>
      <x:c r="M288" s="1"/>
      <x:c r="N288" s="1"/>
      <x:c r="O288" s="1"/>
      <x:c r="P288" s="1"/>
      <x:c r="Q288" s="1"/>
      <x:c r="R288" s="1"/>
      <x:c r="S288" s="1"/>
      <x:c r="T288" s="1"/>
      <x:c r="U288" s="1"/>
      <x:c r="V288" s="1"/>
      <x:c r="W288" s="1"/>
      <x:c r="X288" s="1"/>
      <x:c r="Y288" s="1"/>
      <x:c r="Z288" s="1"/>
    </x:row>
    <x:row r="289">
      <x:c r="A289" s="1"/>
      <x:c r="B289" s="1"/>
      <x:c r="C289" s="1"/>
      <x:c r="D289" s="1"/>
      <x:c r="E289" s="1"/>
      <x:c r="F289" s="1"/>
      <x:c r="G289" s="1"/>
      <x:c r="H289" s="1"/>
      <x:c r="I289" s="1"/>
      <x:c r="J289" s="1"/>
      <x:c r="K289" s="1"/>
      <x:c r="L289" s="1"/>
      <x:c r="M289" s="1"/>
      <x:c r="N289" s="1"/>
      <x:c r="O289" s="1"/>
      <x:c r="P289" s="1"/>
      <x:c r="Q289" s="1"/>
      <x:c r="R289" s="1"/>
      <x:c r="S289" s="1"/>
      <x:c r="T289" s="1"/>
      <x:c r="U289" s="1"/>
      <x:c r="V289" s="1"/>
      <x:c r="W289" s="1"/>
      <x:c r="X289" s="1"/>
      <x:c r="Y289" s="1"/>
      <x:c r="Z289" s="1"/>
    </x:row>
    <x:row r="290">
      <x:c r="A290" s="1"/>
      <x:c r="B290" s="1"/>
      <x:c r="C290" s="1"/>
      <x:c r="D290" s="1"/>
      <x:c r="E290" s="1"/>
      <x:c r="F290" s="1"/>
      <x:c r="G290" s="1"/>
      <x:c r="H290" s="1"/>
      <x:c r="I290" s="1"/>
      <x:c r="J290" s="1"/>
      <x:c r="K290" s="1"/>
      <x:c r="L290" s="1"/>
      <x:c r="M290" s="1"/>
      <x:c r="N290" s="1"/>
      <x:c r="O290" s="1"/>
      <x:c r="P290" s="1"/>
      <x:c r="Q290" s="1"/>
      <x:c r="R290" s="1"/>
      <x:c r="S290" s="1"/>
      <x:c r="T290" s="1"/>
      <x:c r="U290" s="1"/>
      <x:c r="V290" s="1"/>
      <x:c r="W290" s="1"/>
      <x:c r="X290" s="1"/>
      <x:c r="Y290" s="1"/>
      <x:c r="Z290" s="1"/>
    </x:row>
    <x:row r="291">
      <x:c r="A291" s="1"/>
      <x:c r="B291" s="1"/>
      <x:c r="C291" s="1"/>
      <x:c r="D291" s="1"/>
      <x:c r="E291" s="1"/>
      <x:c r="F291" s="1"/>
      <x:c r="G291" s="1"/>
      <x:c r="H291" s="1"/>
      <x:c r="I291" s="1"/>
      <x:c r="J291" s="1"/>
      <x:c r="K291" s="1"/>
      <x:c r="L291" s="1"/>
      <x:c r="M291" s="1"/>
      <x:c r="N291" s="1"/>
      <x:c r="O291" s="1"/>
      <x:c r="P291" s="1"/>
      <x:c r="Q291" s="1"/>
      <x:c r="R291" s="1"/>
      <x:c r="S291" s="1"/>
      <x:c r="T291" s="1"/>
      <x:c r="U291" s="1"/>
      <x:c r="V291" s="1"/>
      <x:c r="W291" s="1"/>
      <x:c r="X291" s="1"/>
      <x:c r="Y291" s="1"/>
      <x:c r="Z291" s="1"/>
    </x:row>
    <x:row r="292">
      <x:c r="A292" s="1"/>
      <x:c r="B292" s="1"/>
      <x:c r="C292" s="1"/>
      <x:c r="D292" s="1"/>
      <x:c r="E292" s="1"/>
      <x:c r="F292" s="1"/>
      <x:c r="G292" s="1"/>
      <x:c r="H292" s="1"/>
      <x:c r="I292" s="1"/>
      <x:c r="J292" s="1"/>
      <x:c r="K292" s="1"/>
      <x:c r="L292" s="1"/>
      <x:c r="M292" s="1"/>
      <x:c r="N292" s="1"/>
      <x:c r="O292" s="1"/>
      <x:c r="P292" s="1"/>
      <x:c r="Q292" s="1"/>
      <x:c r="R292" s="1"/>
      <x:c r="S292" s="1"/>
      <x:c r="T292" s="1"/>
      <x:c r="U292" s="1"/>
      <x:c r="V292" s="1"/>
      <x:c r="W292" s="1"/>
      <x:c r="X292" s="1"/>
      <x:c r="Y292" s="1"/>
      <x:c r="Z292" s="1"/>
    </x:row>
    <x:row r="293">
      <x:c r="A293" s="1"/>
      <x:c r="B293" s="1"/>
      <x:c r="C293" s="1"/>
      <x:c r="D293" s="1"/>
      <x:c r="E293" s="1"/>
      <x:c r="F293" s="1"/>
      <x:c r="G293" s="1"/>
      <x:c r="H293" s="1"/>
      <x:c r="I293" s="1"/>
      <x:c r="J293" s="1"/>
      <x:c r="K293" s="1"/>
      <x:c r="L293" s="1"/>
      <x:c r="M293" s="1"/>
      <x:c r="N293" s="1"/>
      <x:c r="O293" s="1"/>
      <x:c r="P293" s="1"/>
      <x:c r="Q293" s="1"/>
      <x:c r="R293" s="1"/>
      <x:c r="S293" s="1"/>
      <x:c r="T293" s="1"/>
      <x:c r="U293" s="1"/>
      <x:c r="V293" s="1"/>
      <x:c r="W293" s="1"/>
      <x:c r="X293" s="1"/>
      <x:c r="Y293" s="1"/>
      <x:c r="Z293" s="1"/>
    </x:row>
    <x:row r="294">
      <x:c r="A294" s="1"/>
      <x:c r="B294" s="1"/>
      <x:c r="C294" s="1"/>
      <x:c r="D294" s="1"/>
      <x:c r="E294" s="1"/>
      <x:c r="F294" s="1"/>
      <x:c r="G294" s="1"/>
      <x:c r="H294" s="1"/>
      <x:c r="I294" s="1"/>
      <x:c r="J294" s="1"/>
      <x:c r="K294" s="1"/>
      <x:c r="L294" s="1"/>
      <x:c r="M294" s="1"/>
      <x:c r="N294" s="1"/>
      <x:c r="O294" s="1"/>
      <x:c r="P294" s="1"/>
      <x:c r="Q294" s="1"/>
      <x:c r="R294" s="1"/>
      <x:c r="S294" s="1"/>
      <x:c r="T294" s="1"/>
      <x:c r="U294" s="1"/>
      <x:c r="V294" s="1"/>
      <x:c r="W294" s="1"/>
      <x:c r="X294" s="1"/>
      <x:c r="Y294" s="1"/>
      <x:c r="Z294" s="1"/>
    </x:row>
    <x:row r="295">
      <x:c r="A295" s="1"/>
      <x:c r="B295" s="1"/>
      <x:c r="C295" s="1"/>
      <x:c r="D295" s="1"/>
      <x:c r="E295" s="1"/>
      <x:c r="F295" s="1"/>
      <x:c r="G295" s="1"/>
      <x:c r="H295" s="1"/>
      <x:c r="I295" s="1"/>
      <x:c r="J295" s="1"/>
      <x:c r="K295" s="1"/>
      <x:c r="L295" s="1"/>
      <x:c r="M295" s="1"/>
      <x:c r="N295" s="1"/>
      <x:c r="O295" s="1"/>
      <x:c r="P295" s="1"/>
      <x:c r="Q295" s="1"/>
      <x:c r="R295" s="1"/>
      <x:c r="S295" s="1"/>
      <x:c r="T295" s="1"/>
      <x:c r="U295" s="1"/>
      <x:c r="V295" s="1"/>
      <x:c r="W295" s="1"/>
      <x:c r="X295" s="1"/>
      <x:c r="Y295" s="1"/>
      <x:c r="Z295" s="1"/>
    </x:row>
    <x:row r="296">
      <x:c r="A296" s="1"/>
      <x:c r="B296" s="1"/>
      <x:c r="C296" s="1"/>
      <x:c r="D296" s="1"/>
      <x:c r="E296" s="1"/>
      <x:c r="F296" s="1"/>
      <x:c r="G296" s="1"/>
      <x:c r="H296" s="1"/>
      <x:c r="I296" s="1"/>
      <x:c r="J296" s="1"/>
      <x:c r="K296" s="1"/>
      <x:c r="L296" s="1"/>
      <x:c r="M296" s="1"/>
      <x:c r="N296" s="1"/>
      <x:c r="O296" s="1"/>
      <x:c r="P296" s="1"/>
      <x:c r="Q296" s="1"/>
      <x:c r="R296" s="1"/>
      <x:c r="S296" s="1"/>
      <x:c r="T296" s="1"/>
      <x:c r="U296" s="1"/>
      <x:c r="V296" s="1"/>
      <x:c r="W296" s="1"/>
      <x:c r="X296" s="1"/>
      <x:c r="Y296" s="1"/>
      <x:c r="Z296" s="1"/>
    </x:row>
    <x:row r="297">
      <x:c r="A297" s="1"/>
      <x:c r="B297" s="1"/>
      <x:c r="C297" s="1"/>
      <x:c r="D297" s="1"/>
      <x:c r="E297" s="1"/>
      <x:c r="F297" s="1"/>
      <x:c r="G297" s="1"/>
      <x:c r="H297" s="1"/>
      <x:c r="I297" s="1"/>
      <x:c r="J297" s="1"/>
      <x:c r="K297" s="1"/>
      <x:c r="L297" s="1"/>
      <x:c r="M297" s="1"/>
      <x:c r="N297" s="1"/>
      <x:c r="O297" s="1"/>
      <x:c r="P297" s="1"/>
      <x:c r="Q297" s="1"/>
      <x:c r="R297" s="1"/>
      <x:c r="S297" s="1"/>
      <x:c r="T297" s="1"/>
      <x:c r="U297" s="1"/>
      <x:c r="V297" s="1"/>
      <x:c r="W297" s="1"/>
      <x:c r="X297" s="1"/>
      <x:c r="Y297" s="1"/>
      <x:c r="Z297" s="1"/>
    </x:row>
    <x:row r="298">
      <x:c r="A298" s="1"/>
      <x:c r="B298" s="1"/>
      <x:c r="C298" s="1"/>
      <x:c r="D298" s="1"/>
      <x:c r="E298" s="1"/>
      <x:c r="F298" s="1"/>
      <x:c r="G298" s="1"/>
      <x:c r="H298" s="1"/>
      <x:c r="I298" s="1"/>
      <x:c r="J298" s="1"/>
      <x:c r="K298" s="1"/>
      <x:c r="L298" s="1"/>
      <x:c r="M298" s="1"/>
      <x:c r="N298" s="1"/>
      <x:c r="O298" s="1"/>
      <x:c r="P298" s="1"/>
      <x:c r="Q298" s="1"/>
      <x:c r="R298" s="1"/>
      <x:c r="S298" s="1"/>
      <x:c r="T298" s="1"/>
      <x:c r="U298" s="1"/>
      <x:c r="V298" s="1"/>
      <x:c r="W298" s="1"/>
      <x:c r="X298" s="1"/>
      <x:c r="Y298" s="1"/>
      <x:c r="Z298" s="1"/>
    </x:row>
    <x:row r="299">
      <x:c r="A299" s="1"/>
      <x:c r="B299" s="1"/>
      <x:c r="C299" s="1"/>
      <x:c r="D299" s="1"/>
      <x:c r="E299" s="1"/>
      <x:c r="F299" s="1"/>
      <x:c r="G299" s="1"/>
      <x:c r="H299" s="1"/>
      <x:c r="I299" s="1"/>
      <x:c r="J299" s="1"/>
      <x:c r="K299" s="1"/>
      <x:c r="L299" s="1"/>
      <x:c r="M299" s="1"/>
      <x:c r="N299" s="1"/>
      <x:c r="O299" s="1"/>
      <x:c r="P299" s="1"/>
      <x:c r="Q299" s="1"/>
      <x:c r="R299" s="1"/>
      <x:c r="S299" s="1"/>
      <x:c r="T299" s="1"/>
      <x:c r="U299" s="1"/>
      <x:c r="V299" s="1"/>
      <x:c r="W299" s="1"/>
      <x:c r="X299" s="1"/>
      <x:c r="Y299" s="1"/>
      <x:c r="Z299" s="1"/>
    </x:row>
    <x:row r="300">
      <x:c r="A300" s="1"/>
      <x:c r="B300" s="1"/>
      <x:c r="C300" s="1"/>
      <x:c r="D300" s="1"/>
      <x:c r="E300" s="1"/>
      <x:c r="F300" s="1"/>
      <x:c r="G300" s="1"/>
      <x:c r="H300" s="1"/>
      <x:c r="I300" s="1"/>
      <x:c r="J300" s="1"/>
      <x:c r="K300" s="1"/>
      <x:c r="L300" s="1"/>
      <x:c r="M300" s="1"/>
      <x:c r="N300" s="1"/>
      <x:c r="O300" s="1"/>
      <x:c r="P300" s="1"/>
      <x:c r="Q300" s="1"/>
      <x:c r="R300" s="1"/>
      <x:c r="S300" s="1"/>
      <x:c r="T300" s="1"/>
      <x:c r="U300" s="1"/>
      <x:c r="V300" s="1"/>
      <x:c r="W300" s="1"/>
      <x:c r="X300" s="1"/>
      <x:c r="Y300" s="1"/>
      <x:c r="Z300" s="1"/>
    </x:row>
  </x:sheetData>
  <x:mergeCells>
    <x:mergeCell ref="A1:N1"/>
    <x:mergeCell ref="A2:N3"/>
  </x:mergeCells>
  <x:pageMargins left="0.7" right="0.7" top="0.75" bottom="0.75" header="0.3" footer="0.3"/>
  <x:legacyDrawing xmlns:r="http://schemas.openxmlformats.org/officeDocument/2006/relationships" r:id="R2324c873f8664df1"/>
  <x:tableParts count="1">
    <x:tablePart xmlns:r="http://schemas.openxmlformats.org/officeDocument/2006/relationships" r:id="R7fb77962067946d1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</x:cols>
  <x:sheetData>
    <x:row r="1" ht="30" customHeight="1">
      <x:c r="A1" s="4" t="str">
        <x:v>Transformaciones del modelo</x:v>
      </x:c>
      <x:c r="B1" s="4" t="str">
        <x:v>Transformaciones del modelo</x:v>
      </x:c>
      <x:c r="C1" s="4" t="str">
        <x:v>Transformaciones del modelo</x:v>
      </x:c>
      <x:c r="D1" s="4" t="str">
        <x:v>Transformaciones del modelo</x:v>
      </x:c>
      <x:c r="E1" s="4" t="str">
        <x:v>Transformaciones del modelo</x:v>
      </x:c>
      <x:c r="F1" s="4" t="str">
        <x:v>Transformaciones del modelo</x:v>
      </x:c>
      <x:c r="G1" s="4" t="str">
        <x:v>Transformaciones del modelo</x:v>
      </x:c>
      <x:c r="H1" s="4" t="str">
        <x:v>Transformaciones del modelo</x:v>
      </x:c>
      <x:c r="I1" s="4" t="str">
        <x:v>Transformaciones del modelo</x:v>
      </x:c>
      <x:c r="J1" s="4" t="str">
        <x:v>Transformaciones del modelo</x:v>
      </x:c>
      <x:c r="K1" s="4" t="str">
        <x:v>Transformaciones del modelo</x:v>
      </x:c>
      <x:c r="L1" s="4" t="str">
        <x:v>Transformaciones del modelo</x:v>
      </x:c>
      <x:c r="M1" s="4" t="str">
        <x:v>Transformaciones del modelo</x:v>
      </x:c>
      <x:c r="N1" s="4" t="str">
        <x:v>Transformaciones del modelo</x:v>
      </x:c>
      <x:c r="O1" s="4" t="str">
        <x:v>Transformaciones del modelo</x:v>
      </x:c>
      <x:c r="P1" s="4" t="str">
        <x:v>Transformaciones del modelo</x:v>
      </x:c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 ht="36" customHeight="1">
      <x:c r="A2" s="7" t="str">
        <x:v>Todas las transformaciones son fórmulas enlazadas a Datos_fuente. Δ indica cambio mensual; ln indica logaritmo natural. Las variables domésticas rezagadas se aplican en la hoja Modelo_principal.</x:v>
      </x:c>
      <x:c r="B2" s="7" t="str">
        <x:v>Todas las transformaciones son fórmulas enlazadas a Datos_fuente. Δ indica cambio mensual; ln indica logaritmo natural. Las variables domésticas rezagadas se aplican en la hoja Modelo_principal.</x:v>
      </x:c>
      <x:c r="C2" s="7" t="str">
        <x:v>Todas las transformaciones son fórmulas enlazadas a Datos_fuente. Δ indica cambio mensual; ln indica logaritmo natural. Las variables domésticas rezagadas se aplican en la hoja Modelo_principal.</x:v>
      </x:c>
      <x:c r="D2" s="7" t="str">
        <x:v>Todas las transformaciones son fórmulas enlazadas a Datos_fuente. Δ indica cambio mensual; ln indica logaritmo natural. Las variables domésticas rezagadas se aplican en la hoja Modelo_principal.</x:v>
      </x:c>
      <x:c r="E2" s="7" t="str">
        <x:v>Todas las transformaciones son fórmulas enlazadas a Datos_fuente. Δ indica cambio mensual; ln indica logaritmo natural. Las variables domésticas rezagadas se aplican en la hoja Modelo_principal.</x:v>
      </x:c>
      <x:c r="F2" s="7" t="str">
        <x:v>Todas las transformaciones son fórmulas enlazadas a Datos_fuente. Δ indica cambio mensual; ln indica logaritmo natural. Las variables domésticas rezagadas se aplican en la hoja Modelo_principal.</x:v>
      </x:c>
      <x:c r="G2" s="7" t="str">
        <x:v>Todas las transformaciones son fórmulas enlazadas a Datos_fuente. Δ indica cambio mensual; ln indica logaritmo natural. Las variables domésticas rezagadas se aplican en la hoja Modelo_principal.</x:v>
      </x:c>
      <x:c r="H2" s="7" t="str">
        <x:v>Todas las transformaciones son fórmulas enlazadas a Datos_fuente. Δ indica cambio mensual; ln indica logaritmo natural. Las variables domésticas rezagadas se aplican en la hoja Modelo_principal.</x:v>
      </x:c>
      <x:c r="I2" s="7" t="str">
        <x:v>Todas las transformaciones son fórmulas enlazadas a Datos_fuente. Δ indica cambio mensual; ln indica logaritmo natural. Las variables domésticas rezagadas se aplican en la hoja Modelo_principal.</x:v>
      </x:c>
      <x:c r="J2" s="7" t="str">
        <x:v>Todas las transformaciones son fórmulas enlazadas a Datos_fuente. Δ indica cambio mensual; ln indica logaritmo natural. Las variables domésticas rezagadas se aplican en la hoja Modelo_principal.</x:v>
      </x:c>
      <x:c r="K2" s="7" t="str">
        <x:v>Todas las transformaciones son fórmulas enlazadas a Datos_fuente. Δ indica cambio mensual; ln indica logaritmo natural. Las variables domésticas rezagadas se aplican en la hoja Modelo_principal.</x:v>
      </x:c>
      <x:c r="L2" s="7" t="str">
        <x:v>Todas las transformaciones son fórmulas enlazadas a Datos_fuente. Δ indica cambio mensual; ln indica logaritmo natural. Las variables domésticas rezagadas se aplican en la hoja Modelo_principal.</x:v>
      </x:c>
      <x:c r="M2" s="7" t="str">
        <x:v>Todas las transformaciones son fórmulas enlazadas a Datos_fuente. Δ indica cambio mensual; ln indica logaritmo natural. Las variables domésticas rezagadas se aplican en la hoja Modelo_principal.</x:v>
      </x:c>
      <x:c r="N2" s="7" t="str">
        <x:v>Todas las transformaciones son fórmulas enlazadas a Datos_fuente. Δ indica cambio mensual; ln indica logaritmo natural. Las variables domésticas rezagadas se aplican en la hoja Modelo_principal.</x:v>
      </x:c>
      <x:c r="O2" s="7" t="str">
        <x:v>Todas las transformaciones son fórmulas enlazadas a Datos_fuente. Δ indica cambio mensual; ln indica logaritmo natural. Las variables domésticas rezagadas se aplican en la hoja Modelo_principal.</x:v>
      </x:c>
      <x:c r="P2" s="7" t="str">
        <x:v>Todas las transformaciones son fórmulas enlazadas a Datos_fuente. Δ indica cambio mensual; ln indica logaritmo natural. Las variables domésticas rezagadas se aplican en la hoja Modelo_principal.</x:v>
      </x:c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 ht="36" customHeight="1">
      <x:c r="A3" s="7" t="str">
        <x:v>Todas las transformaciones son fórmulas enlazadas a Datos_fuente. Δ indica cambio mensual; ln indica logaritmo natural. Las variables domésticas rezagadas se aplican en la hoja Modelo_principal.</x:v>
      </x:c>
      <x:c r="B3" s="7" t="str">
        <x:v>Todas las transformaciones son fórmulas enlazadas a Datos_fuente. Δ indica cambio mensual; ln indica logaritmo natural. Las variables domésticas rezagadas se aplican en la hoja Modelo_principal.</x:v>
      </x:c>
      <x:c r="C3" s="7" t="str">
        <x:v>Todas las transformaciones son fórmulas enlazadas a Datos_fuente. Δ indica cambio mensual; ln indica logaritmo natural. Las variables domésticas rezagadas se aplican en la hoja Modelo_principal.</x:v>
      </x:c>
      <x:c r="D3" s="7" t="str">
        <x:v>Todas las transformaciones son fórmulas enlazadas a Datos_fuente. Δ indica cambio mensual; ln indica logaritmo natural. Las variables domésticas rezagadas se aplican en la hoja Modelo_principal.</x:v>
      </x:c>
      <x:c r="E3" s="7" t="str">
        <x:v>Todas las transformaciones son fórmulas enlazadas a Datos_fuente. Δ indica cambio mensual; ln indica logaritmo natural. Las variables domésticas rezagadas se aplican en la hoja Modelo_principal.</x:v>
      </x:c>
      <x:c r="F3" s="7" t="str">
        <x:v>Todas las transformaciones son fórmulas enlazadas a Datos_fuente. Δ indica cambio mensual; ln indica logaritmo natural. Las variables domésticas rezagadas se aplican en la hoja Modelo_principal.</x:v>
      </x:c>
      <x:c r="G3" s="7" t="str">
        <x:v>Todas las transformaciones son fórmulas enlazadas a Datos_fuente. Δ indica cambio mensual; ln indica logaritmo natural. Las variables domésticas rezagadas se aplican en la hoja Modelo_principal.</x:v>
      </x:c>
      <x:c r="H3" s="7" t="str">
        <x:v>Todas las transformaciones son fórmulas enlazadas a Datos_fuente. Δ indica cambio mensual; ln indica logaritmo natural. Las variables domésticas rezagadas se aplican en la hoja Modelo_principal.</x:v>
      </x:c>
      <x:c r="I3" s="7" t="str">
        <x:v>Todas las transformaciones son fórmulas enlazadas a Datos_fuente. Δ indica cambio mensual; ln indica logaritmo natural. Las variables domésticas rezagadas se aplican en la hoja Modelo_principal.</x:v>
      </x:c>
      <x:c r="J3" s="7" t="str">
        <x:v>Todas las transformaciones son fórmulas enlazadas a Datos_fuente. Δ indica cambio mensual; ln indica logaritmo natural. Las variables domésticas rezagadas se aplican en la hoja Modelo_principal.</x:v>
      </x:c>
      <x:c r="K3" s="7" t="str">
        <x:v>Todas las transformaciones son fórmulas enlazadas a Datos_fuente. Δ indica cambio mensual; ln indica logaritmo natural. Las variables domésticas rezagadas se aplican en la hoja Modelo_principal.</x:v>
      </x:c>
      <x:c r="L3" s="7" t="str">
        <x:v>Todas las transformaciones son fórmulas enlazadas a Datos_fuente. Δ indica cambio mensual; ln indica logaritmo natural. Las variables domésticas rezagadas se aplican en la hoja Modelo_principal.</x:v>
      </x:c>
      <x:c r="M3" s="7" t="str">
        <x:v>Todas las transformaciones son fórmulas enlazadas a Datos_fuente. Δ indica cambio mensual; ln indica logaritmo natural. Las variables domésticas rezagadas se aplican en la hoja Modelo_principal.</x:v>
      </x:c>
      <x:c r="N3" s="7" t="str">
        <x:v>Todas las transformaciones son fórmulas enlazadas a Datos_fuente. Δ indica cambio mensual; ln indica logaritmo natural. Las variables domésticas rezagadas se aplican en la hoja Modelo_principal.</x:v>
      </x:c>
      <x:c r="O3" s="7" t="str">
        <x:v>Todas las transformaciones son fórmulas enlazadas a Datos_fuente. Δ indica cambio mensual; ln indica logaritmo natural. Las variables domésticas rezagadas se aplican en la hoja Modelo_principal.</x:v>
      </x:c>
      <x:c r="P3" s="7" t="str">
        <x:v>Todas las transformaciones son fórmulas enlazadas a Datos_fuente. Δ indica cambio mensual; ln indica logaritmo natural. Las variables domésticas rezagadas se aplican en la hoja Modelo_principal.</x:v>
      </x:c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 ht="38" customHeight="1">
      <x:c r="A5" s="54" t="str">
        <x:v>Mes</x:v>
      </x:c>
      <x:c r="B5" s="54" t="str">
        <x:v>ln TRM</x:v>
      </x:c>
      <x:c r="C5" s="54" t="str">
        <x:v>Δln TRM</x:v>
      </x:c>
      <x:c r="D5" s="54" t="str">
        <x:v>ln Brent</x:v>
      </x:c>
      <x:c r="E5" s="54" t="str">
        <x:v>Δln Brent</x:v>
      </x:c>
      <x:c r="F5" s="54" t="str">
        <x:v>ln remesas 12m</x:v>
      </x:c>
      <x:c r="G5" s="54" t="str">
        <x:v>Δln remesas 12m</x:v>
      </x:c>
      <x:c r="H5" s="54" t="str">
        <x:v>Diferencial tasas</x:v>
      </x:c>
      <x:c r="I5" s="54" t="str">
        <x:v>Δ diferencial</x:v>
      </x:c>
      <x:c r="J5" s="54" t="str">
        <x:v>Déficit 12m/PIB</x:v>
      </x:c>
      <x:c r="K5" s="54" t="str">
        <x:v>Δ déficit</x:v>
      </x:c>
      <x:c r="L5" s="54" t="str">
        <x:v>ln dólar amplio</x:v>
      </x:c>
      <x:c r="M5" s="54" t="str">
        <x:v>Δln dólar amplio</x:v>
      </x:c>
      <x:c r="N5" s="54" t="str">
        <x:v>ln VIX</x:v>
      </x:c>
      <x:c r="O5" s="54" t="str">
        <x:v>Δln VIX</x:v>
      </x:c>
      <x:c r="P5" s="54" t="str">
        <x:v>Pandemia</x:v>
      </x:c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>
      <x:c r="A6" s="1" t="str">
        <x:f>'Datos_fuente'!A6</x:f>
        <x:v>2005-12</x:v>
      </x:c>
      <x:c r="B6" s="87" t="n">
        <x:f>IF('Datos_fuente'!B6="","",LN('Datos_fuente'!B6))</x:f>
        <x:v>7.7312898828830585</x:v>
      </x:c>
      <x:c r="C6" s="87"/>
      <x:c r="D6" s="87" t="n">
        <x:f>IF('Datos_fuente'!C6="","",LN('Datos_fuente'!C6))</x:f>
        <x:v>4.040516730360709</x:v>
      </x:c>
      <x:c r="E6" s="87"/>
      <x:c r="F6" s="87" t="n">
        <x:f>IF('Datos_fuente'!E6="","",LN('Datos_fuente'!E6))</x:f>
        <x:v>8.105829722126705</x:v>
      </x:c>
      <x:c r="G6" s="87"/>
      <x:c r="H6" s="55" t="n">
        <x:f>'Datos_fuente'!H6</x:f>
        <x:v>1.84</x:v>
      </x:c>
      <x:c r="I6" s="55"/>
      <x:c r="J6" s="55" t="n">
        <x:f>'Datos_fuente'!J6</x:f>
        <x:v>3.997397732</x:v>
      </x:c>
      <x:c r="K6" s="55"/>
      <x:c r="L6" s="87" t="str">
        <x:f>IF('Datos_fuente'!K6="","",LN('Datos_fuente'!K6))</x:f>
      </x:c>
      <x:c r="M6" s="87"/>
      <x:c r="N6" s="87" t="n">
        <x:f>IF('Datos_fuente'!L6="","",LN('Datos_fuente'!L6))</x:f>
        <x:v>2.421256622711544</x:v>
      </x:c>
      <x:c r="O6" s="87"/>
      <x:c r="P6" s="82" t="n">
        <x:f>'Datos_fuente'!N6</x:f>
        <x:v>0</x:v>
      </x:c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>
      <x:c r="A7" s="1" t="str">
        <x:f>'Datos_fuente'!A7</x:f>
        <x:v>2006-01</x:v>
      </x:c>
      <x:c r="B7" s="87" t="n">
        <x:f>IF('Datos_fuente'!B7="","",LN('Datos_fuente'!B7))</x:f>
        <x:v>7.729168563329848</x:v>
      </x:c>
      <x:c r="C7" s="87" t="n">
        <x:f>IF(OR(B7="",B6=""),"",B7-B6)</x:f>
        <x:v>-0.002121319553210377</x:v>
      </x:c>
      <x:c r="D7" s="87" t="n">
        <x:f>IF('Datos_fuente'!C7="","",LN('Datos_fuente'!C7))</x:f>
        <x:v>4.142900383062264</x:v>
      </x:c>
      <x:c r="E7" s="87" t="n">
        <x:f>IF(OR(D7="",D6=""),"",D7-D6)</x:f>
        <x:v>0.1023836527015547</x:v>
      </x:c>
      <x:c r="F7" s="87" t="n">
        <x:f>IF('Datos_fuente'!E7="","",LN('Datos_fuente'!E7))</x:f>
        <x:v>8.118618291212817</x:v>
      </x:c>
      <x:c r="G7" s="87" t="n">
        <x:f>IF(OR(F7="",F6=""),"",F7-F6)</x:f>
        <x:v>0.012788569086112034</x:v>
      </x:c>
      <x:c r="H7" s="55" t="n">
        <x:f>'Datos_fuente'!H7</x:f>
        <x:v>1.71</x:v>
      </x:c>
      <x:c r="I7" s="55" t="n">
        <x:f>IF(OR(H7="",H6=""),"",H7-H6)</x:f>
        <x:v>-0.13000000000000012</x:v>
      </x:c>
      <x:c r="J7" s="55" t="n">
        <x:f>'Datos_fuente'!J7</x:f>
        <x:v>3.697683412</x:v>
      </x:c>
      <x:c r="K7" s="55" t="n">
        <x:f>IF(OR(J7="",J6=""),"",J7-J6)</x:f>
        <x:v>-0.2997143200000001</x:v>
      </x:c>
      <x:c r="L7" s="87" t="n">
        <x:f>IF('Datos_fuente'!K7="","",LN('Datos_fuente'!K7))</x:f>
        <x:v>4.60517023098809</x:v>
      </x:c>
      <x:c r="M7" s="87" t="str">
        <x:f>IF(OR(L7="",L6=""),"",L7-L6)</x:f>
      </x:c>
      <x:c r="N7" s="87" t="n">
        <x:f>IF('Datos_fuente'!L7="","",LN('Datos_fuente'!L7))</x:f>
        <x:v>2.487902158767799</x:v>
      </x:c>
      <x:c r="O7" s="87" t="n">
        <x:f>IF(OR(N7="",N6=""),"",N7-N6)</x:f>
        <x:v>0.06664553605625478</x:v>
      </x:c>
      <x:c r="P7" s="82" t="n">
        <x:f>'Datos_fuente'!N7</x:f>
        <x:v>0</x:v>
      </x:c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>
      <x:c r="A8" s="1" t="str">
        <x:f>'Datos_fuente'!A8</x:f>
        <x:v>2006-02</x:v>
      </x:c>
      <x:c r="B8" s="87" t="n">
        <x:f>IF('Datos_fuente'!B8="","",LN('Datos_fuente'!B8))</x:f>
        <x:v>7.7212472905524185</x:v>
      </x:c>
      <x:c r="C8" s="87" t="n">
        <x:f>IF(OR(B8="",B7=""),"",B8-B7)</x:f>
        <x:v>-0.0079212727774296</x:v>
      </x:c>
      <x:c r="D8" s="87" t="n">
        <x:f>IF('Datos_fuente'!C8="","",LN('Datos_fuente'!C8))</x:f>
        <x:v>4.097838451476356</x:v>
      </x:c>
      <x:c r="E8" s="87" t="n">
        <x:f>IF(OR(D8="",D7=""),"",D8-D7)</x:f>
        <x:v>-0.045061931585907544</x:v>
      </x:c>
      <x:c r="F8" s="87" t="n">
        <x:f>IF('Datos_fuente'!E8="","",LN('Datos_fuente'!E8))</x:f>
        <x:v>8.127174175848923</x:v>
      </x:c>
      <x:c r="G8" s="87" t="n">
        <x:f>IF(OR(F8="",F7=""),"",F8-F7)</x:f>
        <x:v>0.008555884636106015</x:v>
      </x:c>
      <x:c r="H8" s="55" t="n">
        <x:f>'Datos_fuente'!H8</x:f>
        <x:v>1.51</x:v>
      </x:c>
      <x:c r="I8" s="55" t="n">
        <x:f>IF(OR(H8="",H7=""),"",H8-H7)</x:f>
        <x:v>-0.19999999999999996</x:v>
      </x:c>
      <x:c r="J8" s="55" t="n">
        <x:f>'Datos_fuente'!J8</x:f>
        <x:v>3.95151495</x:v>
      </x:c>
      <x:c r="K8" s="55" t="n">
        <x:f>IF(OR(J8="",J7=""),"",J8-J7)</x:f>
        <x:v>0.253831538</x:v>
      </x:c>
      <x:c r="L8" s="87" t="n">
        <x:f>IF('Datos_fuente'!K8="","",LN('Datos_fuente'!K8))</x:f>
        <x:v>4.607279659483568</x:v>
      </x:c>
      <x:c r="M8" s="87" t="n">
        <x:f>IF(OR(L8="",L7=""),"",L8-L7)</x:f>
        <x:v>0.0021094284954781273</x:v>
      </x:c>
      <x:c r="N8" s="87" t="n">
        <x:f>IF('Datos_fuente'!L8="","",LN('Datos_fuente'!L8))</x:f>
        <x:v>2.523410169120548</x:v>
      </x:c>
      <x:c r="O8" s="87" t="n">
        <x:f>IF(OR(N8="",N7=""),"",N8-N7)</x:f>
        <x:v>0.035508010352748975</x:v>
      </x:c>
      <x:c r="P8" s="82" t="n">
        <x:f>'Datos_fuente'!N8</x:f>
        <x:v>0</x:v>
      </x:c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>
      <x:c r="A9" s="1" t="str">
        <x:f>'Datos_fuente'!A9</x:f>
        <x:v>2006-03</x:v>
      </x:c>
      <x:c r="B9" s="87" t="n">
        <x:f>IF('Datos_fuente'!B9="","",LN('Datos_fuente'!B9))</x:f>
        <x:v>7.723968718806613</x:v>
      </x:c>
      <x:c r="C9" s="87" t="n">
        <x:f>IF(OR(B9="",B8=""),"",B9-B8)</x:f>
        <x:v>0.0027214282541940804</x:v>
      </x:c>
      <x:c r="D9" s="87" t="n">
        <x:f>IF('Datos_fuente'!C9="","",LN('Datos_fuente'!C9))</x:f>
        <x:v>4.128178720343554</x:v>
      </x:c>
      <x:c r="E9" s="87" t="n">
        <x:f>IF(OR(D9="",D8=""),"",D9-D8)</x:f>
        <x:v>0.03034026886719765</x:v>
      </x:c>
      <x:c r="F9" s="87" t="n">
        <x:f>IF('Datos_fuente'!E9="","",LN('Datos_fuente'!E9))</x:f>
        <x:v>8.142787700510787</x:v>
      </x:c>
      <x:c r="G9" s="87" t="n">
        <x:f>IF(OR(F9="",F8=""),"",F9-F8)</x:f>
        <x:v>0.015613524661864275</x:v>
      </x:c>
      <x:c r="H9" s="55" t="n">
        <x:f>'Datos_fuente'!H9</x:f>
        <x:v>1.41</x:v>
      </x:c>
      <x:c r="I9" s="55" t="n">
        <x:f>IF(OR(H9="",H8=""),"",H9-H8)</x:f>
        <x:v>-0.10000000000000009</x:v>
      </x:c>
      <x:c r="J9" s="55" t="n">
        <x:f>'Datos_fuente'!J9</x:f>
        <x:v>3.6276424</x:v>
      </x:c>
      <x:c r="K9" s="55" t="n">
        <x:f>IF(OR(J9="",J8=""),"",J9-J8)</x:f>
        <x:v>-0.3238725499999999</x:v>
      </x:c>
      <x:c r="L9" s="87" t="n">
        <x:f>IF('Datos_fuente'!K9="","",LN('Datos_fuente'!K9))</x:f>
        <x:v>4.6094419191306315</x:v>
      </x:c>
      <x:c r="M9" s="87" t="n">
        <x:f>IF(OR(L9="",L8=""),"",L9-L8)</x:f>
        <x:v>0.0021622596470631805</x:v>
      </x:c>
      <x:c r="N9" s="87" t="n">
        <x:f>IF('Datos_fuente'!L9="","",LN('Datos_fuente'!L9))</x:f>
        <x:v>2.459068453433714</x:v>
      </x:c>
      <x:c r="O9" s="87" t="n">
        <x:f>IF(OR(N9="",N8=""),"",N9-N8)</x:f>
        <x:v>-0.064341715686834</x:v>
      </x:c>
      <x:c r="P9" s="82" t="n">
        <x:f>'Datos_fuente'!N9</x:f>
        <x:v>0</x:v>
      </x:c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>
      <x:c r="A10" s="1" t="str">
        <x:f>'Datos_fuente'!A10</x:f>
        <x:v>2006-04</x:v>
      </x:c>
      <x:c r="B10" s="87" t="n">
        <x:f>IF('Datos_fuente'!B10="","",LN('Datos_fuente'!B10))</x:f>
        <x:v>7.75582612639502</x:v>
      </x:c>
      <x:c r="C10" s="87" t="n">
        <x:f>IF(OR(B10="",B9=""),"",B10-B9)</x:f>
        <x:v>0.03185740758840705</x:v>
      </x:c>
      <x:c r="D10" s="87" t="n">
        <x:f>IF('Datos_fuente'!C10="","",LN('Datos_fuente'!C10))</x:f>
        <x:v>4.252202646837681</x:v>
      </x:c>
      <x:c r="E10" s="87" t="n">
        <x:f>IF(OR(D10="",D9=""),"",D10-D9)</x:f>
        <x:v>0.12402392649412697</x:v>
      </x:c>
      <x:c r="F10" s="87" t="n">
        <x:f>IF('Datos_fuente'!E10="","",LN('Datos_fuente'!E10))</x:f>
        <x:v>8.149041208941878</x:v>
      </x:c>
      <x:c r="G10" s="87" t="n">
        <x:f>IF(OR(F10="",F9=""),"",F10-F9)</x:f>
        <x:v>0.006253508431090182</x:v>
      </x:c>
      <x:c r="H10" s="55" t="n">
        <x:f>'Datos_fuente'!H10</x:f>
        <x:v>1.21</x:v>
      </x:c>
      <x:c r="I10" s="55" t="n">
        <x:f>IF(OR(H10="",H9=""),"",H10-H9)</x:f>
        <x:v>-0.19999999999999996</x:v>
      </x:c>
      <x:c r="J10" s="55" t="n">
        <x:f>'Datos_fuente'!J10</x:f>
        <x:v>4.354903969</x:v>
      </x:c>
      <x:c r="K10" s="55" t="n">
        <x:f>IF(OR(J10="",J9=""),"",J10-J9)</x:f>
        <x:v>0.7272615690000004</x:v>
      </x:c>
      <x:c r="L10" s="87" t="n">
        <x:f>IF('Datos_fuente'!K10="","",LN('Datos_fuente'!K10))</x:f>
        <x:v>4.602601690225171</x:v>
      </x:c>
      <x:c r="M10" s="87" t="n">
        <x:f>IF(OR(L10="",L9=""),"",L10-L9)</x:f>
        <x:v>-0.006840228905460322</x:v>
      </x:c>
      <x:c r="N10" s="87" t="n">
        <x:f>IF('Datos_fuente'!L10="","",LN('Datos_fuente'!L10))</x:f>
        <x:v>2.472105768657397</x:v>
      </x:c>
      <x:c r="O10" s="87" t="n">
        <x:f>IF(OR(N10="",N9=""),"",N10-N9)</x:f>
        <x:v>0.0130373152236829</x:v>
      </x:c>
      <x:c r="P10" s="82" t="n">
        <x:f>'Datos_fuente'!N10</x:f>
        <x:v>0</x:v>
      </x:c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>
      <x:c r="A11" s="1" t="str">
        <x:f>'Datos_fuente'!A11</x:f>
        <x:v>2006-05</x:v>
      </x:c>
      <x:c r="B11" s="87" t="n">
        <x:f>IF('Datos_fuente'!B11="","",LN('Datos_fuente'!B11))</x:f>
        <x:v>7.790964545576441</x:v>
      </x:c>
      <x:c r="C11" s="87" t="n">
        <x:f>IF(OR(B11="",B10=""),"",B11-B10)</x:f>
        <x:v>0.03513841918142102</x:v>
      </x:c>
      <x:c r="D11" s="87" t="n">
        <x:f>IF('Datos_fuente'!C11="","",LN('Datos_fuente'!C11))</x:f>
        <x:v>4.245303819444882</x:v>
      </x:c>
      <x:c r="E11" s="87" t="n">
        <x:f>IF(OR(D11="",D10=""),"",D11-D10)</x:f>
        <x:v>-0.006898827392798346</x:v>
      </x:c>
      <x:c r="F11" s="87" t="n">
        <x:f>IF('Datos_fuente'!E11="","",LN('Datos_fuente'!E11))</x:f>
        <x:v>8.176667149216875</x:v>
      </x:c>
      <x:c r="G11" s="87" t="n">
        <x:f>IF(OR(F11="",F10=""),"",F11-F10)</x:f>
        <x:v>0.027625940274997873</x:v>
      </x:c>
      <x:c r="H11" s="55" t="n">
        <x:f>'Datos_fuente'!H11</x:f>
        <x:v>1.301935484</x:v>
      </x:c>
      <x:c r="I11" s="55" t="n">
        <x:f>IF(OR(H11="",H10=""),"",H11-H10)</x:f>
        <x:v>0.09193548399999996</x:v>
      </x:c>
      <x:c r="J11" s="55" t="n">
        <x:f>'Datos_fuente'!J11</x:f>
        <x:v>3.865752534</x:v>
      </x:c>
      <x:c r="K11" s="55" t="n">
        <x:f>IF(OR(J11="",J10=""),"",J11-J10)</x:f>
        <x:v>-0.4891514350000006</x:v>
      </x:c>
      <x:c r="L11" s="87" t="n">
        <x:f>IF('Datos_fuente'!K11="","",LN('Datos_fuente'!K11))</x:f>
        <x:v>4.579973128764417</x:v>
      </x:c>
      <x:c r="M11" s="87" t="n">
        <x:f>IF(OR(L11="",L10=""),"",L11-L10)</x:f>
        <x:v>-0.022628561460754426</x:v>
      </x:c>
      <x:c r="N11" s="87" t="n">
        <x:f>IF('Datos_fuente'!L11="","",LN('Datos_fuente'!L11))</x:f>
        <x:v>2.6710089291073955</x:v>
      </x:c>
      <x:c r="O11" s="87" t="n">
        <x:f>IF(OR(N11="",N10=""),"",N11-N10)</x:f>
        <x:v>0.19890316044999867</x:v>
      </x:c>
      <x:c r="P11" s="82" t="n">
        <x:f>'Datos_fuente'!N11</x:f>
        <x:v>0</x:v>
      </x:c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>
      <x:c r="A12" s="1" t="str">
        <x:f>'Datos_fuente'!A12</x:f>
        <x:v>2006-06</x:v>
      </x:c>
      <x:c r="B12" s="87" t="n">
        <x:f>IF('Datos_fuente'!B12="","",LN('Datos_fuente'!B12))</x:f>
        <x:v>7.840792994031259</x:v>
      </x:c>
      <x:c r="C12" s="87" t="n">
        <x:f>IF(OR(B12="",B11=""),"",B12-B11)</x:f>
        <x:v>0.04982844845481793</x:v>
      </x:c>
      <x:c r="D12" s="87" t="n">
        <x:f>IF('Datos_fuente'!C12="","",LN('Datos_fuente'!C12))</x:f>
        <x:v>4.2276496034602475</x:v>
      </x:c>
      <x:c r="E12" s="87" t="n">
        <x:f>IF(OR(D12="",D11=""),"",D12-D11)</x:f>
        <x:v>-0.017654215984634902</x:v>
      </x:c>
      <x:c r="F12" s="87" t="n">
        <x:f>IF('Datos_fuente'!E12="","",LN('Datos_fuente'!E12))</x:f>
        <x:v>8.196392708829233</x:v>
      </x:c>
      <x:c r="G12" s="87" t="n">
        <x:f>IF(OR(F12="",F11=""),"",F12-F11)</x:f>
        <x:v>0.019725559612357557</x:v>
      </x:c>
      <x:c r="H12" s="55" t="n">
        <x:f>'Datos_fuente'!H12</x:f>
        <x:v>1.343333333</x:v>
      </x:c>
      <x:c r="I12" s="55" t="n">
        <x:f>IF(OR(H12="",H11=""),"",H12-H11)</x:f>
        <x:v>0.04139784899999999</x:v>
      </x:c>
      <x:c r="J12" s="55" t="n">
        <x:f>'Datos_fuente'!J12</x:f>
        <x:v>4.000523343</x:v>
      </x:c>
      <x:c r="K12" s="55" t="n">
        <x:f>IF(OR(J12="",J11=""),"",J12-J11)</x:f>
        <x:v>0.13477080900000038</x:v>
      </x:c>
      <x:c r="L12" s="87" t="n">
        <x:f>IF('Datos_fuente'!K12="","",LN('Datos_fuente'!K12))</x:f>
        <x:v>4.592011212515483</x:v>
      </x:c>
      <x:c r="M12" s="87" t="n">
        <x:f>IF(OR(L12="",L11=""),"",L12-L11)</x:f>
        <x:v>0.012038083751066075</x:v>
      </x:c>
      <x:c r="N12" s="87" t="n">
        <x:f>IF('Datos_fuente'!L12="","",LN('Datos_fuente'!L12))</x:f>
        <x:v>2.828415757549642</x:v>
      </x:c>
      <x:c r="O12" s="87" t="n">
        <x:f>IF(OR(N12="",N11=""),"",N12-N11)</x:f>
        <x:v>0.1574068284422463</x:v>
      </x:c>
      <x:c r="P12" s="82" t="n">
        <x:f>'Datos_fuente'!N12</x:f>
        <x:v>0</x:v>
      </x:c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>
      <x:c r="A13" s="1" t="str">
        <x:f>'Datos_fuente'!A13</x:f>
        <x:v>2006-07</x:v>
      </x:c>
      <x:c r="B13" s="87" t="n">
        <x:f>IF('Datos_fuente'!B13="","",LN('Datos_fuente'!B13))</x:f>
        <x:v>7.8295104086035705</x:v>
      </x:c>
      <x:c r="C13" s="87" t="n">
        <x:f>IF(OR(B13="",B12=""),"",B13-B12)</x:f>
        <x:v>-0.011282585427688119</x:v>
      </x:c>
      <x:c r="D13" s="87" t="n">
        <x:f>IF('Datos_fuente'!C13="","",LN('Datos_fuente'!C13))</x:f>
        <x:v>4.2996538334291525</x:v>
      </x:c>
      <x:c r="E13" s="87" t="n">
        <x:f>IF(OR(D13="",D12=""),"",D13-D12)</x:f>
        <x:v>0.07200422996890499</x:v>
      </x:c>
      <x:c r="F13" s="87" t="n">
        <x:f>IF('Datos_fuente'!E13="","",LN('Datos_fuente'!E13))</x:f>
        <x:v>8.210333736162195</x:v>
      </x:c>
      <x:c r="G13" s="87" t="n">
        <x:f>IF(OR(F13="",F12=""),"",F13-F12)</x:f>
        <x:v>0.013941027332961653</x:v>
      </x:c>
      <x:c r="H13" s="55" t="n">
        <x:f>'Datos_fuente'!H13</x:f>
        <x:v>1.26</x:v>
      </x:c>
      <x:c r="I13" s="55" t="n">
        <x:f>IF(OR(H13="",H12=""),"",H13-H12)</x:f>
        <x:v>-0.0833333329999999</x:v>
      </x:c>
      <x:c r="J13" s="55" t="n">
        <x:f>'Datos_fuente'!J13</x:f>
        <x:v>3.866772925</x:v>
      </x:c>
      <x:c r="K13" s="55" t="n">
        <x:f>IF(OR(J13="",J12=""),"",J13-J12)</x:f>
        <x:v>-0.13375041800000043</x:v>
      </x:c>
      <x:c r="L13" s="87" t="n">
        <x:f>IF('Datos_fuente'!K13="","",LN('Datos_fuente'!K13))</x:f>
        <x:v>4.589434164588313</x:v>
      </x:c>
      <x:c r="M13" s="87" t="n">
        <x:f>IF(OR(L13="",L12=""),"",L13-L12)</x:f>
        <x:v>-0.002577047927169396</x:v>
      </x:c>
      <x:c r="N13" s="87" t="n">
        <x:f>IF('Datos_fuente'!L13="","",LN('Datos_fuente'!L13))</x:f>
        <x:v>2.7295507325482125</x:v>
      </x:c>
      <x:c r="O13" s="87" t="n">
        <x:f>IF(OR(N13="",N12=""),"",N13-N12)</x:f>
        <x:v>-0.09886502500142935</x:v>
      </x:c>
      <x:c r="P13" s="82" t="n">
        <x:f>'Datos_fuente'!N13</x:f>
        <x:v>0</x:v>
      </x:c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>
      <x:c r="A14" s="1" t="str">
        <x:f>'Datos_fuente'!A14</x:f>
        <x:v>2006-08</x:v>
      </x:c>
      <x:c r="B14" s="87" t="n">
        <x:f>IF('Datos_fuente'!B14="","",LN('Datos_fuente'!B14))</x:f>
        <x:v>7.778623260738682</x:v>
      </x:c>
      <x:c r="C14" s="87" t="n">
        <x:f>IF(OR(B14="",B13=""),"",B14-B13)</x:f>
        <x:v>-0.05088714786488868</x:v>
      </x:c>
      <x:c r="D14" s="87" t="n">
        <x:f>IF('Datos_fuente'!C14="","",LN('Datos_fuente'!C14))</x:f>
        <x:v>4.293611110239567</x:v>
      </x:c>
      <x:c r="E14" s="87" t="n">
        <x:f>IF(OR(D14="",D13=""),"",D14-D13)</x:f>
        <x:v>-0.0060427231895854305</x:v>
      </x:c>
      <x:c r="F14" s="87" t="n">
        <x:f>IF('Datos_fuente'!E14="","",LN('Datos_fuente'!E14))</x:f>
        <x:v>8.219757035520173</x:v>
      </x:c>
      <x:c r="G14" s="87" t="n">
        <x:f>IF(OR(F14="",F13=""),"",F14-F13)</x:f>
        <x:v>0.009423299357978365</x:v>
      </x:c>
      <x:c r="H14" s="55" t="n">
        <x:f>'Datos_fuente'!H14</x:f>
        <x:v>1.330645161</x:v>
      </x:c>
      <x:c r="I14" s="55" t="n">
        <x:f>IF(OR(H14="",H13=""),"",H14-H13)</x:f>
        <x:v>0.07064516100000007</x:v>
      </x:c>
      <x:c r="J14" s="55" t="n">
        <x:f>'Datos_fuente'!J14</x:f>
        <x:v>3.885340436</x:v>
      </x:c>
      <x:c r="K14" s="55" t="n">
        <x:f>IF(OR(J14="",J13=""),"",J14-J13)</x:f>
        <x:v>0.018567511000000092</x:v>
      </x:c>
      <x:c r="L14" s="87" t="n">
        <x:f>IF('Datos_fuente'!K14="","",LN('Datos_fuente'!K14))</x:f>
        <x:v>4.582042441857144</x:v>
      </x:c>
      <x:c r="M14" s="87" t="n">
        <x:f>IF(OR(L14="",L13=""),"",L14-L13)</x:f>
        <x:v>-0.007391722731169281</x:v>
      </x:c>
      <x:c r="N14" s="87" t="n">
        <x:f>IF('Datos_fuente'!L14="","",LN('Datos_fuente'!L14))</x:f>
        <x:v>2.5916466482717224</x:v>
      </x:c>
      <x:c r="O14" s="87" t="n">
        <x:f>IF(OR(N14="",N13=""),"",N14-N13)</x:f>
        <x:v>-0.13790408427649004</x:v>
      </x:c>
      <x:c r="P14" s="82" t="n">
        <x:f>'Datos_fuente'!N14</x:f>
        <x:v>0</x:v>
      </x:c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>
      <x:c r="A15" s="1" t="str">
        <x:f>'Datos_fuente'!A15</x:f>
        <x:v>2006-09</x:v>
      </x:c>
      <x:c r="B15" s="87" t="n">
        <x:f>IF('Datos_fuente'!B15="","",LN('Datos_fuente'!B15))</x:f>
        <x:v>7.7826858161156105</x:v>
      </x:c>
      <x:c r="C15" s="87" t="n">
        <x:f>IF(OR(B15="",B14=""),"",B15-B14)</x:f>
        <x:v>0.004062555376928678</x:v>
      </x:c>
      <x:c r="D15" s="87" t="n">
        <x:f>IF('Datos_fuente'!C15="","",LN('Datos_fuente'!C15))</x:f>
        <x:v>4.126465958956205</x:v>
      </x:c>
      <x:c r="E15" s="87" t="n">
        <x:f>IF(OR(D15="",D14=""),"",D15-D14)</x:f>
        <x:v>-0.16714515128336238</x:v>
      </x:c>
      <x:c r="F15" s="87" t="n">
        <x:f>IF('Datos_fuente'!E15="","",LN('Datos_fuente'!E15))</x:f>
        <x:v>8.229225744915823</x:v>
      </x:c>
      <x:c r="G15" s="87" t="n">
        <x:f>IF(OR(F15="",F14=""),"",F15-F14)</x:f>
        <x:v>0.00946870939564981</x:v>
      </x:c>
      <x:c r="H15" s="55" t="n">
        <x:f>'Datos_fuente'!H15</x:f>
        <x:v>1.5</x:v>
      </x:c>
      <x:c r="I15" s="55" t="n">
        <x:f>IF(OR(H15="",H14=""),"",H15-H14)</x:f>
        <x:v>0.16935483899999992</x:v>
      </x:c>
      <x:c r="J15" s="55" t="n">
        <x:f>'Datos_fuente'!J15</x:f>
        <x:v>3.654184295</x:v>
      </x:c>
      <x:c r="K15" s="55" t="n">
        <x:f>IF(OR(J15="",J14=""),"",J15-J14)</x:f>
        <x:v>-0.23115614100000004</x:v>
      </x:c>
      <x:c r="L15" s="87" t="n">
        <x:f>IF('Datos_fuente'!K15="","",LN('Datos_fuente'!K15))</x:f>
        <x:v>4.584777275889292</x:v>
      </x:c>
      <x:c r="M15" s="87" t="n">
        <x:f>IF(OR(L15="",L14=""),"",L15-L14)</x:f>
        <x:v>0.0027348340321475817</x:v>
      </x:c>
      <x:c r="N15" s="87" t="n">
        <x:f>IF('Datos_fuente'!L15="","",LN('Datos_fuente'!L15))</x:f>
        <x:v>2.500164652176981</x:v>
      </x:c>
      <x:c r="O15" s="87" t="n">
        <x:f>IF(OR(N15="",N14=""),"",N15-N14)</x:f>
        <x:v>-0.09148199609474128</x:v>
      </x:c>
      <x:c r="P15" s="82" t="n">
        <x:f>'Datos_fuente'!N15</x:f>
        <x:v>0</x:v>
      </x:c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>
      <x:c r="A16" s="1" t="str">
        <x:f>'Datos_fuente'!A16</x:f>
        <x:v>2006-10</x:v>
      </x:c>
      <x:c r="B16" s="87" t="n">
        <x:f>IF('Datos_fuente'!B16="","",LN('Datos_fuente'!B16))</x:f>
        <x:v>7.767177816922001</x:v>
      </x:c>
      <x:c r="C16" s="87" t="n">
        <x:f>IF(OR(B16="",B15=""),"",B16-B15)</x:f>
        <x:v>-0.015507999193609123</x:v>
      </x:c>
      <x:c r="D16" s="87" t="n">
        <x:f>IF('Datos_fuente'!C16="","",LN('Datos_fuente'!C16))</x:f>
        <x:v>4.057130319639751</x:v>
      </x:c>
      <x:c r="E16" s="87" t="n">
        <x:f>IF(OR(D16="",D15=""),"",D16-D15)</x:f>
        <x:v>-0.0693356393164537</x:v>
      </x:c>
      <x:c r="F16" s="87" t="n">
        <x:f>IF('Datos_fuente'!E16="","",LN('Datos_fuente'!E16))</x:f>
        <x:v>8.241442324872372</x:v>
      </x:c>
      <x:c r="G16" s="87" t="n">
        <x:f>IF(OR(F16="",F15=""),"",F16-F15)</x:f>
        <x:v>0.012216579956549012</x:v>
      </x:c>
      <x:c r="H16" s="55" t="n">
        <x:f>'Datos_fuente'!H16</x:f>
        <x:v>1.758064516</x:v>
      </x:c>
      <x:c r="I16" s="55" t="n">
        <x:f>IF(OR(H16="",H15=""),"",H16-H15)</x:f>
        <x:v>0.2580645159999999</x:v>
      </x:c>
      <x:c r="J16" s="55" t="n">
        <x:f>'Datos_fuente'!J16</x:f>
        <x:v>3.895828134</x:v>
      </x:c>
      <x:c r="K16" s="55" t="n">
        <x:f>IF(OR(J16="",J15=""),"",J16-J15)</x:f>
        <x:v>0.24164383899999997</x:v>
      </x:c>
      <x:c r="L16" s="87" t="n">
        <x:f>IF('Datos_fuente'!K16="","",LN('Datos_fuente'!K16))</x:f>
        <x:v>4.588183267271299</x:v>
      </x:c>
      <x:c r="M16" s="87" t="n">
        <x:f>IF(OR(L16="",L15=""),"",L16-L15)</x:f>
        <x:v>0.0034059913820074783</x:v>
      </x:c>
      <x:c r="N16" s="87" t="n">
        <x:f>IF('Datos_fuente'!L16="","",LN('Datos_fuente'!L16))</x:f>
        <x:v>2.4253657211889</x:v>
      </x:c>
      <x:c r="O16" s="87" t="n">
        <x:f>IF(OR(N16="",N15=""),"",N16-N15)</x:f>
        <x:v>-0.07479893098808121</x:v>
      </x:c>
      <x:c r="P16" s="82" t="n">
        <x:f>'Datos_fuente'!N16</x:f>
        <x:v>0</x:v>
      </x:c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>
      <x:c r="A17" s="1" t="str">
        <x:f>'Datos_fuente'!A17</x:f>
        <x:v>2006-11</x:v>
      </x:c>
      <x:c r="B17" s="87" t="n">
        <x:f>IF('Datos_fuente'!B17="","",LN('Datos_fuente'!B17))</x:f>
        <x:v>7.73649834463475</x:v>
      </x:c>
      <x:c r="C17" s="87" t="n">
        <x:f>IF(OR(B17="",B16=""),"",B17-B16)</x:f>
        <x:v>-0.030679472287251208</x:v>
      </x:c>
      <x:c r="D17" s="87" t="n">
        <x:f>IF('Datos_fuente'!C17="","",LN('Datos_fuente'!C17))</x:f>
        <x:v>4.073484557979898</x:v>
      </x:c>
      <x:c r="E17" s="87" t="n">
        <x:f>IF(OR(D17="",D16=""),"",D17-D16)</x:f>
        <x:v>0.016354238340147376</x:v>
      </x:c>
      <x:c r="F17" s="87" t="n">
        <x:f>IF('Datos_fuente'!E17="","",LN('Datos_fuente'!E17))</x:f>
        <x:v>8.251567413993028</x:v>
      </x:c>
      <x:c r="G17" s="87" t="n">
        <x:f>IF(OR(F17="",F16=""),"",F17-F16)</x:f>
        <x:v>0.010125089120656128</x:v>
      </x:c>
      <x:c r="H17" s="55" t="n">
        <x:f>'Datos_fuente'!H17</x:f>
        <x:v>2</x:v>
      </x:c>
      <x:c r="I17" s="55" t="n">
        <x:f>IF(OR(H17="",H16=""),"",H17-H16)</x:f>
        <x:v>0.2419354840000001</x:v>
      </x:c>
      <x:c r="J17" s="55" t="n">
        <x:f>'Datos_fuente'!J17</x:f>
        <x:v>3.504711191</x:v>
      </x:c>
      <x:c r="K17" s="55" t="n">
        <x:f>IF(OR(J17="",J16=""),"",J17-J16)</x:f>
        <x:v>-0.39111694299999966</x:v>
      </x:c>
      <x:c r="L17" s="87" t="n">
        <x:f>IF('Datos_fuente'!K17="","",LN('Datos_fuente'!K17))</x:f>
        <x:v>4.579988592521055</x:v>
      </x:c>
      <x:c r="M17" s="87" t="n">
        <x:f>IF(OR(L17="",L16=""),"",L17-L16)</x:f>
        <x:v>-0.008194674750244602</x:v>
      </x:c>
      <x:c r="N17" s="87" t="n">
        <x:f>IF('Datos_fuente'!L17="","",LN('Datos_fuente'!L17))</x:f>
        <x:v>2.3811761983718056</x:v>
      </x:c>
      <x:c r="O17" s="87" t="n">
        <x:f>IF(OR(N17="",N16=""),"",N17-N16)</x:f>
        <x:v>-0.04418952281709432</x:v>
      </x:c>
      <x:c r="P17" s="82" t="n">
        <x:f>'Datos_fuente'!N17</x:f>
        <x:v>0</x:v>
      </x:c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>
      <x:c r="A18" s="1" t="str">
        <x:f>'Datos_fuente'!A18</x:f>
        <x:v>2006-12</x:v>
      </x:c>
      <x:c r="B18" s="87" t="n">
        <x:f>IF('Datos_fuente'!B18="","",LN('Datos_fuente'!B18))</x:f>
        <x:v>7.723432204616151</x:v>
      </x:c>
      <x:c r="C18" s="87" t="n">
        <x:f>IF(OR(B18="",B17=""),"",B18-B17)</x:f>
        <x:v>-0.013066140018598738</x:v>
      </x:c>
      <x:c r="D18" s="87" t="n">
        <x:f>IF('Datos_fuente'!C18="","",LN('Datos_fuente'!C18))</x:f>
        <x:v>4.134720141273796</x:v>
      </x:c>
      <x:c r="E18" s="87" t="n">
        <x:f>IF(OR(D18="",D17=""),"",D18-D17)</x:f>
        <x:v>0.061235583293897555</x:v>
      </x:c>
      <x:c r="F18" s="87" t="n">
        <x:f>IF('Datos_fuente'!E18="","",LN('Datos_fuente'!E18))</x:f>
        <x:v>8.258665956127949</x:v>
      </x:c>
      <x:c r="G18" s="87" t="n">
        <x:f>IF(OR(F18="",F17=""),"",F18-F17)</x:f>
        <x:v>0.007098542134921004</x:v>
      </x:c>
      <x:c r="H18" s="55" t="n">
        <x:f>'Datos_fuente'!H18</x:f>
        <x:v>2.122903226</x:v>
      </x:c>
      <x:c r="I18" s="55" t="n">
        <x:f>IF(OR(H18="",H17=""),"",H18-H17)</x:f>
        <x:v>0.12290322600000003</x:v>
      </x:c>
      <x:c r="J18" s="55" t="n">
        <x:f>'Datos_fuente'!J18</x:f>
        <x:v>3.425526113</x:v>
      </x:c>
      <x:c r="K18" s="55" t="n">
        <x:f>IF(OR(J18="",J17=""),"",J18-J17)</x:f>
        <x:v>-0.07918507800000008</x:v>
      </x:c>
      <x:c r="L18" s="87" t="n">
        <x:f>IF('Datos_fuente'!K18="","",LN('Datos_fuente'!K18))</x:f>
        <x:v>4.572596078006981</x:v>
      </x:c>
      <x:c r="M18" s="87" t="n">
        <x:f>IF(OR(L18="",L17=""),"",L18-L17)</x:f>
        <x:v>-0.007392514514073412</x:v>
      </x:c>
      <x:c r="N18" s="87" t="n">
        <x:f>IF('Datos_fuente'!L18="","",LN('Datos_fuente'!L18))</x:f>
        <x:v>2.3946627811949535</x:v>
      </x:c>
      <x:c r="O18" s="87" t="n">
        <x:f>IF(OR(N18="",N17=""),"",N18-N17)</x:f>
        <x:v>0.013486582823147852</x:v>
      </x:c>
      <x:c r="P18" s="82" t="n">
        <x:f>'Datos_fuente'!N18</x:f>
        <x:v>0</x:v>
      </x:c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>
      <x:c r="A19" s="1" t="str">
        <x:f>'Datos_fuente'!A19</x:f>
        <x:v>2007-01</x:v>
      </x:c>
      <x:c r="B19" s="87" t="n">
        <x:f>IF('Datos_fuente'!B19="","",LN('Datos_fuente'!B19))</x:f>
        <x:v>7.712534285461438</x:v>
      </x:c>
      <x:c r="C19" s="87" t="n">
        <x:f>IF(OR(B19="",B18=""),"",B19-B18)</x:f>
        <x:v>-0.010897919154713165</x:v>
      </x:c>
      <x:c r="D19" s="87" t="n">
        <x:f>IF('Datos_fuente'!C19="","",LN('Datos_fuente'!C19))</x:f>
        <x:v>3.9830671050142326</x:v>
      </x:c>
      <x:c r="E19" s="87" t="n">
        <x:f>IF(OR(D19="",D18=""),"",D19-D18)</x:f>
        <x:v>-0.1516530362595634</x:v>
      </x:c>
      <x:c r="F19" s="87" t="n">
        <x:f>IF('Datos_fuente'!E19="","",LN('Datos_fuente'!E19))</x:f>
        <x:v>8.268562587027365</x:v>
      </x:c>
      <x:c r="G19" s="87" t="n">
        <x:f>IF(OR(F19="",F18=""),"",F19-F18)</x:f>
        <x:v>0.009896630899415726</x:v>
      </x:c>
      <x:c r="H19" s="55" t="n">
        <x:f>'Datos_fuente'!H19</x:f>
        <x:v>2.274193548</x:v>
      </x:c>
      <x:c r="I19" s="55" t="n">
        <x:f>IF(OR(H19="",H18=""),"",H19-H18)</x:f>
        <x:v>0.15129032199999992</x:v>
      </x:c>
      <x:c r="J19" s="55" t="n">
        <x:f>'Datos_fuente'!J19</x:f>
        <x:v>2.726369078</x:v>
      </x:c>
      <x:c r="K19" s="55" t="n">
        <x:f>IF(OR(J19="",J18=""),"",J19-J18)</x:f>
        <x:v>-0.6991570350000003</x:v>
      </x:c>
      <x:c r="L19" s="87" t="n">
        <x:f>IF('Datos_fuente'!K19="","",LN('Datos_fuente'!K19))</x:f>
        <x:v>4.583269888272881</x:v>
      </x:c>
      <x:c r="M19" s="87" t="n">
        <x:f>IF(OR(L19="",L18=""),"",L19-L18)</x:f>
        <x:v>0.01067381026589942</x:v>
      </x:c>
      <x:c r="N19" s="87" t="n">
        <x:f>IF('Datos_fuente'!L19="","",LN('Datos_fuente'!L19))</x:f>
        <x:v>2.4017514644885445</x:v>
      </x:c>
      <x:c r="O19" s="87" t="n">
        <x:f>IF(OR(N19="",N18=""),"",N19-N18)</x:f>
        <x:v>0.007088683293591025</x:v>
      </x:c>
      <x:c r="P19" s="82" t="n">
        <x:f>'Datos_fuente'!N19</x:f>
        <x:v>0</x:v>
      </x:c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>
      <x:c r="A20" s="1" t="str">
        <x:f>'Datos_fuente'!A20</x:f>
        <x:v>2007-02</x:v>
      </x:c>
      <x:c r="B20" s="87" t="n">
        <x:f>IF('Datos_fuente'!B20="","",LN('Datos_fuente'!B20))</x:f>
        <x:v>7.70866642395162</x:v>
      </x:c>
      <x:c r="C20" s="87" t="n">
        <x:f>IF(OR(B20="",B19=""),"",B20-B19)</x:f>
        <x:v>-0.0038678615098186597</x:v>
      </x:c>
      <x:c r="D20" s="87" t="n">
        <x:f>IF('Datos_fuente'!C20="","",LN('Datos_fuente'!C20))</x:f>
        <x:v>4.052754729065584</x:v>
      </x:c>
      <x:c r="E20" s="87" t="n">
        <x:f>IF(OR(D20="",D19=""),"",D20-D19)</x:f>
        <x:v>0.06968762405135154</x:v>
      </x:c>
      <x:c r="F20" s="87" t="n">
        <x:f>IF('Datos_fuente'!E20="","",LN('Datos_fuente'!E20))</x:f>
        <x:v>8.27755433757283</x:v>
      </x:c>
      <x:c r="G20" s="87" t="n">
        <x:f>IF(OR(F20="",F19=""),"",F20-F19)</x:f>
        <x:v>0.008991750545465749</x:v>
      </x:c>
      <x:c r="H20" s="55" t="n">
        <x:f>'Datos_fuente'!H20</x:f>
        <x:v>2.516785714</x:v>
      </x:c>
      <x:c r="I20" s="55" t="n">
        <x:f>IF(OR(H20="",H19=""),"",H20-H19)</x:f>
        <x:v>0.2425921660000001</x:v>
      </x:c>
      <x:c r="J20" s="55" t="n">
        <x:f>'Datos_fuente'!J20</x:f>
        <x:v>2.727114411</x:v>
      </x:c>
      <x:c r="K20" s="55" t="n">
        <x:f>IF(OR(J20="",J19=""),"",J20-J19)</x:f>
        <x:v>0.0007453330000002367</x:v>
      </x:c>
      <x:c r="L20" s="87" t="n">
        <x:f>IF('Datos_fuente'!K20="","",LN('Datos_fuente'!K20))</x:f>
        <x:v>4.579610553894914</x:v>
      </x:c>
      <x:c r="M20" s="87" t="n">
        <x:f>IF(OR(L20="",L19=""),"",L20-L19)</x:f>
        <x:v>-0.0036593343779669496</x:v>
      </x:c>
      <x:c r="N20" s="87" t="n">
        <x:f>IF('Datos_fuente'!L20="","",LN('Datos_fuente'!L20))</x:f>
        <x:v>2.4119114188209294</x:v>
      </x:c>
      <x:c r="O20" s="87" t="n">
        <x:f>IF(OR(N20="",N19=""),"",N20-N19)</x:f>
        <x:v>0.010159954332384924</x:v>
      </x:c>
      <x:c r="P20" s="82" t="n">
        <x:f>'Datos_fuente'!N20</x:f>
        <x:v>0</x:v>
      </x:c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>
      <x:c r="A21" s="1" t="str">
        <x:f>'Datos_fuente'!A21</x:f>
        <x:v>2007-03</x:v>
      </x:c>
      <x:c r="B21" s="87" t="n">
        <x:f>IF('Datos_fuente'!B21="","",LN('Datos_fuente'!B21))</x:f>
        <x:v>7.697504766009263</x:v>
      </x:c>
      <x:c r="C21" s="87" t="n">
        <x:f>IF(OR(B21="",B20=""),"",B21-B20)</x:f>
        <x:v>-0.011161657942357017</x:v>
      </x:c>
      <x:c r="D21" s="87" t="n">
        <x:f>IF('Datos_fuente'!C21="","",LN('Datos_fuente'!C21))</x:f>
        <x:v>4.1279478371677</x:v>
      </x:c>
      <x:c r="E21" s="87" t="n">
        <x:f>IF(OR(D21="",D20=""),"",D21-D20)</x:f>
        <x:v>0.07519310810211621</x:v>
      </x:c>
      <x:c r="F21" s="87" t="n">
        <x:f>IF('Datos_fuente'!E21="","",LN('Datos_fuente'!E21))</x:f>
        <x:v>8.28125058047132</x:v>
      </x:c>
      <x:c r="G21" s="87" t="n">
        <x:f>IF(OR(F21="",F20=""),"",F21-F20)</x:f>
        <x:v>0.003696242898490354</x:v>
      </x:c>
      <x:c r="H21" s="55" t="n">
        <x:f>'Datos_fuente'!H21</x:f>
        <x:v>2.788387097</x:v>
      </x:c>
      <x:c r="I21" s="55" t="n">
        <x:f>IF(OR(H21="",H20=""),"",H21-H20)</x:f>
        <x:v>0.27160138300000014</x:v>
      </x:c>
      <x:c r="J21" s="55" t="n">
        <x:f>'Datos_fuente'!J21</x:f>
        <x:v>2.890076276</x:v>
      </x:c>
      <x:c r="K21" s="55" t="n">
        <x:f>IF(OR(J21="",J20=""),"",J21-J20)</x:f>
        <x:v>0.16296186499999976</x:v>
      </x:c>
      <x:c r="L21" s="87" t="n">
        <x:f>IF('Datos_fuente'!K21="","",LN('Datos_fuente'!K21))</x:f>
        <x:v>4.574832152089402</x:v>
      </x:c>
      <x:c r="M21" s="87" t="n">
        <x:f>IF(OR(L21="",L20=""),"",L21-L20)</x:f>
        <x:v>-0.0047784018055114785</x:v>
      </x:c>
      <x:c r="N21" s="87" t="n">
        <x:f>IF('Datos_fuente'!L21="","",LN('Datos_fuente'!L21))</x:f>
        <x:v>2.7188402631108444</x:v>
      </x:c>
      <x:c r="O21" s="87" t="n">
        <x:f>IF(OR(N21="",N20=""),"",N21-N20)</x:f>
        <x:v>0.30692884428991496</x:v>
      </x:c>
      <x:c r="P21" s="82" t="n">
        <x:f>'Datos_fuente'!N21</x:f>
        <x:v>0</x:v>
      </x:c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>
      <x:c r="A22" s="1" t="str">
        <x:f>'Datos_fuente'!A22</x:f>
        <x:v>2007-04</x:v>
      </x:c>
      <x:c r="B22" s="87" t="n">
        <x:f>IF('Datos_fuente'!B22="","",LN('Datos_fuente'!B22))</x:f>
        <x:v>7.670848521198909</x:v>
      </x:c>
      <x:c r="C22" s="87" t="n">
        <x:f>IF(OR(B22="",B21=""),"",B22-B21)</x:f>
        <x:v>-0.026656244810353336</x:v>
      </x:c>
      <x:c r="D22" s="87" t="n">
        <x:f>IF('Datos_fuente'!C22="","",LN('Datos_fuente'!C22))</x:f>
        <x:v>4.2119170493443265</x:v>
      </x:c>
      <x:c r="E22" s="87" t="n">
        <x:f>IF(OR(D22="",D21=""),"",D22-D21)</x:f>
        <x:v>0.08396921217662623</x:v>
      </x:c>
      <x:c r="F22" s="87" t="n">
        <x:f>IF('Datos_fuente'!E22="","",LN('Datos_fuente'!E22))</x:f>
        <x:v>8.289943722346532</x:v>
      </x:c>
      <x:c r="G22" s="87" t="n">
        <x:f>IF(OR(F22="",F21=""),"",F22-F21)</x:f>
        <x:v>0.008693141875211197</x:v>
      </x:c>
      <x:c r="H22" s="55" t="n">
        <x:f>'Datos_fuente'!H22</x:f>
        <x:v>3</x:v>
      </x:c>
      <x:c r="I22" s="55" t="n">
        <x:f>IF(OR(H22="",H21=""),"",H22-H21)</x:f>
        <x:v>0.2116129029999998</x:v>
      </x:c>
      <x:c r="J22" s="55" t="n">
        <x:f>'Datos_fuente'!J22</x:f>
        <x:v>2.647914181</x:v>
      </x:c>
      <x:c r="K22" s="55" t="n">
        <x:f>IF(OR(J22="",J21=""),"",J22-J21)</x:f>
        <x:v>-0.24216209499999986</x:v>
      </x:c>
      <x:c r="L22" s="87" t="n">
        <x:f>IF('Datos_fuente'!K22="","",LN('Datos_fuente'!K22))</x:f>
        <x:v>4.560509583429887</x:v>
      </x:c>
      <x:c r="M22" s="87" t="n">
        <x:f>IF(OR(L22="",L21=""),"",L22-L21)</x:f>
        <x:v>-0.014322568659514978</x:v>
      </x:c>
      <x:c r="N22" s="87" t="n">
        <x:f>IF('Datos_fuente'!L22="","",LN('Datos_fuente'!L22))</x:f>
        <x:v>2.5597821844331072</x:v>
      </x:c>
      <x:c r="O22" s="87" t="n">
        <x:f>IF(OR(N22="",N21=""),"",N22-N21)</x:f>
        <x:v>-0.15905807867773714</x:v>
      </x:c>
      <x:c r="P22" s="82" t="n">
        <x:f>'Datos_fuente'!N22</x:f>
        <x:v>0</x:v>
      </x:c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>
      <x:c r="A23" s="1" t="str">
        <x:f>'Datos_fuente'!A23</x:f>
        <x:v>2007-05</x:v>
      </x:c>
      <x:c r="B23" s="87" t="n">
        <x:f>IF('Datos_fuente'!B23="","",LN('Datos_fuente'!B23))</x:f>
        <x:v>7.605599154781346</x:v>
      </x:c>
      <x:c r="C23" s="87" t="n">
        <x:f>IF(OR(B23="",B22=""),"",B23-B22)</x:f>
        <x:v>-0.06524936641756351</x:v>
      </x:c>
      <x:c r="D23" s="87" t="n">
        <x:f>IF('Datos_fuente'!C23="","",LN('Datos_fuente'!C23))</x:f>
        <x:v>4.207855860765006</x:v>
      </x:c>
      <x:c r="E23" s="87" t="n">
        <x:f>IF(OR(D23="",D22=""),"",D23-D22)</x:f>
        <x:v>-0.004061188579320252</x:v>
      </x:c>
      <x:c r="F23" s="87" t="n">
        <x:f>IF('Datos_fuente'!E23="","",LN('Datos_fuente'!E23))</x:f>
        <x:v>8.283117602532469</x:v>
      </x:c>
      <x:c r="G23" s="87" t="n">
        <x:f>IF(OR(F23="",F22=""),"",F23-F22)</x:f>
        <x:v>-0.006826119814062892</x:v>
      </x:c>
      <x:c r="H23" s="55" t="n">
        <x:f>'Datos_fuente'!H23</x:f>
        <x:v>3.322580645</x:v>
      </x:c>
      <x:c r="I23" s="55" t="n">
        <x:f>IF(OR(H23="",H22=""),"",H23-H22)</x:f>
        <x:v>0.32258064499999994</x:v>
      </x:c>
      <x:c r="J23" s="55" t="n">
        <x:f>'Datos_fuente'!J23</x:f>
        <x:v>2.069261745</x:v>
      </x:c>
      <x:c r="K23" s="55" t="n">
        <x:f>IF(OR(J23="",J22=""),"",J23-J22)</x:f>
        <x:v>-0.578652436</x:v>
      </x:c>
      <x:c r="L23" s="87" t="n">
        <x:f>IF('Datos_fuente'!K23="","",LN('Datos_fuente'!K23))</x:f>
        <x:v>4.5509520693170105</x:v>
      </x:c>
      <x:c r="M23" s="87" t="n">
        <x:f>IF(OR(L23="",L22=""),"",L23-L22)</x:f>
        <x:v>-0.009557514112876753</x:v>
      </x:c>
      <x:c r="N23" s="87" t="n">
        <x:f>IF('Datos_fuente'!L23="","",LN('Datos_fuente'!L23))</x:f>
        <x:v>2.587593138670836</x:v>
      </x:c>
      <x:c r="O23" s="87" t="n">
        <x:f>IF(OR(N23="",N22=""),"",N23-N22)</x:f>
        <x:v>0.027810954237728946</x:v>
      </x:c>
      <x:c r="P23" s="82" t="n">
        <x:f>'Datos_fuente'!N23</x:f>
        <x:v>0</x:v>
      </x:c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>
      <x:c r="A24" s="1" t="str">
        <x:f>'Datos_fuente'!A24</x:f>
        <x:v>2007-06</x:v>
      </x:c>
      <x:c r="B24" s="87" t="n">
        <x:f>IF('Datos_fuente'!B24="","",LN('Datos_fuente'!B24))</x:f>
        <x:v>7.561919571266223</x:v>
      </x:c>
      <x:c r="C24" s="87" t="n">
        <x:f>IF(OR(B24="",B23=""),"",B24-B23)</x:f>
        <x:v>-0.043679583515122467</x:v>
      </x:c>
      <x:c r="D24" s="87" t="n">
        <x:f>IF('Datos_fuente'!C24="","",LN('Datos_fuente'!C24))</x:f>
        <x:v>4.263323533089747</x:v>
      </x:c>
      <x:c r="E24" s="87" t="n">
        <x:f>IF(OR(D24="",D23=""),"",D24-D23)</x:f>
        <x:v>0.055467672324740924</x:v>
      </x:c>
      <x:c r="F24" s="87" t="n">
        <x:f>IF('Datos_fuente'!E24="","",LN('Datos_fuente'!E24))</x:f>
        <x:v>8.281240451606841</x:v>
      </x:c>
      <x:c r="G24" s="87" t="n">
        <x:f>IF(OR(F24="",F23=""),"",F24-F23)</x:f>
        <x:v>-0.0018771509256279018</x:v>
      </x:c>
      <x:c r="H24" s="55" t="n">
        <x:f>'Datos_fuente'!H24</x:f>
        <x:v>3.6</x:v>
      </x:c>
      <x:c r="I24" s="55" t="n">
        <x:f>IF(OR(H24="",H23=""),"",H24-H23)</x:f>
        <x:v>0.27741935500000015</x:v>
      </x:c>
      <x:c r="J24" s="55" t="n">
        <x:f>'Datos_fuente'!J24</x:f>
        <x:v>2.290703207</x:v>
      </x:c>
      <x:c r="K24" s="55" t="n">
        <x:f>IF(OR(J24="",J23=""),"",J24-J23)</x:f>
        <x:v>0.22144146200000003</x:v>
      </x:c>
      <x:c r="L24" s="87" t="n">
        <x:f>IF('Datos_fuente'!K24="","",LN('Datos_fuente'!K24))</x:f>
        <x:v>4.54801669646543</x:v>
      </x:c>
      <x:c r="M24" s="87" t="n">
        <x:f>IF(OR(L24="",L23=""),"",L24-L23)</x:f>
        <x:v>-0.002935372851580631</x:v>
      </x:c>
      <x:c r="N24" s="87" t="n">
        <x:f>IF('Datos_fuente'!L24="","",LN('Datos_fuente'!L24))</x:f>
        <x:v>2.7045520262837712</x:v>
      </x:c>
      <x:c r="O24" s="87" t="n">
        <x:f>IF(OR(N24="",N23=""),"",N24-N23)</x:f>
        <x:v>0.11695888761293505</x:v>
      </x:c>
      <x:c r="P24" s="82" t="n">
        <x:f>'Datos_fuente'!N24</x:f>
        <x:v>0</x:v>
      </x:c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>
      <x:c r="A25" s="1" t="str">
        <x:f>'Datos_fuente'!A25</x:f>
        <x:v>2007-07</x:v>
      </x:c>
      <x:c r="B25" s="87" t="n">
        <x:f>IF('Datos_fuente'!B25="","",LN('Datos_fuente'!B25))</x:f>
        <x:v>7.576529614170724</x:v>
      </x:c>
      <x:c r="C25" s="87" t="n">
        <x:f>IF(OR(B25="",B24=""),"",B25-B24)</x:f>
        <x:v>0.01461004290450063</x:v>
      </x:c>
      <x:c r="D25" s="87" t="n">
        <x:f>IF('Datos_fuente'!C25="","",LN('Datos_fuente'!C25))</x:f>
        <x:v>4.342895917470844</x:v>
      </x:c>
      <x:c r="E25" s="87" t="n">
        <x:f>IF(OR(D25="",D24=""),"",D25-D24)</x:f>
        <x:v>0.07957238438109648</x:v>
      </x:c>
      <x:c r="F25" s="87" t="n">
        <x:f>IF('Datos_fuente'!E25="","",LN('Datos_fuente'!E25))</x:f>
        <x:v>8.295046642929496</x:v>
      </x:c>
      <x:c r="G25" s="87" t="n">
        <x:f>IF(OR(F25="",F24=""),"",F25-F24)</x:f>
        <x:v>0.013806191322654371</x:v>
      </x:c>
      <x:c r="H25" s="55" t="n">
        <x:f>'Datos_fuente'!H25</x:f>
        <x:v>3.756129032</x:v>
      </x:c>
      <x:c r="I25" s="55" t="n">
        <x:f>IF(OR(H25="",H24=""),"",H25-H24)</x:f>
        <x:v>0.15612903199999995</x:v>
      </x:c>
      <x:c r="J25" s="55" t="n">
        <x:f>'Datos_fuente'!J25</x:f>
        <x:v>2.523620514</x:v>
      </x:c>
      <x:c r="K25" s="55" t="n">
        <x:f>IF(OR(J25="",J24=""),"",J25-J24)</x:f>
        <x:v>0.23291730700000013</x:v>
      </x:c>
      <x:c r="L25" s="87" t="n">
        <x:f>IF('Datos_fuente'!K25="","",LN('Datos_fuente'!K25))</x:f>
        <x:v>4.534811170751572</x:v>
      </x:c>
      <x:c r="M25" s="87" t="n">
        <x:f>IF(OR(L25="",L24=""),"",L25-L24)</x:f>
        <x:v>-0.013205525713857469</x:v>
      </x:c>
      <x:c r="N25" s="87" t="n">
        <x:f>IF('Datos_fuente'!L25="","",LN('Datos_fuente'!L25))</x:f>
        <x:v>2.8491638862728785</x:v>
      </x:c>
      <x:c r="O25" s="87" t="n">
        <x:f>IF(OR(N25="",N24=""),"",N25-N24)</x:f>
        <x:v>0.1446118599891073</x:v>
      </x:c>
      <x:c r="P25" s="82" t="n">
        <x:f>'Datos_fuente'!N25</x:f>
        <x:v>0</x:v>
      </x:c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>
      <x:c r="A26" s="1" t="str">
        <x:f>'Datos_fuente'!A26</x:f>
        <x:v>2007-08</x:v>
      </x:c>
      <x:c r="B26" s="87" t="n">
        <x:f>IF('Datos_fuente'!B26="","",LN('Datos_fuente'!B26))</x:f>
        <x:v>7.628559830937357</x:v>
      </x:c>
      <x:c r="C26" s="87" t="n">
        <x:f>IF(OR(B26="",B25=""),"",B26-B25)</x:f>
        <x:v>0.05203021676663333</x:v>
      </x:c>
      <x:c r="D26" s="87" t="n">
        <x:f>IF('Datos_fuente'!C26="","",LN('Datos_fuente'!C26))</x:f>
        <x:v>4.259306158221163</x:v>
      </x:c>
      <x:c r="E26" s="87" t="n">
        <x:f>IF(OR(D26="",D25=""),"",D26-D25)</x:f>
        <x:v>-0.08358975924968082</x:v>
      </x:c>
      <x:c r="F26" s="87" t="n">
        <x:f>IF('Datos_fuente'!E26="","",LN('Datos_fuente'!E26))</x:f>
        <x:v>8.31434234336979</x:v>
      </x:c>
      <x:c r="G26" s="87" t="n">
        <x:f>IF(OR(F26="",F25=""),"",F26-F25)</x:f>
        <x:v>0.019295700440293828</x:v>
      </x:c>
      <x:c r="H26" s="55" t="n">
        <x:f>'Datos_fuente'!H26</x:f>
        <x:v>4.23</x:v>
      </x:c>
      <x:c r="I26" s="55" t="n">
        <x:f>IF(OR(H26="",H25=""),"",H26-H25)</x:f>
        <x:v>0.4738709680000004</x:v>
      </x:c>
      <x:c r="J26" s="55" t="n">
        <x:f>'Datos_fuente'!J26</x:f>
        <x:v>2.40454409</x:v>
      </x:c>
      <x:c r="K26" s="55" t="n">
        <x:f>IF(OR(J26="",J25=""),"",J26-J25)</x:f>
        <x:v>-0.11907642400000018</x:v>
      </x:c>
      <x:c r="L26" s="87" t="n">
        <x:f>IF('Datos_fuente'!K26="","",LN('Datos_fuente'!K26))</x:f>
        <x:v>4.540741479087383</x:v>
      </x:c>
      <x:c r="M26" s="87" t="n">
        <x:f>IF(OR(L26="",L25=""),"",L26-L25)</x:f>
        <x:v>0.00593030833581043</x:v>
      </x:c>
      <x:c r="N26" s="87" t="n">
        <x:f>IF('Datos_fuente'!L26="","",LN('Datos_fuente'!L26))</x:f>
        <x:v>3.2199187592230487</x:v>
      </x:c>
      <x:c r="O26" s="87" t="n">
        <x:f>IF(OR(N26="",N25=""),"",N26-N25)</x:f>
        <x:v>0.3707548729501702</x:v>
      </x:c>
      <x:c r="P26" s="82" t="n">
        <x:f>'Datos_fuente'!N26</x:f>
        <x:v>0</x:v>
      </x:c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>
      <x:c r="A27" s="1" t="str">
        <x:f>'Datos_fuente'!A27</x:f>
        <x:v>2007-09</x:v>
      </x:c>
      <x:c r="B27" s="87" t="n">
        <x:f>IF('Datos_fuente'!B27="","",LN('Datos_fuente'!B27))</x:f>
        <x:v>7.656038951202122</x:v>
      </x:c>
      <x:c r="C27" s="87" t="n">
        <x:f>IF(OR(B27="",B26=""),"",B27-B26)</x:f>
        <x:v>0.027479120264764845</x:v>
      </x:c>
      <x:c r="D27" s="87" t="n">
        <x:f>IF('Datos_fuente'!C27="","",LN('Datos_fuente'!C27))</x:f>
        <x:v>4.346051700845168</x:v>
      </x:c>
      <x:c r="E27" s="87" t="n">
        <x:f>IF(OR(D27="",D26=""),"",D27-D26)</x:f>
        <x:v>0.08674554262400491</x:v>
      </x:c>
      <x:c r="F27" s="87" t="n">
        <x:f>IF('Datos_fuente'!E27="","",LN('Datos_fuente'!E27))</x:f>
        <x:v>8.332885663887225</x:v>
      </x:c>
      <x:c r="G27" s="87" t="n">
        <x:f>IF(OR(F27="",F26=""),"",F27-F26)</x:f>
        <x:v>0.0185433205174359</x:v>
      </x:c>
      <x:c r="H27" s="55" t="n">
        <x:f>'Datos_fuente'!H27</x:f>
        <x:v>4.31</x:v>
      </x:c>
      <x:c r="I27" s="55" t="n">
        <x:f>IF(OR(H27="",H26=""),"",H27-H26)</x:f>
        <x:v>0.07999999999999918</x:v>
      </x:c>
      <x:c r="J27" s="55" t="n">
        <x:f>'Datos_fuente'!J27</x:f>
        <x:v>2.644848962</x:v>
      </x:c>
      <x:c r="K27" s="55" t="n">
        <x:f>IF(OR(J27="",J26=""),"",J27-J26)</x:f>
        <x:v>0.24030487200000028</x:v>
      </x:c>
      <x:c r="L27" s="87" t="n">
        <x:f>IF('Datos_fuente'!K27="","",LN('Datos_fuente'!K27))</x:f>
        <x:v>4.526522950024174</x:v>
      </x:c>
      <x:c r="M27" s="87" t="n">
        <x:f>IF(OR(L27="",L26=""),"",L27-L26)</x:f>
        <x:v>-0.014218529063208862</x:v>
      </x:c>
      <x:c r="N27" s="87" t="n">
        <x:f>IF('Datos_fuente'!L27="","",LN('Datos_fuente'!L27))</x:f>
        <x:v>3.100044871988305</x:v>
      </x:c>
      <x:c r="O27" s="87" t="n">
        <x:f>IF(OR(N27="",N26=""),"",N27-N26)</x:f>
        <x:v>-0.11987388723474357</x:v>
      </x:c>
      <x:c r="P27" s="82" t="n">
        <x:f>'Datos_fuente'!N27</x:f>
        <x:v>0</x:v>
      </x:c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>
      <x:c r="A28" s="1" t="str">
        <x:f>'Datos_fuente'!A28</x:f>
        <x:v>2007-10</x:v>
      </x:c>
      <x:c r="B28" s="87" t="n">
        <x:f>IF('Datos_fuente'!B28="","",LN('Datos_fuente'!B28))</x:f>
        <x:v>7.601445376635922</x:v>
      </x:c>
      <x:c r="C28" s="87" t="n">
        <x:f>IF(OR(B28="",B27=""),"",B28-B27)</x:f>
        <x:v>-0.05459357456620051</x:v>
      </x:c>
      <x:c r="D28" s="87" t="n">
        <x:f>IF('Datos_fuente'!C28="","",LN('Datos_fuente'!C28))</x:f>
        <x:v>4.410857016341758</x:v>
      </x:c>
      <x:c r="E28" s="87" t="n">
        <x:f>IF(OR(D28="",D27=""),"",D28-D27)</x:f>
        <x:v>0.06480531549659041</x:v>
      </x:c>
      <x:c r="F28" s="87" t="n">
        <x:f>IF('Datos_fuente'!E28="","",LN('Datos_fuente'!E28))</x:f>
        <x:v>8.355751328732524</x:v>
      </x:c>
      <x:c r="G28" s="87" t="n">
        <x:f>IF(OR(F28="",F27=""),"",F28-F27)</x:f>
        <x:v>0.022865664845298284</x:v>
      </x:c>
      <x:c r="H28" s="55" t="n">
        <x:f>'Datos_fuente'!H28</x:f>
        <x:v>4.49</x:v>
      </x:c>
      <x:c r="I28" s="55" t="n">
        <x:f>IF(OR(H28="",H27=""),"",H28-H27)</x:f>
        <x:v>0.1800000000000006</x:v>
      </x:c>
      <x:c r="J28" s="55" t="n">
        <x:f>'Datos_fuente'!J28</x:f>
        <x:v>2.714277456</x:v>
      </x:c>
      <x:c r="K28" s="55" t="n">
        <x:f>IF(OR(J28="",J27=""),"",J28-J27)</x:f>
        <x:v>0.06942849399999984</x:v>
      </x:c>
      <x:c r="L28" s="87" t="n">
        <x:f>IF('Datos_fuente'!K28="","",LN('Datos_fuente'!K28))</x:f>
        <x:v>4.504246239298841</x:v>
      </x:c>
      <x:c r="M28" s="87" t="n">
        <x:f>IF(OR(L28="",L27=""),"",L28-L27)</x:f>
        <x:v>-0.02227671072533255</x:v>
      </x:c>
      <x:c r="N28" s="87" t="n">
        <x:f>IF('Datos_fuente'!L28="","",LN('Datos_fuente'!L28))</x:f>
        <x:v>2.9505074847981176</x:v>
      </x:c>
      <x:c r="O28" s="87" t="n">
        <x:f>IF(OR(N28="",N27=""),"",N28-N27)</x:f>
        <x:v>-0.1495373871901875</x:v>
      </x:c>
      <x:c r="P28" s="82" t="n">
        <x:f>'Datos_fuente'!N28</x:f>
        <x:v>0</x:v>
      </x:c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>
      <x:c r="A29" s="1" t="str">
        <x:f>'Datos_fuente'!A29</x:f>
        <x:v>2007-11</x:v>
      </x:c>
      <x:c r="B29" s="87" t="n">
        <x:f>IF('Datos_fuente'!B29="","",LN('Datos_fuente'!B29))</x:f>
        <x:v>7.623816418094039</x:v>
      </x:c>
      <x:c r="C29" s="87" t="n">
        <x:f>IF(OR(B29="",B28=""),"",B29-B28)</x:f>
        <x:v>0.022371041458117524</x:v>
      </x:c>
      <x:c r="D29" s="87" t="n">
        <x:f>IF('Datos_fuente'!C29="","",LN('Datos_fuente'!C29))</x:f>
        <x:v>4.526281573948252</x:v>
      </x:c>
      <x:c r="E29" s="87" t="n">
        <x:f>IF(OR(D29="",D28=""),"",D29-D28)</x:f>
        <x:v>0.1154245576064934</x:v>
      </x:c>
      <x:c r="F29" s="87" t="n">
        <x:f>IF('Datos_fuente'!E29="","",LN('Datos_fuente'!E29))</x:f>
        <x:v>8.384306162573347</x:v>
      </x:c>
      <x:c r="G29" s="87" t="n">
        <x:f>IF(OR(F29="",F28=""),"",F29-F28)</x:f>
        <x:v>0.02855483384082369</x:v>
      </x:c>
      <x:c r="H29" s="55" t="n">
        <x:f>'Datos_fuente'!H29</x:f>
        <x:v>4.801666667</x:v>
      </x:c>
      <x:c r="I29" s="55" t="n">
        <x:f>IF(OR(H29="",H28=""),"",H29-H28)</x:f>
        <x:v>0.3116666669999999</x:v>
      </x:c>
      <x:c r="J29" s="55" t="n">
        <x:f>'Datos_fuente'!J29</x:f>
        <x:v>2.790847647</x:v>
      </x:c>
      <x:c r="K29" s="55" t="n">
        <x:f>IF(OR(J29="",J28=""),"",J29-J28)</x:f>
        <x:v>0.07657019100000007</x:v>
      </x:c>
      <x:c r="L29" s="87" t="n">
        <x:f>IF('Datos_fuente'!K29="","",LN('Datos_fuente'!K29))</x:f>
        <x:v>4.489231647013839</x:v>
      </x:c>
      <x:c r="M29" s="87" t="n">
        <x:f>IF(OR(L29="",L28=""),"",L29-L28)</x:f>
        <x:v>-0.015014592285002237</x:v>
      </x:c>
      <x:c r="N29" s="87" t="n">
        <x:f>IF('Datos_fuente'!L29="","",LN('Datos_fuente'!L29))</x:f>
        <x:v>3.241903870396168</x:v>
      </x:c>
      <x:c r="O29" s="87" t="n">
        <x:f>IF(OR(N29="",N28=""),"",N29-N28)</x:f>
        <x:v>0.29139638559805014</x:v>
      </x:c>
      <x:c r="P29" s="82" t="n">
        <x:f>'Datos_fuente'!N29</x:f>
        <x:v>0</x:v>
      </x:c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>
      <x:c r="A30" s="1" t="str">
        <x:f>'Datos_fuente'!A30</x:f>
        <x:v>2007-12</x:v>
      </x:c>
      <x:c r="B30" s="87" t="n">
        <x:f>IF('Datos_fuente'!B30="","",LN('Datos_fuente'!B30))</x:f>
        <x:v>7.607795903070453</x:v>
      </x:c>
      <x:c r="C30" s="87" t="n">
        <x:f>IF(OR(B30="",B29=""),"",B30-B29)</x:f>
        <x:v>-0.016020515023585702</x:v>
      </x:c>
      <x:c r="D30" s="87" t="n">
        <x:f>IF('Datos_fuente'!C30="","",LN('Datos_fuente'!C30))</x:f>
        <x:v>4.510055250332387</x:v>
      </x:c>
      <x:c r="E30" s="87" t="n">
        <x:f>IF(OR(D30="",D29=""),"",D30-D29)</x:f>
        <x:v>-0.016226323615864402</x:v>
      </x:c>
      <x:c r="F30" s="87" t="n">
        <x:f>IF('Datos_fuente'!E30="","",LN('Datos_fuente'!E30))</x:f>
        <x:v>8.396093913100508</x:v>
      </x:c>
      <x:c r="G30" s="87" t="n">
        <x:f>IF(OR(F30="",F29=""),"",F30-F29)</x:f>
        <x:v>0.011787750527160412</x:v>
      </x:c>
      <x:c r="H30" s="55" t="n">
        <x:f>'Datos_fuente'!H30</x:f>
        <x:v>5.26</x:v>
      </x:c>
      <x:c r="I30" s="55" t="n">
        <x:f>IF(OR(H30="",H29=""),"",H30-H29)</x:f>
        <x:v>0.4583333329999997</x:v>
      </x:c>
      <x:c r="J30" s="55" t="n">
        <x:f>'Datos_fuente'!J30</x:f>
        <x:v>2.710260117</x:v>
      </x:c>
      <x:c r="K30" s="55" t="n">
        <x:f>IF(OR(J30="",J29=""),"",J30-J29)</x:f>
        <x:v>-0.0805875300000003</x:v>
      </x:c>
      <x:c r="L30" s="87" t="n">
        <x:f>IF('Datos_fuente'!K30="","",LN('Datos_fuente'!K30))</x:f>
        <x:v>4.499864748146788</x:v>
      </x:c>
      <x:c r="M30" s="87" t="n">
        <x:f>IF(OR(L30="",L29=""),"",L30-L29)</x:f>
        <x:v>0.010633101132948575</x:v>
      </x:c>
      <x:c r="N30" s="87" t="n">
        <x:f>IF('Datos_fuente'!L30="","",LN('Datos_fuente'!L30))</x:f>
        <x:v>3.075051642758246</x:v>
      </x:c>
      <x:c r="O30" s="87" t="n">
        <x:f>IF(OR(N30="",N29=""),"",N30-N29)</x:f>
        <x:v>-0.16685222763792185</x:v>
      </x:c>
      <x:c r="P30" s="82" t="n">
        <x:f>'Datos_fuente'!N30</x:f>
        <x:v>0</x:v>
      </x:c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>
      <x:c r="A31" s="1" t="str">
        <x:f>'Datos_fuente'!A31</x:f>
        <x:v>2008-01</x:v>
      </x:c>
      <x:c r="B31" s="87" t="n">
        <x:f>IF('Datos_fuente'!B31="","",LN('Datos_fuente'!B31))</x:f>
        <x:v>7.592459010741661</x:v>
      </x:c>
      <x:c r="C31" s="87" t="n">
        <x:f>IF(OR(B31="",B30=""),"",B31-B30)</x:f>
        <x:v>-0.01533689232879265</x:v>
      </x:c>
      <x:c r="D31" s="87" t="n">
        <x:f>IF('Datos_fuente'!C31="","",LN('Datos_fuente'!C31))</x:f>
        <x:v>4.523722523594382</x:v>
      </x:c>
      <x:c r="E31" s="87" t="n">
        <x:f>IF(OR(D31="",D30=""),"",D31-D30)</x:f>
        <x:v>0.013667273261995128</x:v>
      </x:c>
      <x:c r="F31" s="87" t="n">
        <x:f>IF('Datos_fuente'!E31="","",LN('Datos_fuente'!E31))</x:f>
        <x:v>8.413003101653828</x:v>
      </x:c>
      <x:c r="G31" s="87" t="n">
        <x:f>IF(OR(F31="",F30=""),"",F31-F30)</x:f>
        <x:v>0.016909188553320575</x:v>
      </x:c>
      <x:c r="H31" s="55" t="n">
        <x:f>'Datos_fuente'!H31</x:f>
        <x:v>5.56</x:v>
      </x:c>
      <x:c r="I31" s="55" t="n">
        <x:f>IF(OR(H31="",H30=""),"",H31-H30)</x:f>
        <x:v>0.2999999999999998</x:v>
      </x:c>
      <x:c r="J31" s="55" t="n">
        <x:f>'Datos_fuente'!J31</x:f>
        <x:v>2.465742275</x:v>
      </x:c>
      <x:c r="K31" s="55" t="n">
        <x:f>IF(OR(J31="",J30=""),"",J31-J30)</x:f>
        <x:v>-0.2445178419999996</x:v>
      </x:c>
      <x:c r="L31" s="87" t="n">
        <x:f>IF('Datos_fuente'!K31="","",LN('Datos_fuente'!K31))</x:f>
        <x:v>4.493088437699889</x:v>
      </x:c>
      <x:c r="M31" s="87" t="n">
        <x:f>IF(OR(L31="",L30=""),"",L31-L30)</x:f>
        <x:v>-0.006776310446898748</x:v>
      </x:c>
      <x:c r="N31" s="87" t="n">
        <x:f>IF('Datos_fuente'!L31="","",LN('Datos_fuente'!L31))</x:f>
        <x:v>3.2510018330924435</x:v>
      </x:c>
      <x:c r="O31" s="87" t="n">
        <x:f>IF(OR(N31="",N30=""),"",N31-N30)</x:f>
        <x:v>0.17595019033419756</x:v>
      </x:c>
      <x:c r="P31" s="82" t="n">
        <x:f>'Datos_fuente'!N31</x:f>
        <x:v>0</x:v>
      </x:c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>
      <x:c r="A32" s="1" t="str">
        <x:f>'Datos_fuente'!A32</x:f>
        <x:v>2008-02</x:v>
      </x:c>
      <x:c r="B32" s="87" t="n">
        <x:f>IF('Datos_fuente'!B32="","",LN('Datos_fuente'!B32))</x:f>
        <x:v>7.552391678791468</x:v>
      </x:c>
      <x:c r="C32" s="87" t="n">
        <x:f>IF(OR(B32="",B31=""),"",B32-B31)</x:f>
        <x:v>-0.0400673319501923</x:v>
      </x:c>
      <x:c r="D32" s="87" t="n">
        <x:f>IF('Datos_fuente'!C32="","",LN('Datos_fuente'!C32))</x:f>
        <x:v>4.553734776239473</x:v>
      </x:c>
      <x:c r="E32" s="87" t="n">
        <x:f>IF(OR(D32="",D31=""),"",D32-D31)</x:f>
        <x:v>0.030012252645090776</x:v>
      </x:c>
      <x:c r="F32" s="87" t="n">
        <x:f>IF('Datos_fuente'!E32="","",LN('Datos_fuente'!E32))</x:f>
        <x:v>8.42575968758402</x:v>
      </x:c>
      <x:c r="G32" s="87" t="n">
        <x:f>IF(OR(F32="",F31=""),"",F32-F31)</x:f>
        <x:v>0.012756585930191022</x:v>
      </x:c>
      <x:c r="H32" s="55" t="n">
        <x:f>'Datos_fuente'!H32</x:f>
        <x:v>6.563103448</x:v>
      </x:c>
      <x:c r="I32" s="55" t="n">
        <x:f>IF(OR(H32="",H31=""),"",H32-H31)</x:f>
        <x:v>1.003103448</x:v>
      </x:c>
      <x:c r="J32" s="55" t="n">
        <x:f>'Datos_fuente'!J32</x:f>
        <x:v>2.599552424</x:v>
      </x:c>
      <x:c r="K32" s="55" t="n">
        <x:f>IF(OR(J32="",J31=""),"",J32-J31)</x:f>
        <x:v>0.13381014899999988</x:v>
      </x:c>
      <x:c r="L32" s="87" t="n">
        <x:f>IF('Datos_fuente'!K32="","",LN('Datos_fuente'!K32))</x:f>
        <x:v>4.48462200947601</x:v>
      </x:c>
      <x:c r="M32" s="87" t="n">
        <x:f>IF(OR(L32="",L31=""),"",L32-L31)</x:f>
        <x:v>-0.008466428223878886</x:v>
      </x:c>
      <x:c r="N32" s="87" t="n">
        <x:f>IF('Datos_fuente'!L32="","",LN('Datos_fuente'!L32))</x:f>
        <x:v>3.236951471595431</x:v>
      </x:c>
      <x:c r="O32" s="87" t="n">
        <x:f>IF(OR(N32="",N31=""),"",N32-N31)</x:f>
        <x:v>-0.014050361497012442</x:v>
      </x:c>
      <x:c r="P32" s="82" t="n">
        <x:f>'Datos_fuente'!N32</x:f>
        <x:v>0</x:v>
      </x:c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>
      <x:c r="A33" s="1" t="str">
        <x:f>'Datos_fuente'!A33</x:f>
        <x:v>2008-03</x:v>
      </x:c>
      <x:c r="B33" s="87" t="n">
        <x:f>IF('Datos_fuente'!B33="","",LN('Datos_fuente'!B33))</x:f>
        <x:v>7.519417543135308</x:v>
      </x:c>
      <x:c r="C33" s="87" t="n">
        <x:f>IF(OR(B33="",B32=""),"",B33-B32)</x:f>
        <x:v>-0.032974135656160364</x:v>
      </x:c>
      <x:c r="D33" s="87" t="n">
        <x:f>IF('Datos_fuente'!C33="","",LN('Datos_fuente'!C33))</x:f>
        <x:v>4.640879935222115</x:v>
      </x:c>
      <x:c r="E33" s="87" t="n">
        <x:f>IF(OR(D33="",D32=""),"",D33-D32)</x:f>
        <x:v>0.08714515898264175</x:v>
      </x:c>
      <x:c r="F33" s="87" t="n">
        <x:f>IF('Datos_fuente'!E33="","",LN('Datos_fuente'!E33))</x:f>
        <x:v>8.436796254344209</x:v>
      </x:c>
      <x:c r="G33" s="87" t="n">
        <x:f>IF(OR(F33="",F32=""),"",F33-F32)</x:f>
        <x:v>0.011036566760189714</x:v>
      </x:c>
      <x:c r="H33" s="55" t="n">
        <x:f>'Datos_fuente'!H33</x:f>
        <x:v>7.14</x:v>
      </x:c>
      <x:c r="I33" s="55" t="n">
        <x:f>IF(OR(H33="",H32=""),"",H33-H32)</x:f>
        <x:v>0.576896552</x:v>
      </x:c>
      <x:c r="J33" s="55" t="n">
        <x:f>'Datos_fuente'!J33</x:f>
        <x:v>2.375717758</x:v>
      </x:c>
      <x:c r="K33" s="55" t="n">
        <x:f>IF(OR(J33="",J32=""),"",J33-J32)</x:f>
        <x:v>-0.22383466600000013</x:v>
      </x:c>
      <x:c r="L33" s="87" t="n">
        <x:f>IF('Datos_fuente'!K33="","",LN('Datos_fuente'!K33))</x:f>
        <x:v>4.464065809656541</x:v>
      </x:c>
      <x:c r="M33" s="87" t="n">
        <x:f>IF(OR(L33="",L32=""),"",L33-L32)</x:f>
        <x:v>-0.020556199819469434</x:v>
      </x:c>
      <x:c r="N33" s="87" t="n">
        <x:f>IF('Datos_fuente'!L33="","",LN('Datos_fuente'!L33))</x:f>
        <x:v>3.299662870837858</x:v>
      </x:c>
      <x:c r="O33" s="87" t="n">
        <x:f>IF(OR(N33="",N32=""),"",N33-N32)</x:f>
        <x:v>0.06271139924242686</x:v>
      </x:c>
      <x:c r="P33" s="82" t="n">
        <x:f>'Datos_fuente'!N33</x:f>
        <x:v>0</x:v>
      </x:c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>
      <x:c r="A34" s="1" t="str">
        <x:f>'Datos_fuente'!A34</x:f>
        <x:v>2008-04</x:v>
      </x:c>
      <x:c r="B34" s="87" t="n">
        <x:f>IF('Datos_fuente'!B34="","",LN('Datos_fuente'!B34))</x:f>
        <x:v>7.492817680891716</x:v>
      </x:c>
      <x:c r="C34" s="87" t="n">
        <x:f>IF(OR(B34="",B33=""),"",B34-B33)</x:f>
        <x:v>-0.02659986224359212</x:v>
      </x:c>
      <x:c r="D34" s="87" t="n">
        <x:f>IF('Datos_fuente'!C34="","",LN('Datos_fuente'!C34))</x:f>
        <x:v>4.6920023799253965</x:v>
      </x:c>
      <x:c r="E34" s="87" t="n">
        <x:f>IF(OR(D34="",D33=""),"",D34-D33)</x:f>
        <x:v>0.051122444703281644</x:v>
      </x:c>
      <x:c r="F34" s="87" t="n">
        <x:f>IF('Datos_fuente'!E34="","",LN('Datos_fuente'!E34))</x:f>
        <x:v>8.45574110234318</x:v>
      </x:c>
      <x:c r="G34" s="87" t="n">
        <x:f>IF(OR(F34="",F33=""),"",F34-F33)</x:f>
        <x:v>0.01894484799897178</x:v>
      </x:c>
      <x:c r="H34" s="55" t="n">
        <x:f>'Datos_fuente'!H34</x:f>
        <x:v>7.47</x:v>
      </x:c>
      <x:c r="I34" s="55" t="n">
        <x:f>IF(OR(H34="",H33=""),"",H34-H33)</x:f>
        <x:v>0.33000000000000007</x:v>
      </x:c>
      <x:c r="J34" s="55" t="n">
        <x:f>'Datos_fuente'!J34</x:f>
        <x:v>1.714381493</x:v>
      </x:c>
      <x:c r="K34" s="55" t="n">
        <x:f>IF(OR(J34="",J33=""),"",J34-J33)</x:f>
        <x:v>-0.6613362649999999</x:v>
      </x:c>
      <x:c r="L34" s="87" t="n">
        <x:f>IF('Datos_fuente'!K34="","",LN('Datos_fuente'!K34))</x:f>
        <x:v>4.46069381628352</x:v>
      </x:c>
      <x:c r="M34" s="87" t="n">
        <x:f>IF(OR(L34="",L33=""),"",L34-L33)</x:f>
        <x:v>-0.003371993373020743</x:v>
      </x:c>
      <x:c r="N34" s="87" t="n">
        <x:f>IF('Datos_fuente'!L34="","",LN('Datos_fuente'!L34))</x:f>
        <x:v>3.0709662347940037</x:v>
      </x:c>
      <x:c r="O34" s="87" t="n">
        <x:f>IF(OR(N34="",N33=""),"",N34-N33)</x:f>
        <x:v>-0.22869663604385426</x:v>
      </x:c>
      <x:c r="P34" s="82" t="n">
        <x:f>'Datos_fuente'!N34</x:f>
        <x:v>0</x:v>
      </x:c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>
      <x:c r="A35" s="1" t="str">
        <x:f>'Datos_fuente'!A35</x:f>
        <x:v>2008-05</x:v>
      </x:c>
      <x:c r="B35" s="87" t="n">
        <x:f>IF('Datos_fuente'!B35="","",LN('Datos_fuente'!B35))</x:f>
        <x:v>7.481643658041262</x:v>
      </x:c>
      <x:c r="C35" s="87" t="n">
        <x:f>IF(OR(B35="",B34=""),"",B35-B34)</x:f>
        <x:v>-0.011174022850453547</x:v>
      </x:c>
      <x:c r="D35" s="87" t="n">
        <x:f>IF('Datos_fuente'!C35="","",LN('Datos_fuente'!C35))</x:f>
        <x:v>4.8105337491557325</x:v>
      </x:c>
      <x:c r="E35" s="87" t="n">
        <x:f>IF(OR(D35="",D34=""),"",D35-D34)</x:f>
        <x:v>0.11853136923033603</x:v>
      </x:c>
      <x:c r="F35" s="87" t="n">
        <x:f>IF('Datos_fuente'!E35="","",LN('Datos_fuente'!E35))</x:f>
        <x:v>8.469610897477766</x:v>
      </x:c>
      <x:c r="G35" s="87" t="n">
        <x:f>IF(OR(F35="",F34=""),"",F35-F34)</x:f>
        <x:v>0.013869795134585416</x:v>
      </x:c>
      <x:c r="H35" s="55" t="n">
        <x:f>'Datos_fuente'!H35</x:f>
        <x:v>7.77</x:v>
      </x:c>
      <x:c r="I35" s="55" t="n">
        <x:f>IF(OR(H35="",H34=""),"",H35-H34)</x:f>
        <x:v>0.2999999999999998</x:v>
      </x:c>
      <x:c r="J35" s="55" t="n">
        <x:f>'Datos_fuente'!J35</x:f>
        <x:v>2.192299404</x:v>
      </x:c>
      <x:c r="K35" s="55" t="n">
        <x:f>IF(OR(J35="",J34=""),"",J35-J34)</x:f>
        <x:v>0.4779179109999998</x:v>
      </x:c>
      <x:c r="L35" s="87" t="n">
        <x:f>IF('Datos_fuente'!K35="","",LN('Datos_fuente'!K35))</x:f>
        <x:v>4.4638884211276135</x:v>
      </x:c>
      <x:c r="M35" s="87" t="n">
        <x:f>IF(OR(L35="",L34=""),"",L35-L34)</x:f>
        <x:v>0.003194604844093618</x:v>
      </x:c>
      <x:c r="N35" s="87" t="n">
        <x:f>IF('Datos_fuente'!L35="","",LN('Datos_fuente'!L35))</x:f>
        <x:v>2.9070831924405556</x:v>
      </x:c>
      <x:c r="O35" s="87" t="n">
        <x:f>IF(OR(N35="",N34=""),"",N35-N34)</x:f>
        <x:v>-0.16388304235344808</x:v>
      </x:c>
      <x:c r="P35" s="82" t="n">
        <x:f>'Datos_fuente'!N35</x:f>
        <x:v>0</x:v>
      </x:c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>
      <x:c r="A36" s="1" t="str">
        <x:f>'Datos_fuente'!A36</x:f>
        <x:v>2008-06</x:v>
      </x:c>
      <x:c r="B36" s="87" t="n">
        <x:f>IF('Datos_fuente'!B36="","",LN('Datos_fuente'!B36))</x:f>
        <x:v>7.457197394742718</x:v>
      </x:c>
      <x:c r="C36" s="87" t="n">
        <x:f>IF(OR(B36="",B35=""),"",B36-B35)</x:f>
        <x:v>-0.024446263298544046</x:v>
      </x:c>
      <x:c r="D36" s="87" t="n">
        <x:f>IF('Datos_fuente'!C36="","",LN('Datos_fuente'!C36))</x:f>
        <x:v>4.8852412253698345</x:v>
      </x:c>
      <x:c r="E36" s="87" t="n">
        <x:f>IF(OR(D36="",D35=""),"",D36-D35)</x:f>
        <x:v>0.07470747621410201</x:v>
      </x:c>
      <x:c r="F36" s="87" t="n">
        <x:f>IF('Datos_fuente'!E36="","",LN('Datos_fuente'!E36))</x:f>
        <x:v>8.475424915980053</x:v>
      </x:c>
      <x:c r="G36" s="87" t="n">
        <x:f>IF(OR(F36="",F35=""),"",F36-F35)</x:f>
        <x:v>0.0058140185022868</x:v>
      </x:c>
      <x:c r="H36" s="55" t="n">
        <x:f>'Datos_fuente'!H36</x:f>
        <x:v>7.75</x:v>
      </x:c>
      <x:c r="I36" s="55" t="n">
        <x:f>IF(OR(H36="",H35=""),"",H36-H35)</x:f>
        <x:v>-0.019999999999999574</x:v>
      </x:c>
      <x:c r="J36" s="55" t="n">
        <x:f>'Datos_fuente'!J36</x:f>
        <x:v>1.507950545</x:v>
      </x:c>
      <x:c r="K36" s="55" t="n">
        <x:f>IF(OR(J36="",J35=""),"",J36-J35)</x:f>
        <x:v>-0.684348859</x:v>
      </x:c>
      <x:c r="L36" s="87" t="n">
        <x:f>IF('Datos_fuente'!K36="","",LN('Datos_fuente'!K36))</x:f>
        <x:v>4.46674460502413</x:v>
      </x:c>
      <x:c r="M36" s="87" t="n">
        <x:f>IF(OR(L36="",L35=""),"",L36-L35)</x:f>
        <x:v>0.0028561838965162067</x:v>
      </x:c>
      <x:c r="N36" s="87" t="n">
        <x:f>IF('Datos_fuente'!L36="","",LN('Datos_fuente'!L36))</x:f>
        <x:v>3.096051531950863</x:v>
      </x:c>
      <x:c r="O36" s="87" t="n">
        <x:f>IF(OR(N36="",N35=""),"",N36-N35)</x:f>
        <x:v>0.18896833951030745</x:v>
      </x:c>
      <x:c r="P36" s="82" t="n">
        <x:f>'Datos_fuente'!N36</x:f>
        <x:v>0</x:v>
      </x:c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>
      <x:c r="A37" s="1" t="str">
        <x:f>'Datos_fuente'!A37</x:f>
        <x:v>2008-07</x:v>
      </x:c>
      <x:c r="B37" s="87" t="n">
        <x:f>IF('Datos_fuente'!B37="","",LN('Datos_fuente'!B37))</x:f>
        <x:v>7.484955640070927</x:v>
      </x:c>
      <x:c r="C37" s="87" t="n">
        <x:f>IF(OR(B37="",B36=""),"",B37-B36)</x:f>
        <x:v>0.027758245328208808</x:v>
      </x:c>
      <x:c r="D37" s="87" t="n">
        <x:f>IF('Datos_fuente'!C37="","",LN('Datos_fuente'!C37))</x:f>
        <x:v>4.888227946270568</x:v>
      </x:c>
      <x:c r="E37" s="87" t="n">
        <x:f>IF(OR(D37="",D36=""),"",D37-D36)</x:f>
        <x:v>0.002986720900733708</x:v>
      </x:c>
      <x:c r="F37" s="87" t="n">
        <x:f>IF('Datos_fuente'!E37="","",LN('Datos_fuente'!E37))</x:f>
        <x:v>8.49548935797245</x:v>
      </x:c>
      <x:c r="G37" s="87" t="n">
        <x:f>IF(OR(F37="",F36=""),"",F37-F36)</x:f>
        <x:v>0.020064441992397875</x:v>
      </x:c>
      <x:c r="H37" s="55" t="n">
        <x:f>'Datos_fuente'!H37</x:f>
        <x:v>7.772258065</x:v>
      </x:c>
      <x:c r="I37" s="55" t="n">
        <x:f>IF(OR(H37="",H36=""),"",H37-H36)</x:f>
        <x:v>0.022258064999999938</x:v>
      </x:c>
      <x:c r="J37" s="55" t="n">
        <x:f>'Datos_fuente'!J37</x:f>
        <x:v>1.38078604</x:v>
      </x:c>
      <x:c r="K37" s="55" t="n">
        <x:f>IF(OR(J37="",J36=""),"",J37-J36)</x:f>
        <x:v>-0.12716450499999987</x:v>
      </x:c>
      <x:c r="L37" s="87" t="n">
        <x:f>IF('Datos_fuente'!K37="","",LN('Datos_fuente'!K37))</x:f>
        <x:v>4.459609664279515</x:v>
      </x:c>
      <x:c r="M37" s="87" t="n">
        <x:f>IF(OR(L37="",L36=""),"",L37-L36)</x:f>
        <x:v>-0.007134940744614404</x:v>
      </x:c>
      <x:c r="N37" s="87" t="n">
        <x:f>IF('Datos_fuente'!L37="","",LN('Datos_fuente'!L37))</x:f>
        <x:v>3.1913738149943147</x:v>
      </x:c>
      <x:c r="O37" s="87" t="n">
        <x:f>IF(OR(N37="",N36=""),"",N37-N36)</x:f>
        <x:v>0.0953222830434517</x:v>
      </x:c>
      <x:c r="P37" s="82" t="n">
        <x:f>'Datos_fuente'!N37</x:f>
        <x:v>0</x:v>
      </x:c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>
      <x:c r="A38" s="1" t="str">
        <x:f>'Datos_fuente'!A38</x:f>
        <x:v>2008-08</x:v>
      </x:c>
      <x:c r="B38" s="87" t="n">
        <x:f>IF('Datos_fuente'!B38="","",LN('Datos_fuente'!B38))</x:f>
        <x:v>7.521576430284874</x:v>
      </x:c>
      <x:c r="C38" s="87" t="n">
        <x:f>IF(OR(B38="",B37=""),"",B38-B37)</x:f>
        <x:v>0.03662079021394682</x:v>
      </x:c>
      <x:c r="D38" s="87" t="n">
        <x:f>IF('Datos_fuente'!C38="","",LN('Datos_fuente'!C38))</x:f>
        <x:v>4.729538895522239</x:v>
      </x:c>
      <x:c r="E38" s="87" t="n">
        <x:f>IF(OR(D38="",D37=""),"",D38-D37)</x:f>
        <x:v>-0.15868905074832895</x:v>
      </x:c>
      <x:c r="F38" s="87" t="n">
        <x:f>IF('Datos_fuente'!E38="","",LN('Datos_fuente'!E38))</x:f>
        <x:v>8.486624699609699</x:v>
      </x:c>
      <x:c r="G38" s="87" t="n">
        <x:f>IF(OR(F38="",F37=""),"",F38-F37)</x:f>
        <x:v>-0.008864658362751854</x:v>
      </x:c>
      <x:c r="H38" s="55" t="n">
        <x:f>'Datos_fuente'!H38</x:f>
        <x:v>8</x:v>
      </x:c>
      <x:c r="I38" s="55" t="n">
        <x:f>IF(OR(H38="",H37=""),"",H38-H37)</x:f>
        <x:v>0.22774193500000006</x:v>
      </x:c>
      <x:c r="J38" s="55" t="n">
        <x:f>'Datos_fuente'!J38</x:f>
        <x:v>1.855080021</x:v>
      </x:c>
      <x:c r="K38" s="55" t="n">
        <x:f>IF(OR(J38="",J37=""),"",J38-J37)</x:f>
        <x:v>0.474293981</x:v>
      </x:c>
      <x:c r="L38" s="87" t="n">
        <x:f>IF('Datos_fuente'!K38="","",LN('Datos_fuente'!K38))</x:f>
        <x:v>4.4880181476610135</x:v>
      </x:c>
      <x:c r="M38" s="87" t="n">
        <x:f>IF(OR(L38="",L37=""),"",L38-L37)</x:f>
        <x:v>0.02840848338149815</x:v>
      </x:c>
      <x:c r="N38" s="87" t="n">
        <x:f>IF('Datos_fuente'!L38="","",LN('Datos_fuente'!L38))</x:f>
        <x:v>3.0299266397053293</x:v>
      </x:c>
      <x:c r="O38" s="87" t="n">
        <x:f>IF(OR(N38="",N37=""),"",N38-N37)</x:f>
        <x:v>-0.16144717528898545</x:v>
      </x:c>
      <x:c r="P38" s="82" t="n">
        <x:f>'Datos_fuente'!N38</x:f>
        <x:v>0</x:v>
      </x:c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>
      <x:c r="A39" s="1" t="str">
        <x:f>'Datos_fuente'!A39</x:f>
        <x:v>2008-09</x:v>
      </x:c>
      <x:c r="B39" s="87" t="n">
        <x:f>IF('Datos_fuente'!B39="","",LN('Datos_fuente'!B39))</x:f>
        <x:v>7.633460158652255</x:v>
      </x:c>
      <x:c r="C39" s="87" t="n">
        <x:f>IF(OR(B39="",B38=""),"",B39-B38)</x:f>
        <x:v>0.11188372836738125</x:v>
      </x:c>
      <x:c r="D39" s="87" t="n">
        <x:f>IF('Datos_fuente'!C39="","",LN('Datos_fuente'!C39))</x:f>
        <x:v>4.577128280247106</x:v>
      </x:c>
      <x:c r="E39" s="87" t="n">
        <x:f>IF(OR(D39="",D38=""),"",D39-D38)</x:f>
        <x:v>-0.15241061527513367</x:v>
      </x:c>
      <x:c r="F39" s="87" t="n">
        <x:f>IF('Datos_fuente'!E39="","",LN('Datos_fuente'!E39))</x:f>
        <x:v>8.502179041042936</x:v>
      </x:c>
      <x:c r="G39" s="87" t="n">
        <x:f>IF(OR(F39="",F38=""),"",F39-F38)</x:f>
        <x:v>0.015554341433237084</x:v>
      </x:c>
      <x:c r="H39" s="55" t="n">
        <x:f>'Datos_fuente'!H39</x:f>
        <x:v>8.19</x:v>
      </x:c>
      <x:c r="I39" s="55" t="n">
        <x:f>IF(OR(H39="",H38=""),"",H39-H38)</x:f>
        <x:v>0.1899999999999995</x:v>
      </x:c>
      <x:c r="J39" s="55" t="n">
        <x:f>'Datos_fuente'!J39</x:f>
        <x:v>1.763145856</x:v>
      </x:c>
      <x:c r="K39" s="55" t="n">
        <x:f>IF(OR(J39="",J38=""),"",J39-J38)</x:f>
        <x:v>-0.09193416500000007</x:v>
      </x:c>
      <x:c r="L39" s="87" t="n">
        <x:f>IF('Datos_fuente'!K39="","",LN('Datos_fuente'!K39))</x:f>
        <x:v>4.513768557824393</x:v>
      </x:c>
      <x:c r="M39" s="87" t="n">
        <x:f>IF(OR(L39="",L38=""),"",L39-L38)</x:f>
        <x:v>0.0257504101633792</x:v>
      </x:c>
      <x:c r="N39" s="87" t="n">
        <x:f>IF('Datos_fuente'!L39="","",LN('Datos_fuente'!L39))</x:f>
        <x:v>3.409118309124009</x:v>
      </x:c>
      <x:c r="O39" s="87" t="n">
        <x:f>IF(OR(N39="",N38=""),"",N39-N38)</x:f>
        <x:v>0.37919166941867966</x:v>
      </x:c>
      <x:c r="P39" s="82" t="n">
        <x:f>'Datos_fuente'!N39</x:f>
        <x:v>0</x:v>
      </x:c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>
      <x:c r="A40" s="1" t="str">
        <x:f>'Datos_fuente'!A40</x:f>
        <x:v>2008-10</x:v>
      </x:c>
      <x:c r="B40" s="87" t="n">
        <x:f>IF('Datos_fuente'!B40="","",LN('Datos_fuente'!B40))</x:f>
        <x:v>7.735808310603203</x:v>
      </x:c>
      <x:c r="C40" s="87" t="n">
        <x:f>IF(OR(B40="",B39=""),"",B40-B39)</x:f>
        <x:v>0.10234815195094793</x:v>
      </x:c>
      <x:c r="D40" s="87" t="n">
        <x:f>IF('Datos_fuente'!C40="","",LN('Datos_fuente'!C40))</x:f>
        <x:v>4.270846075231558</x:v>
      </x:c>
      <x:c r="E40" s="87" t="n">
        <x:f>IF(OR(D40="",D39=""),"",D40-D39)</x:f>
        <x:v>-0.30628220501554804</x:v>
      </x:c>
      <x:c r="F40" s="87" t="n">
        <x:f>IF('Datos_fuente'!E40="","",LN('Datos_fuente'!E40))</x:f>
        <x:v>8.500836141295496</x:v>
      </x:c>
      <x:c r="G40" s="87" t="n">
        <x:f>IF(OR(F40="",F39=""),"",F40-F39)</x:f>
        <x:v>-0.0013428997474402848</x:v>
      </x:c>
      <x:c r="H40" s="55" t="n">
        <x:f>'Datos_fuente'!H40</x:f>
        <x:v>9.03</x:v>
      </x:c>
      <x:c r="I40" s="55" t="n">
        <x:f>IF(OR(H40="",H39=""),"",H40-H39)</x:f>
        <x:v>0.8399999999999999</x:v>
      </x:c>
      <x:c r="J40" s="55" t="n">
        <x:f>'Datos_fuente'!J40</x:f>
        <x:v>1.699208134</x:v>
      </x:c>
      <x:c r="K40" s="55" t="n">
        <x:f>IF(OR(J40="",J39=""),"",J40-J39)</x:f>
        <x:v>-0.06393772199999992</x:v>
      </x:c>
      <x:c r="L40" s="87" t="n">
        <x:f>IF('Datos_fuente'!K40="","",LN('Datos_fuente'!K40))</x:f>
        <x:v>4.585375558659912</x:v>
      </x:c>
      <x:c r="M40" s="87" t="n">
        <x:f>IF(OR(L40="",L39=""),"",L40-L39)</x:f>
        <x:v>0.07160700083551941</x:v>
      </x:c>
      <x:c r="N40" s="87" t="n">
        <x:f>IF('Datos_fuente'!L40="","",LN('Datos_fuente'!L40))</x:f>
        <x:v>4.113777698062105</x:v>
      </x:c>
      <x:c r="O40" s="87" t="n">
        <x:f>IF(OR(N40="",N39=""),"",N40-N39)</x:f>
        <x:v>0.7046593889380959</x:v>
      </x:c>
      <x:c r="P40" s="82" t="n">
        <x:f>'Datos_fuente'!N40</x:f>
        <x:v>0</x:v>
      </x:c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>
      <x:c r="A41" s="1" t="str">
        <x:f>'Datos_fuente'!A41</x:f>
        <x:v>2008-11</x:v>
      </x:c>
      <x:c r="B41" s="87" t="n">
        <x:f>IF('Datos_fuente'!B41="","",LN('Datos_fuente'!B41))</x:f>
        <x:v>7.755193272264553</x:v>
      </x:c>
      <x:c r="C41" s="87" t="n">
        <x:f>IF(OR(B41="",B40=""),"",B41-B40)</x:f>
        <x:v>0.019384961661350175</x:v>
      </x:c>
      <x:c r="D41" s="87" t="n">
        <x:f>IF('Datos_fuente'!C41="","",LN('Datos_fuente'!C41))</x:f>
        <x:v>3.959910506700932</x:v>
      </x:c>
      <x:c r="E41" s="87" t="n">
        <x:f>IF(OR(D41="",D40=""),"",D41-D40)</x:f>
        <x:v>-0.31093556853062543</x:v>
      </x:c>
      <x:c r="F41" s="87" t="n">
        <x:f>IF('Datos_fuente'!E41="","",LN('Datos_fuente'!E41))</x:f>
        <x:v>8.472223021768398</x:v>
      </x:c>
      <x:c r="G41" s="87" t="n">
        <x:f>IF(OR(F41="",F40=""),"",F41-F40)</x:f>
        <x:v>-0.028613119527097552</x:v>
      </x:c>
      <x:c r="H41" s="55" t="n">
        <x:f>'Datos_fuente'!H41</x:f>
        <x:v>9.61</x:v>
      </x:c>
      <x:c r="I41" s="55" t="n">
        <x:f>IF(OR(H41="",H40=""),"",H41-H40)</x:f>
        <x:v>0.5800000000000001</x:v>
      </x:c>
      <x:c r="J41" s="55" t="n">
        <x:f>'Datos_fuente'!J41</x:f>
        <x:v>2.332166211</x:v>
      </x:c>
      <x:c r="K41" s="55" t="n">
        <x:f>IF(OR(J41="",J40=""),"",J41-J40)</x:f>
        <x:v>0.6329580770000001</x:v>
      </x:c>
      <x:c r="L41" s="87" t="n">
        <x:f>IF('Datos_fuente'!K41="","",LN('Datos_fuente'!K41))</x:f>
        <x:v>4.612807546957856</x:v>
      </x:c>
      <x:c r="M41" s="87" t="n">
        <x:f>IF(OR(L41="",L40=""),"",L41-L40)</x:f>
        <x:v>0.02743198829794391</x:v>
      </x:c>
      <x:c r="N41" s="87" t="n">
        <x:f>IF('Datos_fuente'!L41="","",LN('Datos_fuente'!L41))</x:f>
        <x:v>4.137866067701714</x:v>
      </x:c>
      <x:c r="O41" s="87" t="n">
        <x:f>IF(OR(N41="",N40=""),"",N41-N40)</x:f>
        <x:v>0.024088369639609475</x:v>
      </x:c>
      <x:c r="P41" s="82" t="n">
        <x:f>'Datos_fuente'!N41</x:f>
        <x:v>0</x:v>
      </x:c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>
      <x:c r="A42" s="1" t="str">
        <x:f>'Datos_fuente'!A42</x:f>
        <x:v>2008-12</x:v>
      </x:c>
      <x:c r="B42" s="87" t="n">
        <x:f>IF('Datos_fuente'!B42="","",LN('Datos_fuente'!B42))</x:f>
        <x:v>7.719356524674486</x:v>
      </x:c>
      <x:c r="C42" s="87" t="n">
        <x:f>IF(OR(B42="",B41=""),"",B42-B41)</x:f>
        <x:v>-0.03583674759006694</x:v>
      </x:c>
      <x:c r="D42" s="87" t="n">
        <x:f>IF('Datos_fuente'!C42="","",LN('Datos_fuente'!C42))</x:f>
        <x:v>3.6875490239841273</x:v>
      </x:c>
      <x:c r="E42" s="87" t="n">
        <x:f>IF(OR(D42="",D41=""),"",D42-D41)</x:f>
        <x:v>-0.2723614827168048</x:v>
      </x:c>
      <x:c r="F42" s="87" t="n">
        <x:f>IF('Datos_fuente'!E42="","",LN('Datos_fuente'!E42))</x:f>
        <x:v>8.473224584834021</x:v>
      </x:c>
      <x:c r="G42" s="87" t="n">
        <x:f>IF(OR(F42="",F41=""),"",F42-F41)</x:f>
        <x:v>0.0010015630656230456</x:v>
      </x:c>
      <x:c r="H42" s="55" t="n">
        <x:f>'Datos_fuente'!H42</x:f>
        <x:v>9.678709677</x:v>
      </x:c>
      <x:c r="I42" s="55" t="n">
        <x:f>IF(OR(H42="",H41=""),"",H42-H41)</x:f>
        <x:v>0.06870967700000108</x:v>
      </x:c>
      <x:c r="J42" s="55" t="n">
        <x:f>'Datos_fuente'!J42</x:f>
        <x:v>2.32245795</x:v>
      </x:c>
      <x:c r="K42" s="55" t="n">
        <x:f>IF(OR(J42="",J41=""),"",J42-J41)</x:f>
        <x:v>-0.009708261000000107</x:v>
      </x:c>
      <x:c r="L42" s="87" t="n">
        <x:f>IF('Datos_fuente'!K42="","",LN('Datos_fuente'!K42))</x:f>
        <x:v>4.601786947585854</x:v>
      </x:c>
      <x:c r="M42" s="87" t="n">
        <x:f>IF(OR(L42="",L41=""),"",L42-L41)</x:f>
        <x:v>-0.01102059937200206</x:v>
      </x:c>
      <x:c r="N42" s="87" t="n">
        <x:f>IF('Datos_fuente'!L42="","",LN('Datos_fuente'!L42))</x:f>
        <x:v>3.9590020066221405</x:v>
      </x:c>
      <x:c r="O42" s="87" t="n">
        <x:f>IF(OR(N42="",N41=""),"",N42-N41)</x:f>
        <x:v>-0.17886406107957376</x:v>
      </x:c>
      <x:c r="P42" s="82" t="n">
        <x:f>'Datos_fuente'!N42</x:f>
        <x:v>0</x:v>
      </x:c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>
      <x:c r="A43" s="1" t="str">
        <x:f>'Datos_fuente'!A43</x:f>
        <x:v>2009-01</x:v>
      </x:c>
      <x:c r="B43" s="87" t="n">
        <x:f>IF('Datos_fuente'!B43="","",LN('Datos_fuente'!B43))</x:f>
        <x:v>7.720242561896252</x:v>
      </x:c>
      <x:c r="C43" s="87" t="n">
        <x:f>IF(OR(B43="",B42=""),"",B43-B42)</x:f>
        <x:v>0.0008860372217656121</x:v>
      </x:c>
      <x:c r="D43" s="87" t="n">
        <x:f>IF('Datos_fuente'!C43="","",LN('Datos_fuente'!C43))</x:f>
        <x:v>3.7713691654305244</x:v>
      </x:c>
      <x:c r="E43" s="87" t="n">
        <x:f>IF(OR(D43="",D42=""),"",D43-D42)</x:f>
        <x:v>0.08382014144639705</x:v>
      </x:c>
      <x:c r="F43" s="87" t="n">
        <x:f>IF('Datos_fuente'!E43="","",LN('Datos_fuente'!E43))</x:f>
        <x:v>8.460271455448224</x:v>
      </x:c>
      <x:c r="G43" s="87" t="n">
        <x:f>IF(OR(F43="",F42=""),"",F43-F42)</x:f>
        <x:v>-0.012953129385797624</x:v>
      </x:c>
      <x:c r="H43" s="55" t="n">
        <x:f>'Datos_fuente'!H43</x:f>
        <x:v>9.35</x:v>
      </x:c>
      <x:c r="I43" s="55" t="n">
        <x:f>IF(OR(H43="",H42=""),"",H43-H42)</x:f>
        <x:v>-0.32870967700000087</x:v>
      </x:c>
      <x:c r="J43" s="55" t="n">
        <x:f>'Datos_fuente'!J43</x:f>
        <x:v>1.755409008</x:v>
      </x:c>
      <x:c r="K43" s="55" t="n">
        <x:f>IF(OR(J43="",J42=""),"",J43-J42)</x:f>
        <x:v>-0.567048942</x:v>
      </x:c>
      <x:c r="L43" s="87" t="n">
        <x:f>IF('Datos_fuente'!K43="","",LN('Datos_fuente'!K43))</x:f>
        <x:v>4.608684844334092</x:v>
      </x:c>
      <x:c r="M43" s="87" t="n">
        <x:f>IF(OR(L43="",L42=""),"",L43-L42)</x:f>
        <x:v>0.0068978967482378195</x:v>
      </x:c>
      <x:c r="N43" s="87" t="n">
        <x:f>IF('Datos_fuente'!L43="","",LN('Datos_fuente'!L43))</x:f>
        <x:v>3.7995931160830123</x:v>
      </x:c>
      <x:c r="O43" s="87" t="n">
        <x:f>IF(OR(N43="",N42=""),"",N43-N42)</x:f>
        <x:v>-0.1594088905391282</x:v>
      </x:c>
      <x:c r="P43" s="82" t="n">
        <x:f>'Datos_fuente'!N43</x:f>
        <x:v>0</x:v>
      </x:c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>
      <x:c r="A44" s="1" t="str">
        <x:f>'Datos_fuente'!A44</x:f>
        <x:v>2009-02</x:v>
      </x:c>
      <x:c r="B44" s="87" t="n">
        <x:f>IF('Datos_fuente'!B44="","",LN('Datos_fuente'!B44))</x:f>
        <x:v>7.828971574725363</x:v>
      </x:c>
      <x:c r="C44" s="87" t="n">
        <x:f>IF(OR(B44="",B43=""),"",B44-B43)</x:f>
        <x:v>0.1087290128291114</x:v>
      </x:c>
      <x:c r="D44" s="87" t="n">
        <x:f>IF('Datos_fuente'!C44="","",LN('Datos_fuente'!C44))</x:f>
        <x:v>3.7687237614920512</x:v>
      </x:c>
      <x:c r="E44" s="87" t="n">
        <x:f>IF(OR(D44="",D43=""),"",D44-D43)</x:f>
        <x:v>-0.002645403938473123</x:v>
      </x:c>
      <x:c r="F44" s="87" t="n">
        <x:f>IF('Datos_fuente'!E44="","",LN('Datos_fuente'!E44))</x:f>
        <x:v>8.463843046318711</x:v>
      </x:c>
      <x:c r="G44" s="87" t="n">
        <x:f>IF(OR(F44="",F43=""),"",F44-F43)</x:f>
        <x:v>0.00357159087048764</x:v>
      </x:c>
      <x:c r="H44" s="55" t="n">
        <x:f>'Datos_fuente'!H44</x:f>
        <x:v>8.797857143</x:v>
      </x:c>
      <x:c r="I44" s="55" t="n">
        <x:f>IF(OR(H44="",H43=""),"",H44-H43)</x:f>
        <x:v>-0.5521428569999998</x:v>
      </x:c>
      <x:c r="J44" s="55" t="n">
        <x:f>'Datos_fuente'!J44</x:f>
        <x:v>1.618704014</x:v>
      </x:c>
      <x:c r="K44" s="55" t="n">
        <x:f>IF(OR(J44="",J43=""),"",J44-J43)</x:f>
        <x:v>-0.13670499400000002</x:v>
      </x:c>
      <x:c r="L44" s="87" t="n">
        <x:f>IF('Datos_fuente'!K44="","",LN('Datos_fuente'!K44))</x:f>
        <x:v>4.63447387122404</x:v>
      </x:c>
      <x:c r="M44" s="87" t="n">
        <x:f>IF(OR(L44="",L43=""),"",L44-L43)</x:f>
        <x:v>0.025789026889948552</x:v>
      </x:c>
      <x:c r="N44" s="87" t="n">
        <x:f>IF('Datos_fuente'!L44="","",LN('Datos_fuente'!L44))</x:f>
        <x:v>3.819261154912846</x:v>
      </x:c>
      <x:c r="O44" s="87" t="n">
        <x:f>IF(OR(N44="",N43=""),"",N44-N43)</x:f>
        <x:v>0.01966803882983381</x:v>
      </x:c>
      <x:c r="P44" s="82" t="n">
        <x:f>'Datos_fuente'!N44</x:f>
        <x:v>0</x:v>
      </x:c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>
      <x:c r="A45" s="1" t="str">
        <x:f>'Datos_fuente'!A45</x:f>
        <x:v>2009-03</x:v>
      </x:c>
      <x:c r="B45" s="87" t="n">
        <x:f>IF('Datos_fuente'!B45="","",LN('Datos_fuente'!B45))</x:f>
        <x:v>7.811825580231302</x:v>
      </x:c>
      <x:c r="C45" s="87" t="n">
        <x:f>IF(OR(B45="",B44=""),"",B45-B44)</x:f>
        <x:v>-0.01714599449406151</x:v>
      </x:c>
      <x:c r="D45" s="87" t="n">
        <x:f>IF('Datos_fuente'!C45="","",LN('Datos_fuente'!C45))</x:f>
        <x:v>3.840321924693661</x:v>
      </x:c>
      <x:c r="E45" s="87" t="n">
        <x:f>IF(OR(D45="",D44=""),"",D45-D44)</x:f>
        <x:v>0.07159816320160983</x:v>
      </x:c>
      <x:c r="F45" s="87" t="n">
        <x:f>IF('Datos_fuente'!E45="","",LN('Datos_fuente'!E45))</x:f>
        <x:v>8.463091747338146</x:v>
      </x:c>
      <x:c r="G45" s="87" t="n">
        <x:f>IF(OR(F45="",F44=""),"",F45-F44)</x:f>
        <x:v>-0.0007512989805658066</x:v>
      </x:c>
      <x:c r="H45" s="55" t="n">
        <x:f>'Datos_fuente'!H45</x:f>
        <x:v>7.594193548</x:v>
      </x:c>
      <x:c r="I45" s="55" t="n">
        <x:f>IF(OR(H45="",H44=""),"",H45-H44)</x:f>
        <x:v>-1.203663595</x:v>
      </x:c>
      <x:c r="J45" s="55" t="n">
        <x:f>'Datos_fuente'!J45</x:f>
        <x:v>1.755024832</x:v>
      </x:c>
      <x:c r="K45" s="55" t="n">
        <x:f>IF(OR(J45="",J44=""),"",J45-J44)</x:f>
        <x:v>0.13632081799999995</x:v>
      </x:c>
      <x:c r="L45" s="87" t="n">
        <x:f>IF('Datos_fuente'!K45="","",LN('Datos_fuente'!K45))</x:f>
        <x:v>4.63898927409708</x:v>
      </x:c>
      <x:c r="M45" s="87" t="n">
        <x:f>IF(OR(L45="",L44=""),"",L45-L44)</x:f>
        <x:v>0.00451540287303942</x:v>
      </x:c>
      <x:c r="N45" s="87" t="n">
        <x:f>IF('Datos_fuente'!L45="","",LN('Datos_fuente'!L45))</x:f>
        <x:v>3.8021066733359303</x:v>
      </x:c>
      <x:c r="O45" s="87" t="n">
        <x:f>IF(OR(N45="",N44=""),"",N45-N44)</x:f>
        <x:v>-0.017154481576915792</x:v>
      </x:c>
      <x:c r="P45" s="82" t="n">
        <x:f>'Datos_fuente'!N45</x:f>
        <x:v>0</x:v>
      </x:c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>
      <x:c r="A46" s="1" t="str">
        <x:f>'Datos_fuente'!A46</x:f>
        <x:v>2009-04</x:v>
      </x:c>
      <x:c r="B46" s="87" t="n">
        <x:f>IF('Datos_fuente'!B46="","",LN('Datos_fuente'!B46))</x:f>
        <x:v>7.772587509980796</x:v>
      </x:c>
      <x:c r="C46" s="87" t="n">
        <x:f>IF(OR(B46="",B45=""),"",B46-B45)</x:f>
        <x:v>-0.03923807025050596</x:v>
      </x:c>
      <x:c r="D46" s="87" t="n">
        <x:f>IF('Datos_fuente'!C46="","",LN('Datos_fuente'!C46))</x:f>
        <x:v>3.9156544987670916</x:v>
      </x:c>
      <x:c r="E46" s="87" t="n">
        <x:f>IF(OR(D46="",D45=""),"",D46-D45)</x:f>
        <x:v>0.07533257407343052</x:v>
      </x:c>
      <x:c r="F46" s="87" t="n">
        <x:f>IF('Datos_fuente'!E46="","",LN('Datos_fuente'!E46))</x:f>
        <x:v>8.449081360270666</x:v>
      </x:c>
      <x:c r="G46" s="87" t="n">
        <x:f>IF(OR(F46="",F45=""),"",F46-F45)</x:f>
        <x:v>-0.014010387067479257</x:v>
      </x:c>
      <x:c r="H46" s="55" t="n">
        <x:f>'Datos_fuente'!H46</x:f>
        <x:v>6.85</x:v>
      </x:c>
      <x:c r="I46" s="55" t="n">
        <x:f>IF(OR(H46="",H45=""),"",H46-H45)</x:f>
        <x:v>-0.7441935480000001</x:v>
      </x:c>
      <x:c r="J46" s="55" t="n">
        <x:f>'Datos_fuente'!J46</x:f>
        <x:v>1.407735645</x:v>
      </x:c>
      <x:c r="K46" s="55" t="n">
        <x:f>IF(OR(J46="",J45=""),"",J46-J45)</x:f>
        <x:v>-0.3472891869999999</x:v>
      </x:c>
      <x:c r="L46" s="87" t="n">
        <x:f>IF('Datos_fuente'!K46="","",LN('Datos_fuente'!K46))</x:f>
        <x:v>4.612306525635618</x:v>
      </x:c>
      <x:c r="M46" s="87" t="n">
        <x:f>IF(OR(L46="",L45=""),"",L46-L45)</x:f>
        <x:v>-0.02668274846146179</x:v>
      </x:c>
      <x:c r="N46" s="87" t="n">
        <x:f>IF('Datos_fuente'!L46="","",LN('Datos_fuente'!L46))</x:f>
        <x:v>3.639263949344634</x:v>
      </x:c>
      <x:c r="O46" s="87" t="n">
        <x:f>IF(OR(N46="",N45=""),"",N46-N45)</x:f>
        <x:v>-0.16284272399129618</x:v>
      </x:c>
      <x:c r="P46" s="82" t="n">
        <x:f>'Datos_fuente'!N46</x:f>
        <x:v>0</x:v>
      </x:c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>
      <x:c r="A47" s="1" t="str">
        <x:f>'Datos_fuente'!A47</x:f>
        <x:v>2009-05</x:v>
      </x:c>
      <x:c r="B47" s="87" t="n">
        <x:f>IF('Datos_fuente'!B47="","",LN('Datos_fuente'!B47))</x:f>
        <x:v>7.708553334224092</x:v>
      </x:c>
      <x:c r="C47" s="87" t="n">
        <x:f>IF(OR(B47="",B46=""),"",B47-B46)</x:f>
        <x:v>-0.06403417575670378</x:v>
      </x:c>
      <x:c r="D47" s="87" t="n">
        <x:f>IF('Datos_fuente'!C47="","",LN('Datos_fuente'!C47))</x:f>
        <x:v>4.048344252786384</x:v>
      </x:c>
      <x:c r="E47" s="87" t="n">
        <x:f>IF(OR(D47="",D46=""),"",D47-D46)</x:f>
        <x:v>0.1326897540192924</x:v>
      </x:c>
      <x:c r="F47" s="87" t="n">
        <x:f>IF('Datos_fuente'!E47="","",LN('Datos_fuente'!E47))</x:f>
        <x:v>8.435299605256736</x:v>
      </x:c>
      <x:c r="G47" s="87" t="n">
        <x:f>IF(OR(F47="",F46=""),"",F47-F46)</x:f>
        <x:v>-0.013781755013930308</x:v>
      </x:c>
      <x:c r="H47" s="55" t="n">
        <x:f>'Datos_fuente'!H47</x:f>
        <x:v>5.916774194</x:v>
      </x:c>
      <x:c r="I47" s="55" t="n">
        <x:f>IF(OR(H47="",H46=""),"",H47-H46)</x:f>
        <x:v>-0.9332258059999994</x:v>
      </x:c>
      <x:c r="J47" s="55" t="n">
        <x:f>'Datos_fuente'!J47</x:f>
        <x:v>2.231473675</x:v>
      </x:c>
      <x:c r="K47" s="55" t="n">
        <x:f>IF(OR(J47="",J46=""),"",J47-J46)</x:f>
        <x:v>0.8237380300000001</x:v>
      </x:c>
      <x:c r="L47" s="87" t="n">
        <x:f>IF('Datos_fuente'!K47="","",LN('Datos_fuente'!K47))</x:f>
        <x:v>4.580384339051533</x:v>
      </x:c>
      <x:c r="M47" s="87" t="n">
        <x:f>IF(OR(L47="",L46=""),"",L47-L46)</x:f>
        <x:v>-0.031922186584084855</x:v>
      </x:c>
      <x:c r="N47" s="87" t="n">
        <x:f>IF('Datos_fuente'!L47="","",LN('Datos_fuente'!L47))</x:f>
        <x:v>3.465048166363229</x:v>
      </x:c>
      <x:c r="O47" s="87" t="n">
        <x:f>IF(OR(N47="",N46=""),"",N47-N46)</x:f>
        <x:v>-0.17421578298140528</x:v>
      </x:c>
      <x:c r="P47" s="82" t="n">
        <x:f>'Datos_fuente'!N47</x:f>
        <x:v>0</x:v>
      </x:c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>
      <x:c r="A48" s="1" t="str">
        <x:f>'Datos_fuente'!A48</x:f>
        <x:v>2009-06</x:v>
      </x:c>
      <x:c r="B48" s="87" t="n">
        <x:f>IF('Datos_fuente'!B48="","",LN('Datos_fuente'!B48))</x:f>
        <x:v>7.6446610977403155</x:v>
      </x:c>
      <x:c r="C48" s="87" t="n">
        <x:f>IF(OR(B48="",B47=""),"",B48-B47)</x:f>
        <x:v>-0.06389223648377662</x:v>
      </x:c>
      <x:c r="D48" s="87" t="n">
        <x:f>IF('Datos_fuente'!C48="","",LN('Datos_fuente'!C48))</x:f>
        <x:v>4.228431671553321</x:v>
      </x:c>
      <x:c r="E48" s="87" t="n">
        <x:f>IF(OR(D48="",D47=""),"",D48-D47)</x:f>
        <x:v>0.180087418766937</x:v>
      </x:c>
      <x:c r="F48" s="87" t="n">
        <x:f>IF('Datos_fuente'!E48="","",LN('Datos_fuente'!E48))</x:f>
        <x:v>8.424459290154628</x:v>
      </x:c>
      <x:c r="G48" s="87" t="n">
        <x:f>IF(OR(F48="",F47=""),"",F48-F47)</x:f>
        <x:v>-0.010840315102107922</x:v>
      </x:c>
      <x:c r="H48" s="55" t="n">
        <x:f>'Datos_fuente'!H48</x:f>
        <x:v>4.656666667</x:v>
      </x:c>
      <x:c r="I48" s="55" t="n">
        <x:f>IF(OR(H48="",H47=""),"",H48-H47)</x:f>
        <x:v>-1.2601075270000006</x:v>
      </x:c>
      <x:c r="J48" s="55" t="n">
        <x:f>'Datos_fuente'!J48</x:f>
        <x:v>2.985204818</x:v>
      </x:c>
      <x:c r="K48" s="55" t="n">
        <x:f>IF(OR(J48="",J47=""),"",J48-J47)</x:f>
        <x:v>0.753731143</x:v>
      </x:c>
      <x:c r="L48" s="87" t="n">
        <x:f>IF('Datos_fuente'!K48="","",LN('Datos_fuente'!K48))</x:f>
        <x:v>4.564792032330907</x:v>
      </x:c>
      <x:c r="M48" s="87" t="n">
        <x:f>IF(OR(L48="",L47=""),"",L48-L47)</x:f>
        <x:v>-0.015592306720626503</x:v>
      </x:c>
      <x:c r="N48" s="87" t="n">
        <x:f>IF('Datos_fuente'!L48="","",LN('Datos_fuente'!L48))</x:f>
        <x:v>3.372127399478617</x:v>
      </x:c>
      <x:c r="O48" s="87" t="n">
        <x:f>IF(OR(N48="",N47=""),"",N48-N47)</x:f>
        <x:v>-0.0929207668846117</x:v>
      </x:c>
      <x:c r="P48" s="82" t="n">
        <x:f>'Datos_fuente'!N48</x:f>
        <x:v>0</x:v>
      </x:c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>
      <x:c r="A49" s="1" t="str">
        <x:f>'Datos_fuente'!A49</x:f>
        <x:v>2009-07</x:v>
      </x:c>
      <x:c r="B49" s="87" t="n">
        <x:f>IF('Datos_fuente'!B49="","",LN('Datos_fuente'!B49))</x:f>
        <x:v>7.625224114067725</x:v>
      </x:c>
      <x:c r="C49" s="87" t="n">
        <x:f>IF(OR(B49="",B48=""),"",B49-B48)</x:f>
        <x:v>-0.01943698367259028</x:v>
      </x:c>
      <x:c r="D49" s="87" t="n">
        <x:f>IF('Datos_fuente'!C49="","",LN('Datos_fuente'!C49))</x:f>
        <x:v>4.165664018111375</x:v>
      </x:c>
      <x:c r="E49" s="87" t="n">
        <x:f>IF(OR(D49="",D48=""),"",D49-D48)</x:f>
        <x:v>-0.0627676534419459</x:v>
      </x:c>
      <x:c r="F49" s="87" t="n">
        <x:f>IF('Datos_fuente'!E49="","",LN('Datos_fuente'!E49))</x:f>
        <x:v>8.390683942868483</x:v>
      </x:c>
      <x:c r="G49" s="87" t="n">
        <x:f>IF(OR(F49="",F48=""),"",F49-F48)</x:f>
        <x:v>-0.03377534728614506</x:v>
      </x:c>
      <x:c r="H49" s="55" t="n">
        <x:f>'Datos_fuente'!H49</x:f>
        <x:v>4.34</x:v>
      </x:c>
      <x:c r="I49" s="55" t="n">
        <x:f>IF(OR(H49="",H48=""),"",H49-H48)</x:f>
        <x:v>-0.3166666669999998</x:v>
      </x:c>
      <x:c r="J49" s="55" t="n">
        <x:f>'Datos_fuente'!J49</x:f>
        <x:v>3.328051074</x:v>
      </x:c>
      <x:c r="K49" s="55" t="n">
        <x:f>IF(OR(J49="",J48=""),"",J49-J48)</x:f>
        <x:v>0.34284625600000007</x:v>
      </x:c>
      <x:c r="L49" s="87" t="n">
        <x:f>IF('Datos_fuente'!K49="","",LN('Datos_fuente'!K49))</x:f>
        <x:v>4.560806082788699</x:v>
      </x:c>
      <x:c r="M49" s="87" t="n">
        <x:f>IF(OR(L49="",L48=""),"",L49-L48)</x:f>
        <x:v>-0.003985949542207656</x:v>
      </x:c>
      <x:c r="N49" s="87" t="n">
        <x:f>IF('Datos_fuente'!L49="","",LN('Datos_fuente'!L49))</x:f>
        <x:v>3.2643357745953527</x:v>
      </x:c>
      <x:c r="O49" s="87" t="n">
        <x:f>IF(OR(N49="",N48=""),"",N49-N48)</x:f>
        <x:v>-0.10779162488326444</x:v>
      </x:c>
      <x:c r="P49" s="82" t="n">
        <x:f>'Datos_fuente'!N49</x:f>
        <x:v>0</x:v>
      </x:c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>
      <x:c r="A50" s="1" t="str">
        <x:f>'Datos_fuente'!A50</x:f>
        <x:v>2009-08</x:v>
      </x:c>
      <x:c r="B50" s="87" t="n">
        <x:f>IF('Datos_fuente'!B50="","",LN('Datos_fuente'!B50))</x:f>
        <x:v>7.609672918877946</x:v>
      </x:c>
      <x:c r="C50" s="87" t="n">
        <x:f>IF(OR(B50="",B49=""),"",B50-B49)</x:f>
        <x:v>-0.015551195189779321</x:v>
      </x:c>
      <x:c r="D50" s="87" t="n">
        <x:f>IF('Datos_fuente'!C50="","",LN('Datos_fuente'!C50))</x:f>
        <x:v>4.283704781493102</x:v>
      </x:c>
      <x:c r="E50" s="87" t="n">
        <x:f>IF(OR(D50="",D49=""),"",D50-D49)</x:f>
        <x:v>0.11804076338172731</x:v>
      </x:c>
      <x:c r="F50" s="87" t="n">
        <x:f>IF('Datos_fuente'!E50="","",LN('Datos_fuente'!E50))</x:f>
        <x:v>8.375705661070153</x:v>
      </x:c>
      <x:c r="G50" s="87" t="n">
        <x:f>IF(OR(F50="",F49=""),"",F50-F49)</x:f>
        <x:v>-0.014978281798329718</x:v>
      </x:c>
      <x:c r="H50" s="55" t="n">
        <x:f>'Datos_fuente'!H50</x:f>
        <x:v>4.34</x:v>
      </x:c>
      <x:c r="I50" s="55" t="n">
        <x:f>IF(OR(H50="",H49=""),"",H50-H49)</x:f>
        <x:v>0</x:v>
      </x:c>
      <x:c r="J50" s="55" t="n">
        <x:f>'Datos_fuente'!J50</x:f>
        <x:v>2.958181152</x:v>
      </x:c>
      <x:c r="K50" s="55" t="n">
        <x:f>IF(OR(J50="",J49=""),"",J50-J49)</x:f>
        <x:v>-0.36986992200000035</x:v>
      </x:c>
      <x:c r="L50" s="87" t="n">
        <x:f>IF('Datos_fuente'!K50="","",LN('Datos_fuente'!K50))</x:f>
        <x:v>4.5472554694468705</x:v>
      </x:c>
      <x:c r="M50" s="87" t="n">
        <x:f>IF(OR(L50="",L49=""),"",L50-L49)</x:f>
        <x:v>-0.013550613341828388</x:v>
      </x:c>
      <x:c r="N50" s="87" t="n">
        <x:f>IF('Datos_fuente'!L50="","",LN('Datos_fuente'!L50))</x:f>
        <x:v>3.2322714163655077</x:v>
      </x:c>
      <x:c r="O50" s="87" t="n">
        <x:f>IF(OR(N50="",N49=""),"",N50-N49)</x:f>
        <x:v>-0.03206435822984499</x:v>
      </x:c>
      <x:c r="P50" s="82" t="n">
        <x:f>'Datos_fuente'!N50</x:f>
        <x:v>0</x:v>
      </x:c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>
      <x:c r="A51" s="1" t="str">
        <x:f>'Datos_fuente'!A51</x:f>
        <x:v>2009-09</x:v>
      </x:c>
      <x:c r="B51" s="87" t="n">
        <x:f>IF('Datos_fuente'!B51="","",LN('Datos_fuente'!B51))</x:f>
        <x:v>7.589858195562194</x:v>
      </x:c>
      <x:c r="C51" s="87" t="n">
        <x:f>IF(OR(B51="",B50=""),"",B51-B50)</x:f>
        <x:v>-0.019814723315751515</x:v>
      </x:c>
      <x:c r="D51" s="87" t="n">
        <x:f>IF('Datos_fuente'!C51="","",LN('Datos_fuente'!C51))</x:f>
        <x:v>4.214291040836084</x:v>
      </x:c>
      <x:c r="E51" s="87" t="n">
        <x:f>IF(OR(D51="",D50=""),"",D51-D50)</x:f>
        <x:v>-0.06941374065701833</x:v>
      </x:c>
      <x:c r="F51" s="87" t="n">
        <x:f>IF('Datos_fuente'!E51="","",LN('Datos_fuente'!E51))</x:f>
        <x:v>8.337465866690502</x:v>
      </x:c>
      <x:c r="G51" s="87" t="n">
        <x:f>IF(OR(F51="",F50=""),"",F51-F50)</x:f>
        <x:v>-0.03823979437965086</x:v>
      </x:c>
      <x:c r="H51" s="55" t="n">
        <x:f>'Datos_fuente'!H51</x:f>
        <x:v>4.3</x:v>
      </x:c>
      <x:c r="I51" s="55" t="n">
        <x:f>IF(OR(H51="",H50=""),"",H51-H50)</x:f>
        <x:v>-0.040000000000000036</x:v>
      </x:c>
      <x:c r="J51" s="55" t="n">
        <x:f>'Datos_fuente'!J51</x:f>
        <x:v>3.078867119</x:v>
      </x:c>
      <x:c r="K51" s="55" t="n">
        <x:f>IF(OR(J51="",J50=""),"",J51-J50)</x:f>
        <x:v>0.120685967</x:v>
      </x:c>
      <x:c r="L51" s="87" t="n">
        <x:f>IF('Datos_fuente'!K51="","",LN('Datos_fuente'!K51))</x:f>
        <x:v>4.539711775215087</x:v>
      </x:c>
      <x:c r="M51" s="87" t="n">
        <x:f>IF(OR(L51="",L50=""),"",L51-L50)</x:f>
        <x:v>-0.007543694231783249</x:v>
      </x:c>
      <x:c r="N51" s="87" t="n">
        <x:f>IF('Datos_fuente'!L51="","",LN('Datos_fuente'!L51))</x:f>
        <x:v>3.2159381810145837</x:v>
      </x:c>
      <x:c r="O51" s="87" t="n">
        <x:f>IF(OR(N51="",N50=""),"",N51-N50)</x:f>
        <x:v>-0.016333235350924014</x:v>
      </x:c>
      <x:c r="P51" s="82" t="n">
        <x:f>'Datos_fuente'!N51</x:f>
        <x:v>0</x:v>
      </x:c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>
      <x:c r="A52" s="1" t="str">
        <x:f>'Datos_fuente'!A52</x:f>
        <x:v>2009-10</x:v>
      </x:c>
      <x:c r="B52" s="87" t="n">
        <x:f>IF('Datos_fuente'!B52="","",LN('Datos_fuente'!B52))</x:f>
        <x:v>7.550345905799745</x:v>
      </x:c>
      <x:c r="C52" s="87" t="n">
        <x:f>IF(OR(B52="",B51=""),"",B52-B51)</x:f>
        <x:v>-0.039512289762449804</x:v>
      </x:c>
      <x:c r="D52" s="87" t="n">
        <x:f>IF('Datos_fuente'!C52="","",LN('Datos_fuente'!C52))</x:f>
        <x:v>4.287297535946742</x:v>
      </x:c>
      <x:c r="E52" s="87" t="n">
        <x:f>IF(OR(D52="",D51=""),"",D52-D51)</x:f>
        <x:v>0.07300649511065771</x:v>
      </x:c>
      <x:c r="F52" s="87" t="n">
        <x:f>IF('Datos_fuente'!E52="","",LN('Datos_fuente'!E52))</x:f>
        <x:v>8.316603381571646</x:v>
      </x:c>
      <x:c r="G52" s="87" t="n">
        <x:f>IF(OR(F52="",F51=""),"",F52-F51)</x:f>
        <x:v>-0.020862485118856355</x:v>
      </x:c>
      <x:c r="H52" s="55" t="n">
        <x:f>'Datos_fuente'!H52</x:f>
        <x:v>3.88</x:v>
      </x:c>
      <x:c r="I52" s="55" t="n">
        <x:f>IF(OR(H52="",H51=""),"",H52-H51)</x:f>
        <x:v>-0.41999999999999993</x:v>
      </x:c>
      <x:c r="J52" s="55" t="n">
        <x:f>'Datos_fuente'!J52</x:f>
        <x:v>3.601588988</x:v>
      </x:c>
      <x:c r="K52" s="55" t="n">
        <x:f>IF(OR(J52="",J51=""),"",J52-J51)</x:f>
        <x:v>0.5227218690000002</x:v>
      </x:c>
      <x:c r="L52" s="87" t="n">
        <x:f>IF('Datos_fuente'!K52="","",LN('Datos_fuente'!K52))</x:f>
        <x:v>4.52460809737629</x:v>
      </x:c>
      <x:c r="M52" s="87" t="n">
        <x:f>IF(OR(L52="",L51=""),"",L52-L51)</x:f>
        <x:v>-0.015103677838797402</x:v>
      </x:c>
      <x:c r="N52" s="87" t="n">
        <x:f>IF('Datos_fuente'!L52="","",LN('Datos_fuente'!L52))</x:f>
        <x:v>3.1885103338167124</x:v>
      </x:c>
      <x:c r="O52" s="87" t="n">
        <x:f>IF(OR(N52="",N51=""),"",N52-N51)</x:f>
        <x:v>-0.02742784719787128</x:v>
      </x:c>
      <x:c r="P52" s="82" t="n">
        <x:f>'Datos_fuente'!N52</x:f>
        <x:v>0</x:v>
      </x:c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>
      <x:c r="A53" s="1" t="str">
        <x:f>'Datos_fuente'!A53</x:f>
        <x:v>2009-11</x:v>
      </x:c>
      <x:c r="B53" s="87" t="n">
        <x:f>IF('Datos_fuente'!B53="","",LN('Datos_fuente'!B53))</x:f>
        <x:v>7.589274785900698</x:v>
      </x:c>
      <x:c r="C53" s="87" t="n">
        <x:f>IF(OR(B53="",B52=""),"",B53-B52)</x:f>
        <x:v>0.0389288801009533</x:v>
      </x:c>
      <x:c r="D53" s="87" t="n">
        <x:f>IF('Datos_fuente'!C53="","",LN('Datos_fuente'!C53))</x:f>
        <x:v>4.3394061488372415</x:v>
      </x:c>
      <x:c r="E53" s="87" t="n">
        <x:f>IF(OR(D53="",D52=""),"",D53-D52)</x:f>
        <x:v>0.05210861289049973</x:v>
      </x:c>
      <x:c r="F53" s="87" t="n">
        <x:f>IF('Datos_fuente'!E53="","",LN('Datos_fuente'!E53))</x:f>
        <x:v>8.322318776130032</x:v>
      </x:c>
      <x:c r="G53" s="87" t="n">
        <x:f>IF(OR(F53="",F52=""),"",F53-F52)</x:f>
        <x:v>0.005715394558386322</x:v>
      </x:c>
      <x:c r="H53" s="55" t="n">
        <x:f>'Datos_fuente'!H53</x:f>
        <x:v>3.763333333</x:v>
      </x:c>
      <x:c r="I53" s="55" t="n">
        <x:f>IF(OR(H53="",H52=""),"",H53-H52)</x:f>
        <x:v>-0.11666666700000006</x:v>
      </x:c>
      <x:c r="J53" s="55" t="n">
        <x:f>'Datos_fuente'!J53</x:f>
        <x:v>3.348767122</x:v>
      </x:c>
      <x:c r="K53" s="55" t="n">
        <x:f>IF(OR(J53="",J52=""),"",J53-J52)</x:f>
        <x:v>-0.2528218660000001</x:v>
      </x:c>
      <x:c r="L53" s="87" t="n">
        <x:f>IF('Datos_fuente'!K53="","",LN('Datos_fuente'!K53))</x:f>
        <x:v>4.519608055024852</x:v>
      </x:c>
      <x:c r="M53" s="87" t="n">
        <x:f>IF(OR(L53="",L52=""),"",L53-L52)</x:f>
        <x:v>-0.005000042351437806</x:v>
      </x:c>
      <x:c r="N53" s="87" t="n">
        <x:f>IF('Datos_fuente'!L53="","",LN('Datos_fuente'!L53))</x:f>
        <x:v>3.1692232889631295</x:v>
      </x:c>
      <x:c r="O53" s="87" t="n">
        <x:f>IF(OR(N53="",N52=""),"",N53-N52)</x:f>
        <x:v>-0.019287044853582902</x:v>
      </x:c>
      <x:c r="P53" s="82" t="n">
        <x:f>'Datos_fuente'!N53</x:f>
        <x:v>0</x:v>
      </x:c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>
      <x:c r="A54" s="1" t="str">
        <x:f>'Datos_fuente'!A54</x:f>
        <x:v>2009-12</x:v>
      </x:c>
      <x:c r="B54" s="87" t="n">
        <x:f>IF('Datos_fuente'!B54="","",LN('Datos_fuente'!B54))</x:f>
        <x:v>7.609868435284606</x:v>
      </x:c>
      <x:c r="C54" s="87" t="n">
        <x:f>IF(OR(B54="",B53=""),"",B54-B53)</x:f>
        <x:v>0.020593649383908286</x:v>
      </x:c>
      <x:c r="D54" s="87" t="n">
        <x:f>IF('Datos_fuente'!C54="","",LN('Datos_fuente'!C54))</x:f>
        <x:v>4.310213230829794</x:v>
      </x:c>
      <x:c r="E54" s="87" t="n">
        <x:f>IF(OR(D54="",D53=""),"",D54-D53)</x:f>
        <x:v>-0.029192918007447943</x:v>
      </x:c>
      <x:c r="F54" s="87" t="n">
        <x:f>IF('Datos_fuente'!E54="","",LN('Datos_fuente'!E54))</x:f>
        <x:v>8.316368706351295</x:v>
      </x:c>
      <x:c r="G54" s="87" t="n">
        <x:f>IF(OR(F54="",F53=""),"",F54-F53)</x:f>
        <x:v>-0.005950069778737799</x:v>
      </x:c>
      <x:c r="H54" s="55" t="n">
        <x:f>'Datos_fuente'!H54</x:f>
        <x:v>3.38</x:v>
      </x:c>
      <x:c r="I54" s="55" t="n">
        <x:f>IF(OR(H54="",H53=""),"",H54-H53)</x:f>
        <x:v>-0.38333333299999994</x:v>
      </x:c>
      <x:c r="J54" s="55" t="n">
        <x:f>'Datos_fuente'!J54</x:f>
        <x:v>4.13000348</x:v>
      </x:c>
      <x:c r="K54" s="55" t="n">
        <x:f>IF(OR(J54="",J53=""),"",J54-J53)</x:f>
        <x:v>0.7812363580000001</x:v>
      </x:c>
      <x:c r="L54" s="87" t="n">
        <x:f>IF('Datos_fuente'!K54="","",LN('Datos_fuente'!K54))</x:f>
        <x:v>4.524595709992506</x:v>
      </x:c>
      <x:c r="M54" s="87" t="n">
        <x:f>IF(OR(L54="",L53=""),"",L54-L53)</x:f>
        <x:v>0.004987654967654187</x:v>
      </x:c>
      <x:c r="N54" s="87" t="n">
        <x:f>IF('Datos_fuente'!L54="","",LN('Datos_fuente'!L54))</x:f>
        <x:v>3.055864795485607</x:v>
      </x:c>
      <x:c r="O54" s="87" t="n">
        <x:f>IF(OR(N54="",N53=""),"",N54-N53)</x:f>
        <x:v>-0.11335849347752269</x:v>
      </x:c>
      <x:c r="P54" s="82" t="n">
        <x:f>'Datos_fuente'!N54</x:f>
        <x:v>0</x:v>
      </x:c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>
      <x:c r="A55" s="1" t="str">
        <x:f>'Datos_fuente'!A55</x:f>
        <x:v>2010-01</x:v>
      </x:c>
      <x:c r="B55" s="87" t="n">
        <x:f>IF('Datos_fuente'!B55="","",LN('Datos_fuente'!B55))</x:f>
        <x:v>7.592581321702962</x:v>
      </x:c>
      <x:c r="C55" s="87" t="n">
        <x:f>IF(OR(B55="",B54=""),"",B55-B54)</x:f>
        <x:v>-0.017287113581644142</x:v>
      </x:c>
      <x:c r="D55" s="87" t="n">
        <x:f>IF('Datos_fuente'!C55="","",LN('Datos_fuente'!C55))</x:f>
        <x:v>4.3329331350153915</x:v>
      </x:c>
      <x:c r="E55" s="87" t="n">
        <x:f>IF(OR(D55="",D54=""),"",D55-D54)</x:f>
        <x:v>0.022719904185597883</x:v>
      </x:c>
      <x:c r="F55" s="87" t="n">
        <x:f>IF('Datos_fuente'!E55="","",LN('Datos_fuente'!E55))</x:f>
        <x:v>8.30309609723786</x:v>
      </x:c>
      <x:c r="G55" s="87" t="n">
        <x:f>IF(OR(F55="",F54=""),"",F55-F54)</x:f>
        <x:v>-0.013272609113434086</x:v>
      </x:c>
      <x:c r="H55" s="55" t="n">
        <x:f>'Datos_fuente'!H55</x:f>
        <x:v>3.39</x:v>
      </x:c>
      <x:c r="I55" s="55" t="n">
        <x:f>IF(OR(H55="",H54=""),"",H55-H54)</x:f>
        <x:v>0.010000000000000231</x:v>
      </x:c>
      <x:c r="J55" s="55" t="n">
        <x:f>'Datos_fuente'!J55</x:f>
        <x:v>3.616995811</x:v>
      </x:c>
      <x:c r="K55" s="55" t="n">
        <x:f>IF(OR(J55="",J54=""),"",J55-J54)</x:f>
        <x:v>-0.5130076690000003</x:v>
      </x:c>
      <x:c r="L55" s="87" t="n">
        <x:f>IF('Datos_fuente'!K55="","",LN('Datos_fuente'!K55))</x:f>
        <x:v>4.526563030749248</x:v>
      </x:c>
      <x:c r="M55" s="87" t="n">
        <x:f>IF(OR(L55="",L54=""),"",L55-L54)</x:f>
        <x:v>0.001967320756741664</x:v>
      </x:c>
      <x:c r="N55" s="87" t="n">
        <x:f>IF('Datos_fuente'!L55="","",LN('Datos_fuente'!L55))</x:f>
        <x:v>3.02738392745679</x:v>
      </x:c>
      <x:c r="O55" s="87" t="n">
        <x:f>IF(OR(N55="",N54=""),"",N55-N54)</x:f>
        <x:v>-0.028480868028816886</x:v>
      </x:c>
      <x:c r="P55" s="82" t="n">
        <x:f>'Datos_fuente'!N55</x:f>
        <x:v>0</x:v>
      </x:c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>
      <x:c r="A56" s="1" t="str">
        <x:f>'Datos_fuente'!A56</x:f>
        <x:v>2010-02</x:v>
      </x:c>
      <x:c r="B56" s="87" t="n">
        <x:f>IF('Datos_fuente'!B56="","",LN('Datos_fuente'!B56))</x:f>
        <x:v>7.576468327155324</x:v>
      </x:c>
      <x:c r="C56" s="87" t="n">
        <x:f>IF(OR(B56="",B55=""),"",B56-B55)</x:f>
        <x:v>-0.016112994547637705</x:v>
      </x:c>
      <x:c r="D56" s="87" t="n">
        <x:f>IF('Datos_fuente'!C56="","",LN('Datos_fuente'!C56))</x:f>
        <x:v>4.300709540710808</x:v>
      </x:c>
      <x:c r="E56" s="87" t="n">
        <x:f>IF(OR(D56="",D55=""),"",D56-D55)</x:f>
        <x:v>-0.032223594304583436</x:v>
      </x:c>
      <x:c r="F56" s="87" t="n">
        <x:f>IF('Datos_fuente'!E56="","",LN('Datos_fuente'!E56))</x:f>
        <x:v>8.277625499287858</x:v>
      </x:c>
      <x:c r="G56" s="87" t="n">
        <x:f>IF(OR(F56="",F55=""),"",F56-F55)</x:f>
        <x:v>-0.025470597950002727</x:v>
      </x:c>
      <x:c r="H56" s="55" t="n">
        <x:f>'Datos_fuente'!H56</x:f>
        <x:v>3.37</x:v>
      </x:c>
      <x:c r="I56" s="55" t="n">
        <x:f>IF(OR(H56="",H55=""),"",H56-H55)</x:f>
        <x:v>-0.020000000000000018</x:v>
      </x:c>
      <x:c r="J56" s="55" t="n">
        <x:f>'Datos_fuente'!J56</x:f>
        <x:v>3.109598706</x:v>
      </x:c>
      <x:c r="K56" s="55" t="n">
        <x:f>IF(OR(J56="",J55=""),"",J56-J55)</x:f>
        <x:v>-0.5073971049999999</x:v>
      </x:c>
      <x:c r="L56" s="87" t="n">
        <x:f>IF('Datos_fuente'!K56="","",LN('Datos_fuente'!K56))</x:f>
        <x:v>4.5420885231169805</x:v>
      </x:c>
      <x:c r="M56" s="87" t="n">
        <x:f>IF(OR(L56="",L55=""),"",L56-L55)</x:f>
        <x:v>0.015525492367732596</x:v>
      </x:c>
      <x:c r="N56" s="87" t="n">
        <x:f>IF('Datos_fuente'!L56="","",LN('Datos_fuente'!L56))</x:f>
        <x:v>3.11529150861163</x:v>
      </x:c>
      <x:c r="O56" s="87" t="n">
        <x:f>IF(OR(N56="",N55=""),"",N56-N55)</x:f>
        <x:v>0.08790758115484021</x:v>
      </x:c>
      <x:c r="P56" s="82" t="n">
        <x:f>'Datos_fuente'!N56</x:f>
        <x:v>0</x:v>
      </x:c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>
      <x:c r="A57" s="1" t="str">
        <x:f>'Datos_fuente'!A57</x:f>
        <x:v>2010-03</x:v>
      </x:c>
      <x:c r="B57" s="87" t="n">
        <x:f>IF('Datos_fuente'!B57="","",LN('Datos_fuente'!B57))</x:f>
        <x:v>7.554330598991837</x:v>
      </x:c>
      <x:c r="C57" s="87" t="n">
        <x:f>IF(OR(B57="",B56=""),"",B57-B56)</x:f>
        <x:v>-0.02213772816348758</x:v>
      </x:c>
      <x:c r="D57" s="87" t="n">
        <x:f>IF('Datos_fuente'!C57="","",LN('Datos_fuente'!C57))</x:f>
        <x:v>4.367260541793047</x:v>
      </x:c>
      <x:c r="E57" s="87" t="n">
        <x:f>IF(OR(D57="",D56=""),"",D57-D56)</x:f>
        <x:v>0.06655100108223877</x:v>
      </x:c>
      <x:c r="F57" s="87" t="n">
        <x:f>IF('Datos_fuente'!E57="","",LN('Datos_fuente'!E57))</x:f>
        <x:v>8.271290095431384</x:v>
      </x:c>
      <x:c r="G57" s="87" t="n">
        <x:f>IF(OR(F57="",F56=""),"",F57-F56)</x:f>
        <x:v>-0.006335403856473576</x:v>
      </x:c>
      <x:c r="H57" s="55" t="n">
        <x:f>'Datos_fuente'!H57</x:f>
        <x:v>3.34</x:v>
      </x:c>
      <x:c r="I57" s="55" t="n">
        <x:f>IF(OR(H57="",H56=""),"",H57-H56)</x:f>
        <x:v>-0.03000000000000025</x:v>
      </x:c>
      <x:c r="J57" s="55" t="n">
        <x:f>'Datos_fuente'!J57</x:f>
        <x:v>3.076223761</x:v>
      </x:c>
      <x:c r="K57" s="55" t="n">
        <x:f>IF(OR(J57="",J56=""),"",J57-J56)</x:f>
        <x:v>-0.03337494499999982</x:v>
      </x:c>
      <x:c r="L57" s="87" t="n">
        <x:f>IF('Datos_fuente'!K57="","",LN('Datos_fuente'!K57))</x:f>
        <x:v>4.534209790122428</x:v>
      </x:c>
      <x:c r="M57" s="87" t="n">
        <x:f>IF(OR(L57="",L56=""),"",L57-L56)</x:f>
        <x:v>-0.007878732994552884</x:v>
      </x:c>
      <x:c r="N57" s="87" t="n">
        <x:f>IF('Datos_fuente'!L57="","",LN('Datos_fuente'!L57))</x:f>
        <x:v>2.8773648277882806</x:v>
      </x:c>
      <x:c r="O57" s="87" t="n">
        <x:f>IF(OR(N57="",N56=""),"",N57-N56)</x:f>
        <x:v>-0.23792668082334956</x:v>
      </x:c>
      <x:c r="P57" s="82" t="n">
        <x:f>'Datos_fuente'!N57</x:f>
        <x:v>0</x:v>
      </x:c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>
      <x:c r="A58" s="1" t="str">
        <x:f>'Datos_fuente'!A58</x:f>
        <x:v>2010-04</x:v>
      </x:c>
      <x:c r="B58" s="87" t="n">
        <x:f>IF('Datos_fuente'!B58="","",LN('Datos_fuente'!B58))</x:f>
        <x:v>7.569127438300412</x:v>
      </x:c>
      <x:c r="C58" s="87" t="n">
        <x:f>IF(OR(B58="",B57=""),"",B58-B57)</x:f>
        <x:v>0.014796839308575116</x:v>
      </x:c>
      <x:c r="D58" s="87" t="n">
        <x:f>IF('Datos_fuente'!C58="","",LN('Datos_fuente'!C58))</x:f>
        <x:v>4.440503293032321</x:v>
      </x:c>
      <x:c r="E58" s="87" t="n">
        <x:f>IF(OR(D58="",D57=""),"",D58-D57)</x:f>
        <x:v>0.07324275123927393</x:v>
      </x:c>
      <x:c r="F58" s="87" t="n">
        <x:f>IF('Datos_fuente'!E58="","",LN('Datos_fuente'!E58))</x:f>
        <x:v>8.265508694668442</x:v>
      </x:c>
      <x:c r="G58" s="87" t="n">
        <x:f>IF(OR(F58="",F57=""),"",F58-F57)</x:f>
        <x:v>-0.005781400762941757</x:v>
      </x:c>
      <x:c r="H58" s="55" t="n">
        <x:f>'Datos_fuente'!H58</x:f>
        <x:v>3.3</x:v>
      </x:c>
      <x:c r="I58" s="55" t="n">
        <x:f>IF(OR(H58="",H57=""),"",H58-H57)</x:f>
        <x:v>-0.040000000000000036</x:v>
      </x:c>
      <x:c r="J58" s="55" t="n">
        <x:f>'Datos_fuente'!J58</x:f>
        <x:v>3.553742597</x:v>
      </x:c>
      <x:c r="K58" s="55" t="n">
        <x:f>IF(OR(J58="",J57=""),"",J58-J57)</x:f>
        <x:v>0.4775188359999998</x:v>
      </x:c>
      <x:c r="L58" s="87" t="n">
        <x:f>IF('Datos_fuente'!K58="","",LN('Datos_fuente'!K58))</x:f>
        <x:v>4.528711151513531</x:v>
      </x:c>
      <x:c r="M58" s="87" t="n">
        <x:f>IF(OR(L58="",L57=""),"",L58-L57)</x:f>
        <x:v>-0.0054986386088966555</x:v>
      </x:c>
      <x:c r="N58" s="87" t="n">
        <x:f>IF('Datos_fuente'!L58="","",LN('Datos_fuente'!L58))</x:f>
        <x:v>2.8578649635538715</x:v>
      </x:c>
      <x:c r="O58" s="87" t="n">
        <x:f>IF(OR(N58="",N57=""),"",N58-N57)</x:f>
        <x:v>-0.01949986423440908</x:v>
      </x:c>
      <x:c r="P58" s="82" t="n">
        <x:f>'Datos_fuente'!N58</x:f>
        <x:v>0</x:v>
      </x:c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>
      <x:c r="A59" s="1" t="str">
        <x:f>'Datos_fuente'!A59</x:f>
        <x:v>2010-05</x:v>
      </x:c>
      <x:c r="B59" s="87" t="n">
        <x:f>IF('Datos_fuente'!B59="","",LN('Datos_fuente'!B59))</x:f>
        <x:v>7.592665239606123</x:v>
      </x:c>
      <x:c r="C59" s="87" t="n">
        <x:f>IF(OR(B59="",B58=""),"",B59-B58)</x:f>
        <x:v>0.023537801305710815</x:v>
      </x:c>
      <x:c r="D59" s="87" t="n">
        <x:f>IF('Datos_fuente'!C59="","",LN('Datos_fuente'!C59))</x:f>
        <x:v>4.3300159777802065</x:v>
      </x:c>
      <x:c r="E59" s="87" t="n">
        <x:f>IF(OR(D59="",D58=""),"",D59-D58)</x:f>
        <x:v>-0.1104873152521142</x:v>
      </x:c>
      <x:c r="F59" s="87" t="n">
        <x:f>IF('Datos_fuente'!E59="","",LN('Datos_fuente'!E59))</x:f>
        <x:v>8.262481570634366</x:v>
      </x:c>
      <x:c r="G59" s="87" t="n">
        <x:f>IF(OR(F59="",F58=""),"",F59-F58)</x:f>
        <x:v>-0.003027124034076678</x:v>
      </x:c>
      <x:c r="H59" s="55" t="n">
        <x:f>'Datos_fuente'!H59</x:f>
        <x:v>2.832258065</x:v>
      </x:c>
      <x:c r="I59" s="55" t="n">
        <x:f>IF(OR(H59="",H58=""),"",H59-H58)</x:f>
        <x:v>-0.46774193499999983</x:v>
      </x:c>
      <x:c r="J59" s="55" t="n">
        <x:f>'Datos_fuente'!J59</x:f>
        <x:v>3.538401375</x:v>
      </x:c>
      <x:c r="K59" s="55" t="n">
        <x:f>IF(OR(J59="",J58=""),"",J59-J58)</x:f>
        <x:v>-0.015341221999999988</x:v>
      </x:c>
      <x:c r="L59" s="87" t="n">
        <x:f>IF('Datos_fuente'!K59="","",LN('Datos_fuente'!K59))</x:f>
        <x:v>4.559447033725612</x:v>
      </x:c>
      <x:c r="M59" s="87" t="n">
        <x:f>IF(OR(L59="",L58=""),"",L59-L58)</x:f>
        <x:v>0.030735882212081123</x:v>
      </x:c>
      <x:c r="N59" s="87" t="n">
        <x:f>IF('Datos_fuente'!L59="","",LN('Datos_fuente'!L59))</x:f>
        <x:v>3.463530347349464</x:v>
      </x:c>
      <x:c r="O59" s="87" t="n">
        <x:f>IF(OR(N59="",N58=""),"",N59-N58)</x:f>
        <x:v>0.6056653837955923</x:v>
      </x:c>
      <x:c r="P59" s="82" t="n">
        <x:f>'Datos_fuente'!N59</x:f>
        <x:v>0</x:v>
      </x:c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>
      <x:c r="A60" s="1" t="str">
        <x:f>'Datos_fuente'!A60</x:f>
        <x:v>2010-06</x:v>
      </x:c>
      <x:c r="B60" s="87" t="n">
        <x:f>IF('Datos_fuente'!B60="","",LN('Datos_fuente'!B60))</x:f>
        <x:v>7.563639748251453</x:v>
      </x:c>
      <x:c r="C60" s="87" t="n">
        <x:f>IF(OR(B60="",B59=""),"",B60-B59)</x:f>
        <x:v>-0.029025491354669697</x:v>
      </x:c>
      <x:c r="D60" s="87" t="n">
        <x:f>IF('Datos_fuente'!C60="","",LN('Datos_fuente'!C60))</x:f>
        <x:v>4.314295142625788</x:v>
      </x:c>
      <x:c r="E60" s="87" t="n">
        <x:f>IF(OR(D60="",D59=""),"",D60-D59)</x:f>
        <x:v>-0.015720835154418467</x:v>
      </x:c>
      <x:c r="F60" s="87" t="n">
        <x:f>IF('Datos_fuente'!E60="","",LN('Datos_fuente'!E60))</x:f>
        <x:v>8.264025904795854</x:v>
      </x:c>
      <x:c r="G60" s="87" t="n">
        <x:f>IF(OR(F60="",F59=""),"",F60-F59)</x:f>
        <x:v>0.0015443341614886918</x:v>
      </x:c>
      <x:c r="H60" s="55" t="n">
        <x:f>'Datos_fuente'!H60</x:f>
        <x:v>2.82</x:v>
      </x:c>
      <x:c r="I60" s="55" t="n">
        <x:f>IF(OR(H60="",H59=""),"",H60-H59)</x:f>
        <x:v>-0.012258065000000151</x:v>
      </x:c>
      <x:c r="J60" s="55" t="n">
        <x:f>'Datos_fuente'!J60</x:f>
        <x:v>3.831127284</x:v>
      </x:c>
      <x:c r="K60" s="55" t="n">
        <x:f>IF(OR(J60="",J59=""),"",J60-J59)</x:f>
        <x:v>0.29272590900000006</x:v>
      </x:c>
      <x:c r="L60" s="87" t="n">
        <x:f>IF('Datos_fuente'!K60="","",LN('Datos_fuente'!K60))</x:f>
        <x:v>4.56497952619662</x:v>
      </x:c>
      <x:c r="M60" s="87" t="n">
        <x:f>IF(OR(L60="",L59=""),"",L60-L59)</x:f>
        <x:v>0.005532492471007622</x:v>
      </x:c>
      <x:c r="N60" s="87" t="n">
        <x:f>IF('Datos_fuente'!L60="","",LN('Datos_fuente'!L60))</x:f>
        <x:v>3.39840560962391</x:v>
      </x:c>
      <x:c r="O60" s="87" t="n">
        <x:f>IF(OR(N60="",N59=""),"",N60-N59)</x:f>
        <x:v>-0.06512473772555394</x:v>
      </x:c>
      <x:c r="P60" s="82" t="n">
        <x:f>'Datos_fuente'!N60</x:f>
        <x:v>0</x:v>
      </x:c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>
      <x:c r="A61" s="1" t="str">
        <x:f>'Datos_fuente'!A61</x:f>
        <x:v>2010-07</x:v>
      </x:c>
      <x:c r="B61" s="87" t="n">
        <x:f>IF('Datos_fuente'!B61="","",LN('Datos_fuente'!B61))</x:f>
        <x:v>7.536049910436223</x:v>
      </x:c>
      <x:c r="C61" s="87" t="n">
        <x:f>IF(OR(B61="",B60=""),"",B61-B60)</x:f>
        <x:v>-0.02758983781523039</x:v>
      </x:c>
      <x:c r="D61" s="87" t="n">
        <x:f>IF('Datos_fuente'!C61="","",LN('Datos_fuente'!C61))</x:f>
        <x:v>4.325191697921343</x:v>
      </x:c>
      <x:c r="E61" s="87" t="n">
        <x:f>IF(OR(D61="",D60=""),"",D61-D60)</x:f>
        <x:v>0.01089655529555511</x:v>
      </x:c>
      <x:c r="F61" s="87" t="n">
        <x:f>IF('Datos_fuente'!E61="","",LN('Datos_fuente'!E61))</x:f>
        <x:v>8.270988258830126</x:v>
      </x:c>
      <x:c r="G61" s="87" t="n">
        <x:f>IF(OR(F61="",F60=""),"",F61-F60)</x:f>
        <x:v>0.0069623540342718115</x:v>
      </x:c>
      <x:c r="H61" s="55" t="n">
        <x:f>'Datos_fuente'!H61</x:f>
        <x:v>2.82</x:v>
      </x:c>
      <x:c r="I61" s="55" t="n">
        <x:f>IF(OR(H61="",H60=""),"",H61-H60)</x:f>
        <x:v>0</x:v>
      </x:c>
      <x:c r="J61" s="55" t="n">
        <x:f>'Datos_fuente'!J61</x:f>
        <x:v>3.723117998</x:v>
      </x:c>
      <x:c r="K61" s="55" t="n">
        <x:f>IF(OR(J61="",J60=""),"",J61-J60)</x:f>
        <x:v>-0.1080092859999997</x:v>
      </x:c>
      <x:c r="L61" s="87" t="n">
        <x:f>IF('Datos_fuente'!K61="","",LN('Datos_fuente'!K61))</x:f>
        <x:v>4.548120253699101</x:v>
      </x:c>
      <x:c r="M61" s="87" t="n">
        <x:f>IF(OR(L61="",L60=""),"",L61-L60)</x:f>
        <x:v>-0.01685927249751895</x:v>
      </x:c>
      <x:c r="N61" s="87" t="n">
        <x:f>IF('Datos_fuente'!L61="","",LN('Datos_fuente'!L61))</x:f>
        <x:v>3.2412335420031626</x:v>
      </x:c>
      <x:c r="O61" s="87" t="n">
        <x:f>IF(OR(N61="",N60=""),"",N61-N60)</x:f>
        <x:v>-0.1571720676207473</x:v>
      </x:c>
      <x:c r="P61" s="82" t="n">
        <x:f>'Datos_fuente'!N61</x:f>
        <x:v>0</x:v>
      </x:c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>
      <x:c r="A62" s="1" t="str">
        <x:f>'Datos_fuente'!A62</x:f>
        <x:v>2010-08</x:v>
      </x:c>
      <x:c r="B62" s="87" t="n">
        <x:f>IF('Datos_fuente'!B62="","",LN('Datos_fuente'!B62))</x:f>
        <x:v>7.507251257622655</x:v>
      </x:c>
      <x:c r="C62" s="87" t="n">
        <x:f>IF(OR(B62="",B61=""),"",B62-B61)</x:f>
        <x:v>-0.02879865281356775</x:v>
      </x:c>
      <x:c r="D62" s="87" t="n">
        <x:f>IF('Datos_fuente'!C62="","",LN('Datos_fuente'!C62))</x:f>
        <x:v>4.34431886729074</x:v>
      </x:c>
      <x:c r="E62" s="87" t="n">
        <x:f>IF(OR(D62="",D61=""),"",D62-D61)</x:f>
        <x:v>0.019127169369396846</x:v>
      </x:c>
      <x:c r="F62" s="87" t="n">
        <x:f>IF('Datos_fuente'!E62="","",LN('Datos_fuente'!E62))</x:f>
        <x:v>8.279382603058624</x:v>
      </x:c>
      <x:c r="G62" s="87" t="n">
        <x:f>IF(OR(F62="",F61=""),"",F62-F61)</x:f>
        <x:v>0.008394344228497275</x:v>
      </x:c>
      <x:c r="H62" s="55" t="n">
        <x:f>'Datos_fuente'!H62</x:f>
        <x:v>2.81</x:v>
      </x:c>
      <x:c r="I62" s="55" t="n">
        <x:f>IF(OR(H62="",H61=""),"",H62-H61)</x:f>
        <x:v>-0.009999999999999787</x:v>
      </x:c>
      <x:c r="J62" s="55" t="n">
        <x:f>'Datos_fuente'!J62</x:f>
        <x:v>3.835619272</x:v>
      </x:c>
      <x:c r="K62" s="55" t="n">
        <x:f>IF(OR(J62="",J61=""),"",J62-J61)</x:f>
        <x:v>0.11250127399999998</x:v>
      </x:c>
      <x:c r="L62" s="87" t="n">
        <x:f>IF('Datos_fuente'!K62="","",LN('Datos_fuente'!K62))</x:f>
        <x:v>4.539908542874167</x:v>
      </x:c>
      <x:c r="M62" s="87" t="n">
        <x:f>IF(OR(L62="",L61=""),"",L62-L61)</x:f>
        <x:v>-0.008211710824934215</x:v>
      </x:c>
      <x:c r="N62" s="87" t="n">
        <x:f>IF('Datos_fuente'!L62="","",LN('Datos_fuente'!L62))</x:f>
        <x:v>3.2086601860599893</x:v>
      </x:c>
      <x:c r="O62" s="87" t="n">
        <x:f>IF(OR(N62="",N61=""),"",N62-N61)</x:f>
        <x:v>-0.03257335594317334</x:v>
      </x:c>
      <x:c r="P62" s="82" t="n">
        <x:f>'Datos_fuente'!N62</x:f>
        <x:v>0</x:v>
      </x:c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>
      <x:c r="A63" s="1" t="str">
        <x:f>'Datos_fuente'!A63</x:f>
        <x:v>2010-09</x:v>
      </x:c>
      <x:c r="B63" s="87" t="n">
        <x:f>IF('Datos_fuente'!B63="","",LN('Datos_fuente'!B63))</x:f>
        <x:v>7.498743664568723</x:v>
      </x:c>
      <x:c r="C63" s="87" t="n">
        <x:f>IF(OR(B63="",B62=""),"",B63-B62)</x:f>
        <x:v>-0.008507593053932005</x:v>
      </x:c>
      <x:c r="D63" s="87" t="n">
        <x:f>IF('Datos_fuente'!C63="","",LN('Datos_fuente'!C63))</x:f>
        <x:v>4.354661555407856</x:v>
      </x:c>
      <x:c r="E63" s="87" t="n">
        <x:f>IF(OR(D63="",D62=""),"",D63-D62)</x:f>
        <x:v>0.010342688117115806</x:v>
      </x:c>
      <x:c r="F63" s="87" t="n">
        <x:f>IF('Datos_fuente'!E63="","",LN('Datos_fuente'!E63))</x:f>
        <x:v>8.283592655921735</x:v>
      </x:c>
      <x:c r="G63" s="87" t="n">
        <x:f>IF(OR(F63="",F62=""),"",F63-F62)</x:f>
        <x:v>0.004210052863111713</x:v>
      </x:c>
      <x:c r="H63" s="55" t="n">
        <x:f>'Datos_fuente'!H63</x:f>
        <x:v>2.81</x:v>
      </x:c>
      <x:c r="I63" s="55" t="n">
        <x:f>IF(OR(H63="",H62=""),"",H63-H62)</x:f>
        <x:v>0</x:v>
      </x:c>
      <x:c r="J63" s="55" t="n">
        <x:f>'Datos_fuente'!J63</x:f>
        <x:v>3.519088865</x:v>
      </x:c>
      <x:c r="K63" s="55" t="n">
        <x:f>IF(OR(J63="",J62=""),"",J63-J62)</x:f>
        <x:v>-0.3165304070000001</x:v>
      </x:c>
      <x:c r="L63" s="87" t="n">
        <x:f>IF('Datos_fuente'!K63="","",LN('Datos_fuente'!K63))</x:f>
        <x:v>4.530043490003716</x:v>
      </x:c>
      <x:c r="M63" s="87" t="n">
        <x:f>IF(OR(L63="",L62=""),"",L63-L62)</x:f>
        <x:v>-0.009865052870450697</x:v>
      </x:c>
      <x:c r="N63" s="87" t="n">
        <x:f>IF('Datos_fuente'!L63="","",LN('Datos_fuente'!L63))</x:f>
        <x:v>3.1142980716607855</x:v>
      </x:c>
      <x:c r="O63" s="87" t="n">
        <x:f>IF(OR(N63="",N62=""),"",N63-N62)</x:f>
        <x:v>-0.09436211439920372</x:v>
      </x:c>
      <x:c r="P63" s="82" t="n">
        <x:f>'Datos_fuente'!N63</x:f>
        <x:v>0</x:v>
      </x:c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>
      <x:c r="A64" s="1" t="str">
        <x:f>'Datos_fuente'!A64</x:f>
        <x:v>2010-10</x:v>
      </x:c>
      <x:c r="B64" s="87" t="n">
        <x:f>IF('Datos_fuente'!B64="","",LN('Datos_fuente'!B64))</x:f>
        <x:v>7.500312268328317</x:v>
      </x:c>
      <x:c r="C64" s="87" t="n">
        <x:f>IF(OR(B64="",B63=""),"",B64-B63)</x:f>
        <x:v>0.0015686037595941116</x:v>
      </x:c>
      <x:c r="D64" s="87" t="n">
        <x:f>IF('Datos_fuente'!C64="","",LN('Datos_fuente'!C64))</x:f>
        <x:v>4.414793415699155</x:v>
      </x:c>
      <x:c r="E64" s="87" t="n">
        <x:f>IF(OR(D64="",D63=""),"",D64-D63)</x:f>
        <x:v>0.0601318602912988</x:v>
      </x:c>
      <x:c r="F64" s="87" t="n">
        <x:f>IF('Datos_fuente'!E64="","",LN('Datos_fuente'!E64))</x:f>
        <x:v>8.285818355841236</x:v>
      </x:c>
      <x:c r="G64" s="87" t="n">
        <x:f>IF(OR(F64="",F63=""),"",F64-F63)</x:f>
        <x:v>0.0022256999195011673</x:v>
      </x:c>
      <x:c r="H64" s="55" t="n">
        <x:f>'Datos_fuente'!H64</x:f>
        <x:v>2.81</x:v>
      </x:c>
      <x:c r="I64" s="55" t="n">
        <x:f>IF(OR(H64="",H63=""),"",H64-H63)</x:f>
        <x:v>0</x:v>
      </x:c>
      <x:c r="J64" s="55" t="n">
        <x:f>'Datos_fuente'!J64</x:f>
        <x:v>3.296175502</x:v>
      </x:c>
      <x:c r="K64" s="55" t="n">
        <x:f>IF(OR(J64="",J63=""),"",J64-J63)</x:f>
        <x:v>-0.22291336299999998</x:v>
      </x:c>
      <x:c r="L64" s="87" t="n">
        <x:f>IF('Datos_fuente'!K64="","",LN('Datos_fuente'!K64))</x:f>
        <x:v>4.5023522131050315</x:v>
      </x:c>
      <x:c r="M64" s="87" t="n">
        <x:f>IF(OR(L64="",L63=""),"",L64-L63)</x:f>
        <x:v>-0.027691276898684336</x:v>
      </x:c>
      <x:c r="N64" s="87" t="n">
        <x:f>IF('Datos_fuente'!L64="","",LN('Datos_fuente'!L64))</x:f>
        <x:v>3.014226856026543</x:v>
      </x:c>
      <x:c r="O64" s="87" t="n">
        <x:f>IF(OR(N64="",N63=""),"",N64-N63)</x:f>
        <x:v>-0.1000712156342427</x:v>
      </x:c>
      <x:c r="P64" s="82" t="n">
        <x:f>'Datos_fuente'!N64</x:f>
        <x:v>0</x:v>
      </x:c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>
      <x:c r="A65" s="1" t="str">
        <x:f>'Datos_fuente'!A65</x:f>
        <x:v>2010-11</x:v>
      </x:c>
      <x:c r="B65" s="87" t="n">
        <x:f>IF('Datos_fuente'!B65="","",LN('Datos_fuente'!B65))</x:f>
        <x:v>7.529940149984486</x:v>
      </x:c>
      <x:c r="C65" s="87" t="n">
        <x:f>IF(OR(B65="",B64=""),"",B65-B64)</x:f>
        <x:v>0.02962788165616903</x:v>
      </x:c>
      <x:c r="D65" s="87" t="n">
        <x:f>IF('Datos_fuente'!C65="","",LN('Datos_fuente'!C65))</x:f>
        <x:v>4.445878536157744</x:v>
      </x:c>
      <x:c r="E65" s="87" t="n">
        <x:f>IF(OR(D65="",D64=""),"",D65-D64)</x:f>
        <x:v>0.0310851204585898</x:v>
      </x:c>
      <x:c r="F65" s="87" t="n">
        <x:f>IF('Datos_fuente'!E65="","",LN('Datos_fuente'!E65))</x:f>
        <x:v>8.290852033201821</x:v>
      </x:c>
      <x:c r="G65" s="87" t="n">
        <x:f>IF(OR(F65="",F64=""),"",F65-F64)</x:f>
        <x:v>0.005033677360584576</x:v>
      </x:c>
      <x:c r="H65" s="55" t="n">
        <x:f>'Datos_fuente'!H65</x:f>
        <x:v>2.81</x:v>
      </x:c>
      <x:c r="I65" s="55" t="n">
        <x:f>IF(OR(H65="",H64=""),"",H65-H64)</x:f>
        <x:v>0</x:v>
      </x:c>
      <x:c r="J65" s="55" t="n">
        <x:f>'Datos_fuente'!J65</x:f>
        <x:v>3.142361823</x:v>
      </x:c>
      <x:c r="K65" s="55" t="n">
        <x:f>IF(OR(J65="",J64=""),"",J65-J64)</x:f>
        <x:v>-0.1538136790000002</x:v>
      </x:c>
      <x:c r="L65" s="87" t="n">
        <x:f>IF('Datos_fuente'!K65="","",LN('Datos_fuente'!K65))</x:f>
        <x:v>4.505455204272021</x:v>
      </x:c>
      <x:c r="M65" s="87" t="n">
        <x:f>IF(OR(L65="",L64=""),"",L65-L64)</x:f>
        <x:v>0.0031029911669895327</x:v>
      </x:c>
      <x:c r="N65" s="87" t="n">
        <x:f>IF('Datos_fuente'!L65="","",LN('Datos_fuente'!L65))</x:f>
        <x:v>3.0005065729275566</x:v>
      </x:c>
      <x:c r="O65" s="87" t="n">
        <x:f>IF(OR(N65="",N64=""),"",N65-N64)</x:f>
        <x:v>-0.013720283098986208</x:v>
      </x:c>
      <x:c r="P65" s="82" t="n">
        <x:f>'Datos_fuente'!N65</x:f>
        <x:v>0</x:v>
      </x:c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>
      <x:c r="A66" s="1" t="str">
        <x:f>'Datos_fuente'!A66</x:f>
        <x:v>2010-12</x:v>
      </x:c>
      <x:c r="B66" s="87" t="n">
        <x:f>IF('Datos_fuente'!B66="","",LN('Datos_fuente'!B66))</x:f>
        <x:v>7.5612939420024</x:v>
      </x:c>
      <x:c r="C66" s="87" t="n">
        <x:f>IF(OR(B66="",B65=""),"",B66-B65)</x:f>
        <x:v>0.03135379201791366</x:v>
      </x:c>
      <x:c r="D66" s="87" t="n">
        <x:f>IF('Datos_fuente'!C66="","",LN('Datos_fuente'!C66))</x:f>
        <x:v>4.515757581229944</x:v>
      </x:c>
      <x:c r="E66" s="87" t="n">
        <x:f>IF(OR(D66="",D65=""),"",D66-D65)</x:f>
        <x:v>0.06987904507219955</x:v>
      </x:c>
      <x:c r="F66" s="87" t="n">
        <x:f>IF('Datos_fuente'!E66="","",LN('Datos_fuente'!E66))</x:f>
        <x:v>8.293134221233998</x:v>
      </x:c>
      <x:c r="G66" s="87" t="n">
        <x:f>IF(OR(F66="",F65=""),"",F66-F65)</x:f>
        <x:v>0.002282188032177501</x:v>
      </x:c>
      <x:c r="H66" s="55" t="n">
        <x:f>'Datos_fuente'!H66</x:f>
        <x:v>2.82</x:v>
      </x:c>
      <x:c r="I66" s="55" t="n">
        <x:f>IF(OR(H66="",H65=""),"",H66-H65)</x:f>
        <x:v>0.009999999999999787</x:v>
      </x:c>
      <x:c r="J66" s="55" t="n">
        <x:f>'Datos_fuente'!J66</x:f>
        <x:v>3.863366127</x:v>
      </x:c>
      <x:c r="K66" s="55" t="n">
        <x:f>IF(OR(J66="",J65=""),"",J66-J65)</x:f>
        <x:v>0.721004304</x:v>
      </x:c>
      <x:c r="L66" s="87" t="n">
        <x:f>IF('Datos_fuente'!K66="","",LN('Datos_fuente'!K66))</x:f>
        <x:v>4.512873646335186</x:v>
      </x:c>
      <x:c r="M66" s="87" t="n">
        <x:f>IF(OR(L66="",L65=""),"",L66-L65)</x:f>
        <x:v>0.007418442063165109</x:v>
      </x:c>
      <x:c r="N66" s="87" t="n">
        <x:f>IF('Datos_fuente'!L66="","",LN('Datos_fuente'!L66))</x:f>
        <x:v>2.8661670310618463</x:v>
      </x:c>
      <x:c r="O66" s="87" t="n">
        <x:f>IF(OR(N66="",N65=""),"",N66-N65)</x:f>
        <x:v>-0.1343395418657103</x:v>
      </x:c>
      <x:c r="P66" s="82" t="n">
        <x:f>'Datos_fuente'!N66</x:f>
        <x:v>0</x:v>
      </x:c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>
      <x:c r="A67" s="1" t="str">
        <x:f>'Datos_fuente'!A67</x:f>
        <x:v>2011-01</x:v>
      </x:c>
      <x:c r="B67" s="87" t="n">
        <x:f>IF('Datos_fuente'!B67="","",LN('Datos_fuente'!B67))</x:f>
        <x:v>7.532129264281685</x:v>
      </x:c>
      <x:c r="C67" s="87" t="n">
        <x:f>IF(OR(B67="",B66=""),"",B67-B66)</x:f>
        <x:v>-0.02916467772071485</x:v>
      </x:c>
      <x:c r="D67" s="87" t="n">
        <x:f>IF('Datos_fuente'!C67="","",LN('Datos_fuente'!C67))</x:f>
        <x:v>4.569786502014013</x:v>
      </x:c>
      <x:c r="E67" s="87" t="n">
        <x:f>IF(OR(D67="",D66=""),"",D67-D66)</x:f>
        <x:v>0.05402892078406918</x:v>
      </x:c>
      <x:c r="F67" s="87" t="n">
        <x:f>IF('Datos_fuente'!E67="","",LN('Datos_fuente'!E67))</x:f>
        <x:v>8.299634018395928</x:v>
      </x:c>
      <x:c r="G67" s="87" t="n">
        <x:f>IF(OR(F67="",F66=""),"",F67-F66)</x:f>
        <x:v>0.006499797161929166</x:v>
      </x:c>
      <x:c r="H67" s="55" t="n">
        <x:f>'Datos_fuente'!H67</x:f>
        <x:v>2.83</x:v>
      </x:c>
      <x:c r="I67" s="55" t="n">
        <x:f>IF(OR(H67="",H66=""),"",H67-H66)</x:f>
        <x:v>0.010000000000000231</x:v>
      </x:c>
      <x:c r="J67" s="55" t="n">
        <x:f>'Datos_fuente'!J67</x:f>
        <x:v>3.08770208</x:v>
      </x:c>
      <x:c r="K67" s="55" t="n">
        <x:f>IF(OR(J67="",J66=""),"",J67-J66)</x:f>
        <x:v>-0.7756640469999998</x:v>
      </x:c>
      <x:c r="L67" s="87" t="n">
        <x:f>IF('Datos_fuente'!K67="","",LN('Datos_fuente'!K67))</x:f>
        <x:v>4.501044685163174</x:v>
      </x:c>
      <x:c r="M67" s="87" t="n">
        <x:f>IF(OR(L67="",L66=""),"",L67-L66)</x:f>
        <x:v>-0.011828961172012598</x:v>
      </x:c>
      <x:c r="N67" s="87" t="n">
        <x:f>IF('Datos_fuente'!L67="","",LN('Datos_fuente'!L67))</x:f>
        <x:v>2.8516020541339673</x:v>
      </x:c>
      <x:c r="O67" s="87" t="n">
        <x:f>IF(OR(N67="",N66=""),"",N67-N66)</x:f>
        <x:v>-0.014564976927879059</x:v>
      </x:c>
      <x:c r="P67" s="82" t="n">
        <x:f>'Datos_fuente'!N67</x:f>
        <x:v>0</x:v>
      </x:c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>
      <x:c r="A68" s="1" t="str">
        <x:f>'Datos_fuente'!A68</x:f>
        <x:v>2011-02</x:v>
      </x:c>
      <x:c r="B68" s="87" t="n">
        <x:f>IF('Datos_fuente'!B68="","",LN('Datos_fuente'!B68))</x:f>
        <x:v>7.540287659333665</x:v>
      </x:c>
      <x:c r="C68" s="87" t="n">
        <x:f>IF(OR(B68="",B67=""),"",B68-B67)</x:f>
        <x:v>0.00815839505198035</x:v>
      </x:c>
      <x:c r="D68" s="87" t="n">
        <x:f>IF('Datos_fuente'!C68="","",LN('Datos_fuente'!C68))</x:f>
        <x:v>4.641659439407119</x:v>
      </x:c>
      <x:c r="E68" s="87" t="n">
        <x:f>IF(OR(D68="",D67=""),"",D68-D67)</x:f>
        <x:v>0.07187293739310618</x:v>
      </x:c>
      <x:c r="F68" s="87" t="n">
        <x:f>IF('Datos_fuente'!E68="","",LN('Datos_fuente'!E68))</x:f>
        <x:v>8.311223816044516</x:v>
      </x:c>
      <x:c r="G68" s="87" t="n">
        <x:f>IF(OR(F68="",F67=""),"",F68-F67)</x:f>
        <x:v>0.011589797648587918</x:v>
      </x:c>
      <x:c r="H68" s="55" t="n">
        <x:f>'Datos_fuente'!H68</x:f>
        <x:v>2.848928571</x:v>
      </x:c>
      <x:c r="I68" s="55" t="n">
        <x:f>IF(OR(H68="",H67=""),"",H68-H67)</x:f>
        <x:v>0.018928571000000005</x:v>
      </x:c>
      <x:c r="J68" s="55" t="n">
        <x:f>'Datos_fuente'!J68</x:f>
        <x:v>3.142188177</x:v>
      </x:c>
      <x:c r="K68" s="55" t="n">
        <x:f>IF(OR(J68="",J67=""),"",J68-J67)</x:f>
        <x:v>0.054486096999999845</x:v>
      </x:c>
      <x:c r="L68" s="87" t="n">
        <x:f>IF('Datos_fuente'!K68="","",LN('Datos_fuente'!K68))</x:f>
        <x:v>4.493083650956908</x:v>
      </x:c>
      <x:c r="M68" s="87" t="n">
        <x:f>IF(OR(L68="",L67=""),"",L68-L67)</x:f>
        <x:v>-0.00796103420626526</x:v>
      </x:c>
      <x:c r="N68" s="87" t="n">
        <x:f>IF('Datos_fuente'!L68="","",LN('Datos_fuente'!L68))</x:f>
        <x:v>2.8581928595319295</x:v>
      </x:c>
      <x:c r="O68" s="87" t="n">
        <x:f>IF(OR(N68="",N67=""),"",N68-N67)</x:f>
        <x:v>0.006590805397962196</x:v>
      </x:c>
      <x:c r="P68" s="82" t="n">
        <x:f>'Datos_fuente'!N68</x:f>
        <x:v>0</x:v>
      </x:c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>
      <x:c r="A69" s="1" t="str">
        <x:f>'Datos_fuente'!A69</x:f>
        <x:v>2011-03</x:v>
      </x:c>
      <x:c r="B69" s="87" t="n">
        <x:f>IF('Datos_fuente'!B69="","",LN('Datos_fuente'!B69))</x:f>
        <x:v>7.539991930076701</x:v>
      </x:c>
      <x:c r="C69" s="87" t="n">
        <x:f>IF(OR(B69="",B68=""),"",B69-B68)</x:f>
        <x:v>-0.00029572925696452756</x:v>
      </x:c>
      <x:c r="D69" s="87" t="n">
        <x:f>IF('Datos_fuente'!C69="","",LN('Datos_fuente'!C69))</x:f>
        <x:v>4.741827124127326</x:v>
      </x:c>
      <x:c r="E69" s="87" t="n">
        <x:f>IF(OR(D69="",D68=""),"",D69-D68)</x:f>
        <x:v>0.10016768472020665</x:v>
      </x:c>
      <x:c r="F69" s="87" t="n">
        <x:f>IF('Datos_fuente'!E69="","",LN('Datos_fuente'!E69))</x:f>
        <x:v>8.310727291704623</x:v>
      </x:c>
      <x:c r="G69" s="87" t="n">
        <x:f>IF(OR(F69="",F68=""),"",F69-F68)</x:f>
        <x:v>-0.0004965243398924457</x:v>
      </x:c>
      <x:c r="H69" s="55" t="n">
        <x:f>'Datos_fuente'!H69</x:f>
        <x:v>3.190645161</x:v>
      </x:c>
      <x:c r="I69" s="55" t="n">
        <x:f>IF(OR(H69="",H68=""),"",H69-H68)</x:f>
        <x:v>0.3417165899999999</x:v>
      </x:c>
      <x:c r="J69" s="55" t="n">
        <x:f>'Datos_fuente'!J69</x:f>
        <x:v>2.906603181</x:v>
      </x:c>
      <x:c r="K69" s="55" t="n">
        <x:f>IF(OR(J69="",J68=""),"",J69-J68)</x:f>
        <x:v>-0.23558499600000005</x:v>
      </x:c>
      <x:c r="L69" s="87" t="n">
        <x:f>IF('Datos_fuente'!K69="","",LN('Datos_fuente'!K69))</x:f>
        <x:v>4.482858203630055</x:v>
      </x:c>
      <x:c r="M69" s="87" t="n">
        <x:f>IF(OR(L69="",L68=""),"",L69-L68)</x:f>
        <x:v>-0.010225447326853043</x:v>
      </x:c>
      <x:c r="N69" s="87" t="n">
        <x:f>IF('Datos_fuente'!L69="","",LN('Datos_fuente'!L69))</x:f>
        <x:v>3.031267272993862</x:v>
      </x:c>
      <x:c r="O69" s="87" t="n">
        <x:f>IF(OR(N69="",N68=""),"",N69-N68)</x:f>
        <x:v>0.17307441346193242</x:v>
      </x:c>
      <x:c r="P69" s="82" t="n">
        <x:f>'Datos_fuente'!N69</x:f>
        <x:v>0</x:v>
      </x:c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>
      <x:c r="A70" s="1" t="str">
        <x:f>'Datos_fuente'!A70</x:f>
        <x:v>2011-04</x:v>
      </x:c>
      <x:c r="B70" s="87" t="n">
        <x:f>IF('Datos_fuente'!B70="","",LN('Datos_fuente'!B70))</x:f>
        <x:v>7.500990407346822</x:v>
      </x:c>
      <x:c r="C70" s="87" t="n">
        <x:f>IF(OR(B70="",B69=""),"",B70-B69)</x:f>
        <x:v>-0.03900152272987878</x:v>
      </x:c>
      <x:c r="D70" s="87" t="n">
        <x:f>IF('Datos_fuente'!C70="","",LN('Datos_fuente'!C70))</x:f>
        <x:v>4.814286931214708</x:v>
      </x:c>
      <x:c r="E70" s="87" t="n">
        <x:f>IF(OR(D70="",D69=""),"",D70-D69)</x:f>
        <x:v>0.07245980708738209</x:v>
      </x:c>
      <x:c r="F70" s="87" t="n">
        <x:f>IF('Datos_fuente'!E70="","",LN('Datos_fuente'!E70))</x:f>
        <x:v>8.308381447362207</x:v>
      </x:c>
      <x:c r="G70" s="87" t="n">
        <x:f>IF(OR(F70="",F69=""),"",F70-F69)</x:f>
        <x:v>-0.00234584434241647</x:v>
      </x:c>
      <x:c r="H70" s="55" t="n">
        <x:f>'Datos_fuente'!H70</x:f>
        <x:v>3.4</x:v>
      </x:c>
      <x:c r="I70" s="55" t="n">
        <x:f>IF(OR(H70="",H69=""),"",H70-H69)</x:f>
        <x:v>0.20935483899999996</x:v>
      </x:c>
      <x:c r="J70" s="55" t="n">
        <x:f>'Datos_fuente'!J70</x:f>
        <x:v>2.322726513</x:v>
      </x:c>
      <x:c r="K70" s="55" t="n">
        <x:f>IF(OR(J70="",J69=""),"",J70-J69)</x:f>
        <x:v>-0.5838766679999998</x:v>
      </x:c>
      <x:c r="L70" s="87" t="n">
        <x:f>IF('Datos_fuente'!K70="","",LN('Datos_fuente'!K70))</x:f>
        <x:v>4.465003878573409</x:v>
      </x:c>
      <x:c r="M70" s="87" t="n">
        <x:f>IF(OR(L70="",L69=""),"",L70-L69)</x:f>
        <x:v>-0.017854325056646303</x:v>
      </x:c>
      <x:c r="N70" s="87" t="n">
        <x:f>IF('Datos_fuente'!L70="","",LN('Datos_fuente'!L70))</x:f>
        <x:v>2.7877236098240514</x:v>
      </x:c>
      <x:c r="O70" s="87" t="n">
        <x:f>IF(OR(N70="",N69=""),"",N70-N69)</x:f>
        <x:v>-0.24354366316981046</x:v>
      </x:c>
      <x:c r="P70" s="82" t="n">
        <x:f>'Datos_fuente'!N70</x:f>
        <x:v>0</x:v>
      </x:c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>
      <x:c r="A71" s="1" t="str">
        <x:f>'Datos_fuente'!A71</x:f>
        <x:v>2011-05</x:v>
      </x:c>
      <x:c r="B71" s="87" t="n">
        <x:f>IF('Datos_fuente'!B71="","",LN('Datos_fuente'!B71))</x:f>
        <x:v>7.495824520622356</x:v>
      </x:c>
      <x:c r="C71" s="87" t="n">
        <x:f>IF(OR(B71="",B70=""),"",B71-B70)</x:f>
        <x:v>-0.005165886724466162</x:v>
      </x:c>
      <x:c r="D71" s="87" t="n">
        <x:f>IF('Datos_fuente'!C71="","",LN('Datos_fuente'!C71))</x:f>
        <x:v>4.744836885566929</x:v>
      </x:c>
      <x:c r="E71" s="87" t="n">
        <x:f>IF(OR(D71="",D70=""),"",D71-D70)</x:f>
        <x:v>-0.06945004564777868</x:v>
      </x:c>
      <x:c r="F71" s="87" t="n">
        <x:f>IF('Datos_fuente'!E71="","",LN('Datos_fuente'!E71))</x:f>
        <x:v>8.313249144379608</x:v>
      </x:c>
      <x:c r="G71" s="87" t="n">
        <x:f>IF(OR(F71="",F70=""),"",F71-F70)</x:f>
        <x:v>0.004867697017401085</x:v>
      </x:c>
      <x:c r="H71" s="55" t="n">
        <x:f>'Datos_fuente'!H71</x:f>
        <x:v>3.66</x:v>
      </x:c>
      <x:c r="I71" s="55" t="n">
        <x:f>IF(OR(H71="",H70=""),"",H71-H70)</x:f>
        <x:v>0.26000000000000023</x:v>
      </x:c>
      <x:c r="J71" s="55" t="n">
        <x:f>'Datos_fuente'!J71</x:f>
        <x:v>2.01589302</x:v>
      </x:c>
      <x:c r="K71" s="55" t="n">
        <x:f>IF(OR(J71="",J70=""),"",J71-J70)</x:f>
        <x:v>-0.30683349300000007</x:v>
      </x:c>
      <x:c r="L71" s="87" t="n">
        <x:f>IF('Datos_fuente'!K71="","",LN('Datos_fuente'!K71))</x:f>
        <x:v>4.465291891584298</x:v>
      </x:c>
      <x:c r="M71" s="87" t="n">
        <x:f>IF(OR(L71="",L70=""),"",L71-L70)</x:f>
        <x:v>0.0002880130108886547</x:v>
      </x:c>
      <x:c r="N71" s="87" t="n">
        <x:f>IF('Datos_fuente'!L71="","",LN('Datos_fuente'!L71))</x:f>
        <x:v>2.827989640122792</x:v>
      </x:c>
      <x:c r="O71" s="87" t="n">
        <x:f>IF(OR(N71="",N70=""),"",N71-N70)</x:f>
        <x:v>0.04026603029874076</x:v>
      </x:c>
      <x:c r="P71" s="82" t="n">
        <x:f>'Datos_fuente'!N71</x:f>
        <x:v>0</x:v>
      </x:c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>
      <x:c r="A72" s="1" t="str">
        <x:f>'Datos_fuente'!A72</x:f>
        <x:v>2011-06</x:v>
      </x:c>
      <x:c r="B72" s="87" t="n">
        <x:f>IF('Datos_fuente'!B72="","",LN('Datos_fuente'!B72))</x:f>
        <x:v>7.48614197618128</x:v>
      </x:c>
      <x:c r="C72" s="87" t="n">
        <x:f>IF(OR(B72="",B71=""),"",B72-B71)</x:f>
        <x:v>-0.009682544441075969</x:v>
      </x:c>
      <x:c r="D72" s="87" t="n">
        <x:f>IF('Datos_fuente'!C72="","",LN('Datos_fuente'!C72))</x:f>
        <x:v>4.734734059155905</x:v>
      </x:c>
      <x:c r="E72" s="87" t="n">
        <x:f>IF(OR(D72="",D71=""),"",D72-D71)</x:f>
        <x:v>-0.010102826411024779</x:v>
      </x:c>
      <x:c r="F72" s="87" t="n">
        <x:f>IF('Datos_fuente'!E72="","",LN('Datos_fuente'!E72))</x:f>
        <x:v>8.315101486798639</x:v>
      </x:c>
      <x:c r="G72" s="87" t="n">
        <x:f>IF(OR(F72="",F71=""),"",F72-F71)</x:f>
        <x:v>0.0018523424190313165</x:v>
      </x:c>
      <x:c r="H72" s="55" t="n">
        <x:f>'Datos_fuente'!H72</x:f>
        <x:v>4.001666667</x:v>
      </x:c>
      <x:c r="I72" s="55" t="n">
        <x:f>IF(OR(H72="",H71=""),"",H72-H71)</x:f>
        <x:v>0.34166666700000015</x:v>
      </x:c>
      <x:c r="J72" s="55" t="n">
        <x:f>'Datos_fuente'!J72</x:f>
        <x:v>1.400903244</x:v>
      </x:c>
      <x:c r="K72" s="55" t="n">
        <x:f>IF(OR(J72="",J71=""),"",J72-J71)</x:f>
        <x:v>-0.614989776</x:v>
      </x:c>
      <x:c r="L72" s="87" t="n">
        <x:f>IF('Datos_fuente'!K72="","",LN('Datos_fuente'!K72))</x:f>
        <x:v>4.465232655523247</x:v>
      </x:c>
      <x:c r="M72" s="87" t="n">
        <x:f>IF(OR(L72="",L71=""),"",L72-L71)</x:f>
        <x:v>-0.00005923606105096013</x:v>
      </x:c>
      <x:c r="N72" s="87" t="n">
        <x:f>IF('Datos_fuente'!L72="","",LN('Datos_fuente'!L72))</x:f>
        <x:v>2.952468854305278</x:v>
      </x:c>
      <x:c r="O72" s="87" t="n">
        <x:f>IF(OR(N72="",N71=""),"",N72-N71)</x:f>
        <x:v>0.12447921418248598</x:v>
      </x:c>
      <x:c r="P72" s="82" t="n">
        <x:f>'Datos_fuente'!N72</x:f>
        <x:v>0</x:v>
      </x:c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>
      <x:c r="A73" s="1" t="str">
        <x:f>'Datos_fuente'!A73</x:f>
        <x:v>2011-07</x:v>
      </x:c>
      <x:c r="B73" s="87" t="n">
        <x:f>IF('Datos_fuente'!B73="","",LN('Datos_fuente'!B73))</x:f>
        <x:v>7.47397428673893</x:v>
      </x:c>
      <x:c r="C73" s="87" t="n">
        <x:f>IF(OR(B73="",B72=""),"",B73-B72)</x:f>
        <x:v>-0.012167689442350138</x:v>
      </x:c>
      <x:c r="D73" s="87" t="n">
        <x:f>IF('Datos_fuente'!C73="","",LN('Datos_fuente'!C73))</x:f>
        <x:v>4.7619474134172295</x:v>
      </x:c>
      <x:c r="E73" s="87" t="n">
        <x:f>IF(OR(D73="",D72=""),"",D73-D72)</x:f>
        <x:v>0.027213354261324874</x:v>
      </x:c>
      <x:c r="F73" s="87" t="n">
        <x:f>IF('Datos_fuente'!E73="","",LN('Datos_fuente'!E73))</x:f>
        <x:v>8.30965966719053</x:v>
      </x:c>
      <x:c r="G73" s="87" t="n">
        <x:f>IF(OR(F73="",F72=""),"",F73-F72)</x:f>
        <x:v>-0.005441819608108744</x:v>
      </x:c>
      <x:c r="H73" s="55" t="n">
        <x:f>'Datos_fuente'!H73</x:f>
        <x:v>4.18</x:v>
      </x:c>
      <x:c r="I73" s="55" t="n">
        <x:f>IF(OR(H73="",H72=""),"",H73-H72)</x:f>
        <x:v>0.17833333299999943</x:v>
      </x:c>
      <x:c r="J73" s="55" t="n">
        <x:f>'Datos_fuente'!J73</x:f>
        <x:v>1.073446088</x:v>
      </x:c>
      <x:c r="K73" s="55" t="n">
        <x:f>IF(OR(J73="",J72=""),"",J73-J72)</x:f>
        <x:v>-0.3274571559999999</x:v>
      </x:c>
      <x:c r="L73" s="87" t="n">
        <x:f>IF('Datos_fuente'!K73="","",LN('Datos_fuente'!K73))</x:f>
        <x:v>4.4580358919889385</x:v>
      </x:c>
      <x:c r="M73" s="87" t="n">
        <x:f>IF(OR(L73="",L72=""),"",L73-L72)</x:f>
        <x:v>-0.007196763534308204</x:v>
      </x:c>
      <x:c r="N73" s="87" t="n">
        <x:f>IF('Datos_fuente'!L73="","",LN('Datos_fuente'!L73))</x:f>
        <x:v>2.956341545949072</x:v>
      </x:c>
      <x:c r="O73" s="87" t="n">
        <x:f>IF(OR(N73="",N72=""),"",N73-N72)</x:f>
        <x:v>0.0038726916437936687</x:v>
      </x:c>
      <x:c r="P73" s="82" t="n">
        <x:f>'Datos_fuente'!N73</x:f>
        <x:v>0</x:v>
      </x:c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>
      <x:c r="A74" s="1" t="str">
        <x:f>'Datos_fuente'!A74</x:f>
        <x:v>2011-08</x:v>
      </x:c>
      <x:c r="B74" s="87" t="n">
        <x:f>IF('Datos_fuente'!B74="","",LN('Datos_fuente'!B74))</x:f>
        <x:v>7.487487370502384</x:v>
      </x:c>
      <x:c r="C74" s="87" t="n">
        <x:f>IF(OR(B74="",B73=""),"",B74-B73)</x:f>
        <x:v>0.013513083763454503</x:v>
      </x:c>
      <x:c r="D74" s="87" t="n">
        <x:f>IF('Datos_fuente'!C74="","",LN('Datos_fuente'!C74))</x:f>
        <x:v>4.702474244875548</x:v>
      </x:c>
      <x:c r="E74" s="87" t="n">
        <x:f>IF(OR(D74="",D73=""),"",D74-D73)</x:f>
        <x:v>-0.05947316854168161</x:v>
      </x:c>
      <x:c r="F74" s="87" t="n">
        <x:f>IF('Datos_fuente'!E74="","",LN('Datos_fuente'!E74))</x:f>
        <x:v>8.317663622399355</x:v>
      </x:c>
      <x:c r="G74" s="87" t="n">
        <x:f>IF(OR(F74="",F73=""),"",F74-F73)</x:f>
        <x:v>0.008003955208824465</x:v>
      </x:c>
      <x:c r="H74" s="55" t="n">
        <x:f>'Datos_fuente'!H74</x:f>
        <x:v>4.4</x:v>
      </x:c>
      <x:c r="I74" s="55" t="n">
        <x:f>IF(OR(H74="",H73=""),"",H74-H73)</x:f>
        <x:v>0.22000000000000064</x:v>
      </x:c>
      <x:c r="J74" s="55" t="n">
        <x:f>'Datos_fuente'!J74</x:f>
        <x:v>1.627614564</x:v>
      </x:c>
      <x:c r="K74" s="55" t="n">
        <x:f>IF(OR(J74="",J73=""),"",J74-J73)</x:f>
        <x:v>0.5541684759999999</x:v>
      </x:c>
      <x:c r="L74" s="87" t="n">
        <x:f>IF('Datos_fuente'!K74="","",LN('Datos_fuente'!K74))</x:f>
        <x:v>4.464737818948532</x:v>
      </x:c>
      <x:c r="M74" s="87" t="n">
        <x:f>IF(OR(L74="",L73=""),"",L74-L73)</x:f>
        <x:v>0.006701926959593152</x:v>
      </x:c>
      <x:c r="N74" s="87" t="n">
        <x:f>IF('Datos_fuente'!L74="","",LN('Datos_fuente'!L74))</x:f>
        <x:v>3.5561800133214967</x:v>
      </x:c>
      <x:c r="O74" s="87" t="n">
        <x:f>IF(OR(N74="",N73=""),"",N74-N73)</x:f>
        <x:v>0.5998384673724249</x:v>
      </x:c>
      <x:c r="P74" s="82" t="n">
        <x:f>'Datos_fuente'!N74</x:f>
        <x:v>0</x:v>
      </x:c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>
      <x:c r="A75" s="1" t="str">
        <x:f>'Datos_fuente'!A75</x:f>
        <x:v>2011-09</x:v>
      </x:c>
      <x:c r="B75" s="87" t="n">
        <x:f>IF('Datos_fuente'!B75="","",LN('Datos_fuente'!B75))</x:f>
        <x:v>7.513883628161032</x:v>
      </x:c>
      <x:c r="C75" s="87" t="n">
        <x:f>IF(OR(B75="",B74=""),"",B75-B74)</x:f>
        <x:v>0.02639625765864828</x:v>
      </x:c>
      <x:c r="D75" s="87" t="n">
        <x:f>IF('Datos_fuente'!C75="","",LN('Datos_fuente'!C75))</x:f>
        <x:v>4.725916023763942</x:v>
      </x:c>
      <x:c r="E75" s="87" t="n">
        <x:f>IF(OR(D75="",D74=""),"",D75-D74)</x:f>
        <x:v>0.023441778888393827</x:v>
      </x:c>
      <x:c r="F75" s="87" t="n">
        <x:f>IF('Datos_fuente'!E75="","",LN('Datos_fuente'!E75))</x:f>
        <x:v>8.319863574995008</x:v>
      </x:c>
      <x:c r="G75" s="87" t="n">
        <x:f>IF(OR(F75="",F74=""),"",F75-F74)</x:f>
        <x:v>0.0021999525956530874</x:v>
      </x:c>
      <x:c r="H75" s="55" t="n">
        <x:f>'Datos_fuente'!H75</x:f>
        <x:v>4.42</x:v>
      </x:c>
      <x:c r="I75" s="55" t="n">
        <x:f>IF(OR(H75="",H74=""),"",H75-H74)</x:f>
        <x:v>0.019999999999999574</x:v>
      </x:c>
      <x:c r="J75" s="55" t="n">
        <x:f>'Datos_fuente'!J75</x:f>
        <x:v>1.490459654</x:v>
      </x:c>
      <x:c r="K75" s="55" t="n">
        <x:f>IF(OR(J75="",J74=""),"",J75-J74)</x:f>
        <x:v>-0.13715491000000002</x:v>
      </x:c>
      <x:c r="L75" s="87" t="n">
        <x:f>IF('Datos_fuente'!K75="","",LN('Datos_fuente'!K75))</x:f>
        <x:v>4.496752409110614</x:v>
      </x:c>
      <x:c r="M75" s="87" t="n">
        <x:f>IF(OR(L75="",L74=""),"",L75-L74)</x:f>
        <x:v>0.03201459016208208</x:v>
      </x:c>
      <x:c r="N75" s="87" t="n">
        <x:f>IF('Datos_fuente'!L75="","",LN('Datos_fuente'!L75))</x:f>
        <x:v>3.5981338408071912</x:v>
      </x:c>
      <x:c r="O75" s="87" t="n">
        <x:f>IF(OR(N75="",N74=""),"",N75-N74)</x:f>
        <x:v>0.04195382748569454</x:v>
      </x:c>
      <x:c r="P75" s="82" t="n">
        <x:f>'Datos_fuente'!N75</x:f>
        <x:v>0</x:v>
      </x:c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>
      <x:c r="A76" s="1" t="str">
        <x:f>'Datos_fuente'!A76</x:f>
        <x:v>2011-10</x:v>
      </x:c>
      <x:c r="B76" s="87" t="n">
        <x:f>IF('Datos_fuente'!B76="","",LN('Datos_fuente'!B76))</x:f>
        <x:v>7.55360592115809</x:v>
      </x:c>
      <x:c r="C76" s="87" t="n">
        <x:f>IF(OR(B76="",B75=""),"",B76-B75)</x:f>
        <x:v>0.039722292997057984</x:v>
      </x:c>
      <x:c r="D76" s="87" t="n">
        <x:f>IF('Datos_fuente'!C76="","",LN('Datos_fuente'!C76))</x:f>
        <x:v>4.696381066041475</x:v>
      </x:c>
      <x:c r="E76" s="87" t="n">
        <x:f>IF(OR(D76="",D75=""),"",D76-D75)</x:f>
        <x:v>-0.029534957722466615</x:v>
      </x:c>
      <x:c r="F76" s="87" t="n">
        <x:f>IF('Datos_fuente'!E76="","",LN('Datos_fuente'!E76))</x:f>
        <x:v>8.321669670936402</x:v>
      </x:c>
      <x:c r="G76" s="87" t="n">
        <x:f>IF(OR(F76="",F75=""),"",F76-F75)</x:f>
        <x:v>0.0018060959413936928</x:v>
      </x:c>
      <x:c r="H76" s="55" t="n">
        <x:f>'Datos_fuente'!H76</x:f>
        <x:v>4.43</x:v>
      </x:c>
      <x:c r="I76" s="55" t="n">
        <x:f>IF(OR(H76="",H75=""),"",H76-H75)</x:f>
        <x:v>0.009999999999999787</x:v>
      </x:c>
      <x:c r="J76" s="55" t="n">
        <x:f>'Datos_fuente'!J76</x:f>
        <x:v>1.604418414</x:v>
      </x:c>
      <x:c r="K76" s="55" t="n">
        <x:f>IF(OR(J76="",J75=""),"",J76-J75)</x:f>
        <x:v>0.11395876000000005</x:v>
      </x:c>
      <x:c r="L76" s="87" t="n">
        <x:f>IF('Datos_fuente'!K76="","",LN('Datos_fuente'!K76))</x:f>
        <x:v>4.50656287160454</x:v>
      </x:c>
      <x:c r="M76" s="87" t="n">
        <x:f>IF(OR(L76="",L75=""),"",L76-L75)</x:f>
        <x:v>0.009810462493926586</x:v>
      </x:c>
      <x:c r="N76" s="87" t="n">
        <x:f>IF('Datos_fuente'!L76="","",LN('Datos_fuente'!L76))</x:f>
        <x:v>3.491313721650136</x:v>
      </x:c>
      <x:c r="O76" s="87" t="n">
        <x:f>IF(OR(N76="",N75=""),"",N76-N75)</x:f>
        <x:v>-0.10682011915705525</x:v>
      </x:c>
      <x:c r="P76" s="82" t="n">
        <x:f>'Datos_fuente'!N76</x:f>
        <x:v>0</x:v>
      </x:c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>
      <x:c r="A77" s="1" t="str">
        <x:f>'Datos_fuente'!A77</x:f>
        <x:v>2011-11</x:v>
      </x:c>
      <x:c r="B77" s="87" t="n">
        <x:f>IF('Datos_fuente'!B77="","",LN('Datos_fuente'!B77))</x:f>
        <x:v>7.559806990130978</x:v>
      </x:c>
      <x:c r="C77" s="87" t="n">
        <x:f>IF(OR(B77="",B76=""),"",B77-B76)</x:f>
        <x:v>0.006201068972887747</x:v>
      </x:c>
      <x:c r="D77" s="87" t="n">
        <x:f>IF('Datos_fuente'!C77="","",LN('Datos_fuente'!C77))</x:f>
        <x:v>4.707438783389295</x:v>
      </x:c>
      <x:c r="E77" s="87" t="n">
        <x:f>IF(OR(D77="",D76=""),"",D77-D76)</x:f>
        <x:v>0.011057717347819462</x:v>
      </x:c>
      <x:c r="F77" s="87" t="n">
        <x:f>IF('Datos_fuente'!E77="","",LN('Datos_fuente'!E77))</x:f>
        <x:v>8.319995126055279</x:v>
      </x:c>
      <x:c r="G77" s="87" t="n">
        <x:f>IF(OR(F77="",F76=""),"",F77-F76)</x:f>
        <x:v>-0.0016745448811228414</x:v>
      </x:c>
      <x:c r="H77" s="55" t="n">
        <x:f>'Datos_fuente'!H77</x:f>
        <x:v>4.445</x:v>
      </x:c>
      <x:c r="I77" s="55" t="n">
        <x:f>IF(OR(H77="",H76=""),"",H77-H76)</x:f>
        <x:v>0.015000000000000568</x:v>
      </x:c>
      <x:c r="J77" s="55" t="n">
        <x:f>'Datos_fuente'!J77</x:f>
        <x:v>2.652862846</x:v>
      </x:c>
      <x:c r="K77" s="55" t="n">
        <x:f>IF(OR(J77="",J76=""),"",J77-J76)</x:f>
        <x:v>1.0484444320000001</x:v>
      </x:c>
      <x:c r="L77" s="87" t="n">
        <x:f>IF('Datos_fuente'!K77="","",LN('Datos_fuente'!K77))</x:f>
        <x:v>4.51376604766153</x:v>
      </x:c>
      <x:c r="M77" s="87" t="n">
        <x:f>IF(OR(L77="",L76=""),"",L77-L76)</x:f>
        <x:v>0.007203176056989946</x:v>
      </x:c>
      <x:c r="N77" s="87" t="n">
        <x:f>IF('Datos_fuente'!L77="","",LN('Datos_fuente'!L77))</x:f>
        <x:v>3.463918776575424</x:v>
      </x:c>
      <x:c r="O77" s="87" t="n">
        <x:f>IF(OR(N77="",N76=""),"",N77-N76)</x:f>
        <x:v>-0.027394945074711963</x:v>
      </x:c>
      <x:c r="P77" s="82" t="n">
        <x:f>'Datos_fuente'!N77</x:f>
        <x:v>0</x:v>
      </x:c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>
      <x:c r="A78" s="1" t="str">
        <x:f>'Datos_fuente'!A78</x:f>
        <x:v>2011-12</x:v>
      </x:c>
      <x:c r="B78" s="87" t="n">
        <x:f>IF('Datos_fuente'!B78="","",LN('Datos_fuente'!B78))</x:f>
        <x:v>7.567010195754303</x:v>
      </x:c>
      <x:c r="C78" s="87" t="n">
        <x:f>IF(OR(B78="",B77=""),"",B78-B77)</x:f>
        <x:v>0.007203205623325104</x:v>
      </x:c>
      <x:c r="D78" s="87" t="n">
        <x:f>IF('Datos_fuente'!C78="","",LN('Datos_fuente'!C78))</x:f>
        <x:v>4.680931433585643</x:v>
      </x:c>
      <x:c r="E78" s="87" t="n">
        <x:f>IF(OR(D78="",D77=""),"",D78-D77)</x:f>
        <x:v>-0.026507349803651437</x:v>
      </x:c>
      <x:c r="F78" s="87" t="n">
        <x:f>IF('Datos_fuente'!E78="","",LN('Datos_fuente'!E78))</x:f>
        <x:v>8.309947595254801</x:v>
      </x:c>
      <x:c r="G78" s="87" t="n">
        <x:f>IF(OR(F78="",F77=""),"",F78-F77)</x:f>
        <x:v>-0.010047530800477489</x:v>
      </x:c>
      <x:c r="H78" s="55" t="n">
        <x:f>'Datos_fuente'!H78</x:f>
        <x:v>4.68</x:v>
      </x:c>
      <x:c r="I78" s="55" t="n">
        <x:f>IF(OR(H78="",H77=""),"",H78-H77)</x:f>
        <x:v>0.23499999999999943</x:v>
      </x:c>
      <x:c r="J78" s="55" t="n">
        <x:f>'Datos_fuente'!J78</x:f>
        <x:v>2.82812027</x:v>
      </x:c>
      <x:c r="K78" s="55" t="n">
        <x:f>IF(OR(J78="",J77=""),"",J78-J77)</x:f>
        <x:v>0.17525742399999977</x:v>
      </x:c>
      <x:c r="L78" s="87" t="n">
        <x:f>IF('Datos_fuente'!K78="","",LN('Datos_fuente'!K78))</x:f>
        <x:v>4.524020762997684</x:v>
      </x:c>
      <x:c r="M78" s="87" t="n">
        <x:f>IF(OR(L78="",L77=""),"",L78-L77)</x:f>
        <x:v>0.01025471533615363</x:v>
      </x:c>
      <x:c r="N78" s="87" t="n">
        <x:f>IF('Datos_fuente'!L78="","",LN('Datos_fuente'!L78))</x:f>
        <x:v>3.220778775109344</x:v>
      </x:c>
      <x:c r="O78" s="87" t="n">
        <x:f>IF(OR(N78="",N77=""),"",N78-N77)</x:f>
        <x:v>-0.24314000146608006</x:v>
      </x:c>
      <x:c r="P78" s="82" t="n">
        <x:f>'Datos_fuente'!N78</x:f>
        <x:v>0</x:v>
      </x:c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>
      <x:c r="A79" s="1" t="str">
        <x:f>'Datos_fuente'!A79</x:f>
        <x:v>2012-01</x:v>
      </x:c>
      <x:c r="B79" s="87" t="n">
        <x:f>IF('Datos_fuente'!B79="","",LN('Datos_fuente'!B79))</x:f>
        <x:v>7.524713539563678</x:v>
      </x:c>
      <x:c r="C79" s="87" t="n">
        <x:f>IF(OR(B79="",B78=""),"",B79-B78)</x:f>
        <x:v>-0.04229665619062484</x:v>
      </x:c>
      <x:c r="D79" s="87" t="n">
        <x:f>IF('Datos_fuente'!C79="","",LN('Datos_fuente'!C79))</x:f>
        <x:v>4.706697363785502</x:v>
      </x:c>
      <x:c r="E79" s="87" t="n">
        <x:f>IF(OR(D79="",D78=""),"",D79-D78)</x:f>
        <x:v>0.025765930199859177</x:v>
      </x:c>
      <x:c r="F79" s="87" t="n">
        <x:f>IF('Datos_fuente'!E79="","",LN('Datos_fuente'!E79))</x:f>
        <x:v>8.310727291704623</x:v>
      </x:c>
      <x:c r="G79" s="87" t="n">
        <x:f>IF(OR(F79="",F78=""),"",F79-F78)</x:f>
        <x:v>0.0007796964498218983</x:v>
      </x:c>
      <x:c r="H79" s="55" t="n">
        <x:f>'Datos_fuente'!H79</x:f>
        <x:v>4.678064516</x:v>
      </x:c>
      <x:c r="I79" s="55" t="n">
        <x:f>IF(OR(H79="",H78=""),"",H79-H78)</x:f>
        <x:v>-0.0019354839999996543</x:v>
      </x:c>
      <x:c r="J79" s="55" t="n">
        <x:f>'Datos_fuente'!J79</x:f>
        <x:v>2.641034086</x:v>
      </x:c>
      <x:c r="K79" s="55" t="n">
        <x:f>IF(OR(J79="",J78=""),"",J79-J78)</x:f>
        <x:v>-0.187086184</x:v>
      </x:c>
      <x:c r="L79" s="87" t="n">
        <x:f>IF('Datos_fuente'!K79="","",LN('Datos_fuente'!K79))</x:f>
        <x:v>4.517936220591136</x:v>
      </x:c>
      <x:c r="M79" s="87" t="n">
        <x:f>IF(OR(L79="",L78=""),"",L79-L78)</x:f>
        <x:v>-0.006084542406547655</x:v>
      </x:c>
      <x:c r="N79" s="87" t="n">
        <x:f>IF('Datos_fuente'!L79="","",LN('Datos_fuente'!L79))</x:f>
        <x:v>3.0070677832177366</x:v>
      </x:c>
      <x:c r="O79" s="87" t="n">
        <x:f>IF(OR(N79="",N78=""),"",N79-N78)</x:f>
        <x:v>-0.21371099189160736</x:v>
      </x:c>
      <x:c r="P79" s="82" t="n">
        <x:f>'Datos_fuente'!N79</x:f>
        <x:v>0</x:v>
      </x:c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>
      <x:c r="A80" s="1" t="str">
        <x:f>'Datos_fuente'!A80</x:f>
        <x:v>2012-02</x:v>
      </x:c>
      <x:c r="B80" s="87" t="n">
        <x:f>IF('Datos_fuente'!B80="","",LN('Datos_fuente'!B80))</x:f>
        <x:v>7.485915103080317</x:v>
      </x:c>
      <x:c r="C80" s="87" t="n">
        <x:f>IF(OR(B80="",B79=""),"",B80-B79)</x:f>
        <x:v>-0.03879843648336134</x:v>
      </x:c>
      <x:c r="D80" s="87" t="n">
        <x:f>IF('Datos_fuente'!C80="","",LN('Datos_fuente'!C80))</x:f>
        <x:v>4.78186762369849</x:v>
      </x:c>
      <x:c r="E80" s="87" t="n">
        <x:f>IF(OR(D80="",D79=""),"",D80-D79)</x:f>
        <x:v>0.07517025991298798</x:v>
      </x:c>
      <x:c r="F80" s="87" t="n">
        <x:f>IF('Datos_fuente'!E80="","",LN('Datos_fuente'!E80))</x:f>
        <x:v>8.306398083282891</x:v>
      </x:c>
      <x:c r="G80" s="87" t="n">
        <x:f>IF(OR(F80="",F79=""),"",F80-F79)</x:f>
        <x:v>-0.004329208421731678</x:v>
      </x:c>
      <x:c r="H80" s="55" t="n">
        <x:f>'Datos_fuente'!H80</x:f>
        <x:v>4.925862069</x:v>
      </x:c>
      <x:c r="I80" s="55" t="n">
        <x:f>IF(OR(H80="",H79=""),"",H80-H79)</x:f>
        <x:v>0.24779755299999984</x:v>
      </x:c>
      <x:c r="J80" s="55" t="n">
        <x:f>'Datos_fuente'!J80</x:f>
        <x:v>2.578632323</x:v>
      </x:c>
      <x:c r="K80" s="55" t="n">
        <x:f>IF(OR(J80="",J79=""),"",J80-J79)</x:f>
        <x:v>-0.062401763</x:v>
      </x:c>
      <x:c r="L80" s="87" t="n">
        <x:f>IF('Datos_fuente'!K80="","",LN('Datos_fuente'!K80))</x:f>
        <x:v>4.499370685101458</x:v>
      </x:c>
      <x:c r="M80" s="87" t="n">
        <x:f>IF(OR(L80="",L79=""),"",L80-L79)</x:f>
        <x:v>-0.018565535489678098</x:v>
      </x:c>
      <x:c r="N80" s="87" t="n">
        <x:f>IF('Datos_fuente'!L80="","",LN('Datos_fuente'!L80))</x:f>
        <x:v>2.91346417486701</x:v>
      </x:c>
      <x:c r="O80" s="87" t="n">
        <x:f>IF(OR(N80="",N79=""),"",N80-N79)</x:f>
        <x:v>-0.09360360835072656</x:v>
      </x:c>
      <x:c r="P80" s="82" t="n">
        <x:f>'Datos_fuente'!N80</x:f>
        <x:v>0</x:v>
      </x:c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>
      <x:c r="A81" s="1" t="str">
        <x:f>'Datos_fuente'!A81</x:f>
        <x:v>2012-03</x:v>
      </x:c>
      <x:c r="B81" s="87" t="n">
        <x:f>IF('Datos_fuente'!B81="","",LN('Datos_fuente'!B81))</x:f>
        <x:v>7.476660139866827</x:v>
      </x:c>
      <x:c r="C81" s="87" t="n">
        <x:f>IF(OR(B81="",B80=""),"",B81-B80)</x:f>
        <x:v>-0.00925496321348973</x:v>
      </x:c>
      <x:c r="D81" s="87" t="n">
        <x:f>IF('Datos_fuente'!C81="","",LN('Datos_fuente'!C81))</x:f>
        <x:v>4.831871038596793</x:v>
      </x:c>
      <x:c r="E81" s="87" t="n">
        <x:f>IF(OR(D81="",D80=""),"",D81-D80)</x:f>
        <x:v>0.05000341489830262</x:v>
      </x:c>
      <x:c r="F81" s="87" t="n">
        <x:f>IF('Datos_fuente'!E81="","",LN('Datos_fuente'!E81))</x:f>
        <x:v>8.301305750741793</x:v>
      </x:c>
      <x:c r="G81" s="87" t="n">
        <x:f>IF(OR(F81="",F80=""),"",F81-F80)</x:f>
        <x:v>-0.005092332541098088</x:v>
      </x:c>
      <x:c r="H81" s="55" t="n">
        <x:f>'Datos_fuente'!H81</x:f>
        <x:v>5.12</x:v>
      </x:c>
      <x:c r="I81" s="55" t="n">
        <x:f>IF(OR(H81="",H80=""),"",H81-H80)</x:f>
        <x:v>0.1941379310000002</x:v>
      </x:c>
      <x:c r="J81" s="55" t="n">
        <x:f>'Datos_fuente'!J81</x:f>
        <x:v>2.738779895</x:v>
      </x:c>
      <x:c r="K81" s="55" t="n">
        <x:f>IF(OR(J81="",J80=""),"",J81-J80)</x:f>
        <x:v>0.16014757200000007</x:v>
      </x:c>
      <x:c r="L81" s="87" t="n">
        <x:f>IF('Datos_fuente'!K81="","",LN('Datos_fuente'!K81))</x:f>
        <x:v>4.505473750654274</x:v>
      </x:c>
      <x:c r="M81" s="87" t="n">
        <x:f>IF(OR(L81="",L80=""),"",L81-L80)</x:f>
        <x:v>0.006103065552816034</x:v>
      </x:c>
      <x:c r="N81" s="87" t="n">
        <x:f>IF('Datos_fuente'!L81="","",LN('Datos_fuente'!L81))</x:f>
        <x:v>2.7829889970262616</x:v>
      </x:c>
      <x:c r="O81" s="87" t="n">
        <x:f>IF(OR(N81="",N80=""),"",N81-N80)</x:f>
        <x:v>-0.13047517784074847</x:v>
      </x:c>
      <x:c r="P81" s="82" t="n">
        <x:f>'Datos_fuente'!N81</x:f>
        <x:v>0</x:v>
      </x:c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>
      <x:c r="A82" s="1" t="str">
        <x:f>'Datos_fuente'!A82</x:f>
        <x:v>2012-04</x:v>
      </x:c>
      <x:c r="B82" s="87" t="n">
        <x:f>IF('Datos_fuente'!B82="","",LN('Datos_fuente'!B82))</x:f>
        <x:v>7.481132513786503</x:v>
      </x:c>
      <x:c r="C82" s="87" t="n">
        <x:f>IF(OR(B82="",B81=""),"",B82-B81)</x:f>
        <x:v>0.004472373919675476</x:v>
      </x:c>
      <x:c r="D82" s="87" t="n">
        <x:f>IF('Datos_fuente'!C82="","",LN('Datos_fuente'!C82))</x:f>
        <x:v>4.782660647645135</x:v>
      </x:c>
      <x:c r="E82" s="87" t="n">
        <x:f>IF(OR(D82="",D81=""),"",D82-D81)</x:f>
        <x:v>-0.049210390951658134</x:v>
      </x:c>
      <x:c r="F82" s="87" t="n">
        <x:f>IF('Datos_fuente'!E82="","",LN('Datos_fuente'!E82))</x:f>
        <x:v>8.30689676130276</x:v>
      </x:c>
      <x:c r="G82" s="87" t="n">
        <x:f>IF(OR(F82="",F81=""),"",F82-F81)</x:f>
        <x:v>0.005591010560966225</x:v>
      </x:c>
      <x:c r="H82" s="55" t="n">
        <x:f>'Datos_fuente'!H82</x:f>
        <x:v>5.11</x:v>
      </x:c>
      <x:c r="I82" s="55" t="n">
        <x:f>IF(OR(H82="",H81=""),"",H82-H81)</x:f>
        <x:v>-0.009999999999999787</x:v>
      </x:c>
      <x:c r="J82" s="55" t="n">
        <x:f>'Datos_fuente'!J82</x:f>
        <x:v>1.86842231</x:v>
      </x:c>
      <x:c r="K82" s="55" t="n">
        <x:f>IF(OR(J82="",J81=""),"",J82-J81)</x:f>
        <x:v>-0.870357585</x:v>
      </x:c>
      <x:c r="L82" s="87" t="n">
        <x:f>IF('Datos_fuente'!K82="","",LN('Datos_fuente'!K82))</x:f>
        <x:v>4.5088311818454585</x:v>
      </x:c>
      <x:c r="M82" s="87" t="n">
        <x:f>IF(OR(L82="",L81=""),"",L82-L81)</x:f>
        <x:v>0.003357431191184368</x:v>
      </x:c>
      <x:c r="N82" s="87" t="n">
        <x:f>IF('Datos_fuente'!L82="","",LN('Datos_fuente'!L82))</x:f>
        <x:v>2.880489758041714</x:v>
      </x:c>
      <x:c r="O82" s="87" t="n">
        <x:f>IF(OR(N82="",N81=""),"",N82-N81)</x:f>
        <x:v>0.09750076101545258</x:v>
      </x:c>
      <x:c r="P82" s="82" t="n">
        <x:f>'Datos_fuente'!N82</x:f>
        <x:v>0</x:v>
      </x:c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>
      <x:c r="A83" s="1" t="str">
        <x:f>'Datos_fuente'!A83</x:f>
        <x:v>2012-05</x:v>
      </x:c>
      <x:c r="B83" s="87" t="n">
        <x:f>IF('Datos_fuente'!B83="","",LN('Datos_fuente'!B83))</x:f>
        <x:v>7.491799825328656</x:v>
      </x:c>
      <x:c r="C83" s="87" t="n">
        <x:f>IF(OR(B83="",B82=""),"",B83-B82)</x:f>
        <x:v>0.010667311542153612</x:v>
      </x:c>
      <x:c r="D83" s="87" t="n">
        <x:f>IF('Datos_fuente'!C83="","",LN('Datos_fuente'!C83))</x:f>
        <x:v>4.703562192083657</x:v>
      </x:c>
      <x:c r="E83" s="87" t="n">
        <x:f>IF(OR(D83="",D82=""),"",D83-D82)</x:f>
        <x:v>-0.07909845556147754</x:v>
      </x:c>
      <x:c r="F83" s="87" t="n">
        <x:f>IF('Datos_fuente'!E83="","",LN('Datos_fuente'!E83))</x:f>
        <x:v>8.308046229245457</x:v>
      </x:c>
      <x:c r="G83" s="87" t="n">
        <x:f>IF(OR(F83="",F82=""),"",F83-F82)</x:f>
        <x:v>0.0011494679426977683</x:v>
      </x:c>
      <x:c r="H83" s="55" t="n">
        <x:f>'Datos_fuente'!H83</x:f>
        <x:v>5.09</x:v>
      </x:c>
      <x:c r="I83" s="55" t="n">
        <x:f>IF(OR(H83="",H82=""),"",H83-H82)</x:f>
        <x:v>-0.020000000000000462</x:v>
      </x:c>
      <x:c r="J83" s="55" t="n">
        <x:f>'Datos_fuente'!J83</x:f>
        <x:v>1.767762633</x:v>
      </x:c>
      <x:c r="K83" s="55" t="n">
        <x:f>IF(OR(J83="",J82=""),"",J83-J82)</x:f>
        <x:v>-0.10065967699999989</x:v>
      </x:c>
      <x:c r="L83" s="87" t="n">
        <x:f>IF('Datos_fuente'!K83="","",LN('Datos_fuente'!K83))</x:f>
        <x:v>4.527130656180071</x:v>
      </x:c>
      <x:c r="M83" s="87" t="n">
        <x:f>IF(OR(L83="",L82=""),"",L83-L82)</x:f>
        <x:v>0.01829947433461232</x:v>
      </x:c>
      <x:c r="N83" s="87" t="n">
        <x:f>IF('Datos_fuente'!L83="","",LN('Datos_fuente'!L83))</x:f>
        <x:v>3.0446090139755912</x:v>
      </x:c>
      <x:c r="O83" s="87" t="n">
        <x:f>IF(OR(N83="",N82=""),"",N83-N82)</x:f>
        <x:v>0.1641192559338771</x:v>
      </x:c>
      <x:c r="P83" s="82" t="n">
        <x:f>'Datos_fuente'!N83</x:f>
        <x:v>0</x:v>
      </x:c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>
      <x:c r="A84" s="1" t="str">
        <x:f>'Datos_fuente'!A84</x:f>
        <x:v>2012-06</x:v>
      </x:c>
      <x:c r="B84" s="87" t="n">
        <x:f>IF('Datos_fuente'!B84="","",LN('Datos_fuente'!B84))</x:f>
        <x:v>7.491392606723445</x:v>
      </x:c>
      <x:c r="C84" s="87" t="n">
        <x:f>IF(OR(B84="",B83=""),"",B84-B83)</x:f>
        <x:v>-0.0004072186052113125</x:v>
      </x:c>
      <x:c r="D84" s="87" t="n">
        <x:f>IF('Datos_fuente'!C84="","",LN('Datos_fuente'!C84))</x:f>
        <x:v>4.55551464753532</x:v>
      </x:c>
      <x:c r="E84" s="87" t="n">
        <x:f>IF(OR(D84="",D83=""),"",D84-D83)</x:f>
        <x:v>-0.14804754454833713</x:v>
      </x:c>
      <x:c r="F84" s="87" t="n">
        <x:f>IF('Datos_fuente'!E84="","",LN('Datos_fuente'!E84))</x:f>
        <x:v>8.306328939968529</x:v>
      </x:c>
      <x:c r="G84" s="87" t="n">
        <x:f>IF(OR(F84="",F83=""),"",F84-F83)</x:f>
        <x:v>-0.001717289276928824</x:v>
      </x:c>
      <x:c r="H84" s="55" t="n">
        <x:f>'Datos_fuente'!H84</x:f>
        <x:v>5.09</x:v>
      </x:c>
      <x:c r="I84" s="55" t="n">
        <x:f>IF(OR(H84="",H83=""),"",H84-H83)</x:f>
        <x:v>0</x:v>
      </x:c>
      <x:c r="J84" s="55" t="n">
        <x:f>'Datos_fuente'!J84</x:f>
        <x:v>1.408046888</x:v>
      </x:c>
      <x:c r="K84" s="55" t="n">
        <x:f>IF(OR(J84="",J83=""),"",J84-J83)</x:f>
        <x:v>-0.3597157449999999</x:v>
      </x:c>
      <x:c r="L84" s="87" t="n">
        <x:f>IF('Datos_fuente'!K84="","",LN('Datos_fuente'!K84))</x:f>
        <x:v>4.54202660261895</x:v>
      </x:c>
      <x:c r="M84" s="87" t="n">
        <x:f>IF(OR(L84="",L83=""),"",L84-L83)</x:f>
        <x:v>0.01489594643887937</x:v>
      </x:c>
      <x:c r="N84" s="87" t="n">
        <x:f>IF('Datos_fuente'!L84="","",LN('Datos_fuente'!L84))</x:f>
        <x:v>3.050738903021132</x:v>
      </x:c>
      <x:c r="O84" s="87" t="n">
        <x:f>IF(OR(N84="",N83=""),"",N84-N83)</x:f>
        <x:v>0.006129889045540793</x:v>
      </x:c>
      <x:c r="P84" s="82" t="n">
        <x:f>'Datos_fuente'!N84</x:f>
        <x:v>0</x:v>
      </x:c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>
      <x:c r="A85" s="1" t="str">
        <x:f>'Datos_fuente'!A85</x:f>
        <x:v>2012-07</x:v>
      </x:c>
      <x:c r="B85" s="87" t="n">
        <x:f>IF('Datos_fuente'!B85="","",LN('Datos_fuente'!B85))</x:f>
        <x:v>7.486512592260603</x:v>
      </x:c>
      <x:c r="C85" s="87" t="n">
        <x:f>IF(OR(B85="",B84=""),"",B85-B84)</x:f>
        <x:v>-0.004880014462842475</x:v>
      </x:c>
      <x:c r="D85" s="87" t="n">
        <x:f>IF('Datos_fuente'!C85="","",LN('Datos_fuente'!C85))</x:f>
        <x:v>4.631018924154005</x:v>
      </x:c>
      <x:c r="E85" s="87" t="n">
        <x:f>IF(OR(D85="",D84=""),"",D85-D84)</x:f>
        <x:v>0.07550427661868486</x:v>
      </x:c>
      <x:c r="F85" s="87" t="n">
        <x:f>IF('Datos_fuente'!E85="","",LN('Datos_fuente'!E85))</x:f>
        <x:v>8.309034307095697</x:v>
      </x:c>
      <x:c r="G85" s="87" t="n">
        <x:f>IF(OR(F85="",F84=""),"",F85-F84)</x:f>
        <x:v>0.002705367127168401</x:v>
      </x:c>
      <x:c r="H85" s="55" t="n">
        <x:f>'Datos_fuente'!H85</x:f>
        <x:v>5.073870968</x:v>
      </x:c>
      <x:c r="I85" s="55" t="n">
        <x:f>IF(OR(H85="",H84=""),"",H85-H84)</x:f>
        <x:v>-0.016129032000000265</x:v>
      </x:c>
      <x:c r="J85" s="55" t="n">
        <x:f>'Datos_fuente'!J85</x:f>
        <x:v>1.500560281</x:v>
      </x:c>
      <x:c r="K85" s="55" t="n">
        <x:f>IF(OR(J85="",J84=""),"",J85-J84)</x:f>
        <x:v>0.09251339299999994</x:v>
      </x:c>
      <x:c r="L85" s="87" t="n">
        <x:f>IF('Datos_fuente'!K85="","",LN('Datos_fuente'!K85))</x:f>
        <x:v>4.536957367359357</x:v>
      </x:c>
      <x:c r="M85" s="87" t="n">
        <x:f>IF(OR(L85="",L84=""),"",L85-L84)</x:f>
        <x:v>-0.005069235259592908</x:v>
      </x:c>
      <x:c r="N85" s="87" t="n">
        <x:f>IF('Datos_fuente'!L85="","",LN('Datos_fuente'!L85))</x:f>
        <x:v>2.8659218409917013</x:v>
      </x:c>
      <x:c r="O85" s="87" t="n">
        <x:f>IF(OR(N85="",N84=""),"",N85-N84)</x:f>
        <x:v>-0.1848170620294307</x:v>
      </x:c>
      <x:c r="P85" s="82" t="n">
        <x:f>'Datos_fuente'!N85</x:f>
        <x:v>0</x:v>
      </x:c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>
      <x:c r="A86" s="1" t="str">
        <x:f>'Datos_fuente'!A86</x:f>
        <x:v>2012-08</x:v>
      </x:c>
      <x:c r="B86" s="87" t="n">
        <x:f>IF('Datos_fuente'!B86="","",LN('Datos_fuente'!B86))</x:f>
        <x:v>7.498605704661357</x:v>
      </x:c>
      <x:c r="C86" s="87" t="n">
        <x:f>IF(OR(B86="",B85=""),"",B86-B85)</x:f>
        <x:v>0.012093112400754613</x:v>
      </x:c>
      <x:c r="D86" s="87" t="n">
        <x:f>IF('Datos_fuente'!C86="","",LN('Datos_fuente'!C86))</x:f>
        <x:v>4.73053407643803</x:v>
      </x:c>
      <x:c r="E86" s="87" t="n">
        <x:f>IF(OR(D86="",D85=""),"",D86-D85)</x:f>
        <x:v>0.09951515228402474</x:v>
      </x:c>
      <x:c r="F86" s="87" t="n">
        <x:f>IF('Datos_fuente'!E86="","",LN('Datos_fuente'!E86))</x:f>
        <x:v>8.303385921079014</x:v>
      </x:c>
      <x:c r="G86" s="87" t="n">
        <x:f>IF(OR(F86="",F85=""),"",F86-F85)</x:f>
        <x:v>-0.005648386016682494</x:v>
      </x:c>
      <x:c r="H86" s="55" t="n">
        <x:f>'Datos_fuente'!H86</x:f>
        <x:v>4.829677419</x:v>
      </x:c>
      <x:c r="I86" s="55" t="n">
        <x:f>IF(OR(H86="",H85=""),"",H86-H85)</x:f>
        <x:v>-0.24419354899999934</x:v>
      </x:c>
      <x:c r="J86" s="55" t="n">
        <x:f>'Datos_fuente'!J86</x:f>
        <x:v>1.515547366</x:v>
      </x:c>
      <x:c r="K86" s="55" t="n">
        <x:f>IF(OR(J86="",J85=""),"",J86-J85)</x:f>
        <x:v>0.014987085000000011</x:v>
      </x:c>
      <x:c r="L86" s="87" t="n">
        <x:f>IF('Datos_fuente'!K86="","",LN('Datos_fuente'!K86))</x:f>
        <x:v>4.527514167787338</x:v>
      </x:c>
      <x:c r="M86" s="87" t="n">
        <x:f>IF(OR(L86="",L85=""),"",L86-L85)</x:f>
        <x:v>-0.009443199572019445</x:v>
      </x:c>
      <x:c r="N86" s="87" t="n">
        <x:f>IF('Datos_fuente'!L86="","",LN('Datos_fuente'!L86))</x:f>
        <x:v>2.752995855717272</x:v>
      </x:c>
      <x:c r="O86" s="87" t="n">
        <x:f>IF(OR(N86="",N85=""),"",N86-N85)</x:f>
        <x:v>-0.11292598527442932</x:v>
      </x:c>
      <x:c r="P86" s="82" t="n">
        <x:f>'Datos_fuente'!N86</x:f>
        <x:v>0</x:v>
      </x:c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>
      <x:c r="A87" s="1" t="str">
        <x:f>'Datos_fuente'!A87</x:f>
        <x:v>2012-09</x:v>
      </x:c>
      <x:c r="B87" s="87" t="n">
        <x:f>IF('Datos_fuente'!B87="","",LN('Datos_fuente'!B87))</x:f>
        <x:v>7.497066521680253</x:v>
      </x:c>
      <x:c r="C87" s="87" t="n">
        <x:f>IF(OR(B87="",B86=""),"",B87-B86)</x:f>
        <x:v>-0.0015391829811042257</x:v>
      </x:c>
      <x:c r="D87" s="87" t="n">
        <x:f>IF('Datos_fuente'!C87="","",LN('Datos_fuente'!C87))</x:f>
        <x:v>4.726180755991887</x:v>
      </x:c>
      <x:c r="E87" s="87" t="n">
        <x:f>IF(OR(D87="",D86=""),"",D87-D86)</x:f>
        <x:v>-0.004353320446142561</x:v>
      </x:c>
      <x:c r="F87" s="87" t="n">
        <x:f>IF('Datos_fuente'!E87="","",LN('Datos_fuente'!E87))</x:f>
        <x:v>8.296863178388577</x:v>
      </x:c>
      <x:c r="G87" s="87" t="n">
        <x:f>IF(OR(F87="",F86=""),"",F87-F86)</x:f>
        <x:v>-0.006522742690437511</x:v>
      </x:c>
      <x:c r="H87" s="55" t="n">
        <x:f>'Datos_fuente'!H87</x:f>
        <x:v>4.61</x:v>
      </x:c>
      <x:c r="I87" s="55" t="n">
        <x:f>IF(OR(H87="",H86=""),"",H87-H86)</x:f>
        <x:v>-0.21967741899999993</x:v>
      </x:c>
      <x:c r="J87" s="55" t="n">
        <x:f>'Datos_fuente'!J87</x:f>
        <x:v>1.617997108</x:v>
      </x:c>
      <x:c r="K87" s="55" t="n">
        <x:f>IF(OR(J87="",J86=""),"",J87-J86)</x:f>
        <x:v>0.1024497419999999</x:v>
      </x:c>
      <x:c r="L87" s="87" t="n">
        <x:f>IF('Datos_fuente'!K87="","",LN('Datos_fuente'!K87))</x:f>
        <x:v>4.510641900424779</x:v>
      </x:c>
      <x:c r="M87" s="87" t="n">
        <x:f>IF(OR(L87="",L86=""),"",L87-L86)</x:f>
        <x:v>-0.01687226736255898</x:v>
      </x:c>
      <x:c r="N87" s="87" t="n">
        <x:f>IF('Datos_fuente'!L87="","",LN('Datos_fuente'!L87))</x:f>
        <x:v>2.7268547383152923</x:v>
      </x:c>
      <x:c r="O87" s="87" t="n">
        <x:f>IF(OR(N87="",N86=""),"",N87-N86)</x:f>
        <x:v>-0.026141117401979663</x:v>
      </x:c>
      <x:c r="P87" s="82" t="n">
        <x:f>'Datos_fuente'!N87</x:f>
        <x:v>0</x:v>
      </x:c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>
      <x:c r="A88" s="1" t="str">
        <x:f>'Datos_fuente'!A88</x:f>
        <x:v>2012-10</x:v>
      </x:c>
      <x:c r="B88" s="87" t="n">
        <x:f>IF('Datos_fuente'!B88="","",LN('Datos_fuente'!B88))</x:f>
        <x:v>7.497983942000513</x:v>
      </x:c>
      <x:c r="C88" s="87" t="n">
        <x:f>IF(OR(B88="",B87=""),"",B88-B87)</x:f>
        <x:v>0.0009174203202597653</x:v>
      </x:c>
      <x:c r="D88" s="87" t="n">
        <x:f>IF('Datos_fuente'!C88="","",LN('Datos_fuente'!C88))</x:f>
        <x:v>4.715914011994316</x:v>
      </x:c>
      <x:c r="E88" s="87" t="n">
        <x:f>IF(OR(D88="",D87=""),"",D88-D87)</x:f>
        <x:v>-0.01026674399757077</x:v>
      </x:c>
      <x:c r="F88" s="87" t="n">
        <x:f>IF('Datos_fuente'!E88="","",LN('Datos_fuente'!E88))</x:f>
        <x:v>8.297473771068722</x:v>
      </x:c>
      <x:c r="G88" s="87" t="n">
        <x:f>IF(OR(F88="",F87=""),"",F88-F87)</x:f>
        <x:v>0.0006105926801449613</x:v>
      </x:c>
      <x:c r="H88" s="55" t="n">
        <x:f>'Datos_fuente'!H88</x:f>
        <x:v>4.59</x:v>
      </x:c>
      <x:c r="I88" s="55" t="n">
        <x:f>IF(OR(H88="",H87=""),"",H88-H87)</x:f>
        <x:v>-0.020000000000000462</x:v>
      </x:c>
      <x:c r="J88" s="55" t="n">
        <x:f>'Datos_fuente'!J88</x:f>
        <x:v>1.981446547</x:v>
      </x:c>
      <x:c r="K88" s="55" t="n">
        <x:f>IF(OR(J88="",J87=""),"",J88-J87)</x:f>
        <x:v>0.36344943900000004</x:v>
      </x:c>
      <x:c r="L88" s="87" t="n">
        <x:f>IF('Datos_fuente'!K88="","",LN('Datos_fuente'!K88))</x:f>
        <x:v>4.508181528327605</x:v>
      </x:c>
      <x:c r="M88" s="87" t="n">
        <x:f>IF(OR(L88="",L87=""),"",L88-L87)</x:f>
        <x:v>-0.0024603720971736465</x:v>
      </x:c>
      <x:c r="N88" s="87" t="n">
        <x:f>IF('Datos_fuente'!L88="","",LN('Datos_fuente'!L88))</x:f>
        <x:v>2.7897033331921226</x:v>
      </x:c>
      <x:c r="O88" s="87" t="n">
        <x:f>IF(OR(N88="",N87=""),"",N88-N87)</x:f>
        <x:v>0.06284859487683025</x:v>
      </x:c>
      <x:c r="P88" s="82" t="n">
        <x:f>'Datos_fuente'!N88</x:f>
        <x:v>0</x:v>
      </x:c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>
      <x:c r="A89" s="1" t="str">
        <x:f>'Datos_fuente'!A89</x:f>
        <x:v>2012-11</x:v>
      </x:c>
      <x:c r="B89" s="87" t="n">
        <x:f>IF('Datos_fuente'!B89="","",LN('Datos_fuente'!B89))</x:f>
        <x:v>7.507148584916358</x:v>
      </x:c>
      <x:c r="C89" s="87" t="n">
        <x:f>IF(OR(B89="",B88=""),"",B89-B88)</x:f>
        <x:v>0.009164642915845178</x:v>
      </x:c>
      <x:c r="D89" s="87" t="n">
        <x:f>IF('Datos_fuente'!C89="","",LN('Datos_fuente'!C89))</x:f>
        <x:v>4.691885090200677</x:v>
      </x:c>
      <x:c r="E89" s="87" t="n">
        <x:f>IF(OR(D89="",D88=""),"",D89-D88)</x:f>
        <x:v>-0.024028921793639135</x:v>
      </x:c>
      <x:c r="F89" s="87" t="n">
        <x:f>IF('Datos_fuente'!E89="","",LN('Datos_fuente'!E89))</x:f>
        <x:v>8.290781806545258</x:v>
      </x:c>
      <x:c r="G89" s="87" t="n">
        <x:f>IF(OR(F89="",F88=""),"",F89-F88)</x:f>
        <x:v>-0.006691964523463767</x:v>
      </x:c>
      <x:c r="H89" s="55" t="n">
        <x:f>'Datos_fuente'!H89</x:f>
        <x:v>4.548333333</x:v>
      </x:c>
      <x:c r="I89" s="55" t="n">
        <x:f>IF(OR(H89="",H88=""),"",H89-H88)</x:f>
        <x:v>-0.041666666999999435</x:v>
      </x:c>
      <x:c r="J89" s="55" t="n">
        <x:f>'Datos_fuente'!J89</x:f>
        <x:v>1.037831214</x:v>
      </x:c>
      <x:c r="K89" s="55" t="n">
        <x:f>IF(OR(J89="",J88=""),"",J89-J88)</x:f>
        <x:v>-0.9436153330000001</x:v>
      </x:c>
      <x:c r="L89" s="87" t="n">
        <x:f>IF('Datos_fuente'!K89="","",LN('Datos_fuente'!K89))</x:f>
        <x:v>4.516066585460778</x:v>
      </x:c>
      <x:c r="M89" s="87" t="n">
        <x:f>IF(OR(L89="",L88=""),"",L89-L88)</x:f>
        <x:v>0.00788505713317278</x:v>
      </x:c>
      <x:c r="N89" s="87" t="n">
        <x:f>IF('Datos_fuente'!L89="","",LN('Datos_fuente'!L89))</x:f>
        <x:v>2.815522770403679</x:v>
      </x:c>
      <x:c r="O89" s="87" t="n">
        <x:f>IF(OR(N89="",N88=""),"",N89-N88)</x:f>
        <x:v>0.02581943721155655</x:v>
      </x:c>
      <x:c r="P89" s="82" t="n">
        <x:f>'Datos_fuente'!N89</x:f>
        <x:v>0</x:v>
      </x:c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>
      <x:c r="A90" s="1" t="str">
        <x:f>'Datos_fuente'!A90</x:f>
        <x:v>2012-12</x:v>
      </x:c>
      <x:c r="B90" s="87" t="n">
        <x:f>IF('Datos_fuente'!B90="","",LN('Datos_fuente'!B90))</x:f>
        <x:v>7.491363693250663</x:v>
      </x:c>
      <x:c r="C90" s="87" t="n">
        <x:f>IF(OR(B90="",B89=""),"",B90-B89)</x:f>
        <x:v>-0.015784891665695078</x:v>
      </x:c>
      <x:c r="D90" s="87" t="n">
        <x:f>IF('Datos_fuente'!C90="","",LN('Datos_fuente'!C90))</x:f>
        <x:v>4.695869753234733</x:v>
      </x:c>
      <x:c r="E90" s="87" t="n">
        <x:f>IF(OR(D90="",D89=""),"",D90-D89)</x:f>
        <x:v>0.003984663034056091</x:v>
      </x:c>
      <x:c r="F90" s="87" t="n">
        <x:f>IF('Datos_fuente'!E90="","",LN('Datos_fuente'!E90))</x:f>
        <x:v>8.2864382468006</x:v>
      </x:c>
      <x:c r="G90" s="87" t="n">
        <x:f>IF(OR(F90="",F89=""),"",F90-F89)</x:f>
        <x:v>-0.004343559744658165</x:v>
      </x:c>
      <x:c r="H90" s="55" t="n">
        <x:f>'Datos_fuente'!H90</x:f>
        <x:v>4.275483871</x:v>
      </x:c>
      <x:c r="I90" s="55" t="n">
        <x:f>IF(OR(H90="",H89=""),"",H90-H89)</x:f>
        <x:v>-0.2728494620000008</x:v>
      </x:c>
      <x:c r="J90" s="55" t="n">
        <x:f>'Datos_fuente'!J90</x:f>
        <x:v>2.316502485</x:v>
      </x:c>
      <x:c r="K90" s="55" t="n">
        <x:f>IF(OR(J90="",J89=""),"",J90-J89)</x:f>
        <x:v>1.278671271</x:v>
      </x:c>
      <x:c r="L90" s="87" t="n">
        <x:f>IF('Datos_fuente'!K90="","",LN('Datos_fuente'!K90))</x:f>
        <x:v>4.509544246336873</x:v>
      </x:c>
      <x:c r="M90" s="87" t="n">
        <x:f>IF(OR(L90="",L89=""),"",L90-L89)</x:f>
        <x:v>-0.0065223391239053186</x:v>
      </x:c>
      <x:c r="N90" s="87" t="n">
        <x:f>IF('Datos_fuente'!L90="","",LN('Datos_fuente'!L90))</x:f>
        <x:v>2.851111043942862</x:v>
      </x:c>
      <x:c r="O90" s="87" t="n">
        <x:f>IF(OR(N90="",N89=""),"",N90-N89)</x:f>
        <x:v>0.035588273539183035</x:v>
      </x:c>
      <x:c r="P90" s="82" t="n">
        <x:f>'Datos_fuente'!N90</x:f>
        <x:v>0</x:v>
      </x:c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>
      <x:c r="A91" s="1" t="str">
        <x:f>'Datos_fuente'!A91</x:f>
        <x:v>2013-01</x:v>
      </x:c>
      <x:c r="B91" s="87" t="n">
        <x:f>IF('Datos_fuente'!B91="","",LN('Datos_fuente'!B91))</x:f>
        <x:v>7.478549825970629</x:v>
      </x:c>
      <x:c r="C91" s="87" t="n">
        <x:f>IF(OR(B91="",B90=""),"",B91-B90)</x:f>
        <x:v>-0.012813867280033975</x:v>
      </x:c>
      <x:c r="D91" s="87" t="n">
        <x:f>IF('Datos_fuente'!C91="","",LN('Datos_fuente'!C91))</x:f>
        <x:v>4.727033773744932</x:v>
      </x:c>
      <x:c r="E91" s="87" t="n">
        <x:f>IF(OR(D91="",D90=""),"",D91-D90)</x:f>
        <x:v>0.031164020510198398</x:v>
      </x:c>
      <x:c r="F91" s="87" t="n">
        <x:f>IF('Datos_fuente'!E91="","",LN('Datos_fuente'!E91))</x:f>
        <x:v>8.295181499307656</x:v>
      </x:c>
      <x:c r="G91" s="87" t="n">
        <x:f>IF(OR(F91="",F90=""),"",F91-F90)</x:f>
        <x:v>0.008743252507056098</x:v>
      </x:c>
      <x:c r="H91" s="55" t="n">
        <x:f>'Datos_fuente'!H91</x:f>
        <x:v>4.085806452</x:v>
      </x:c>
      <x:c r="I91" s="55" t="n">
        <x:f>IF(OR(H91="",H90=""),"",H91-H90)</x:f>
        <x:v>-0.18967741899999968</x:v>
      </x:c>
      <x:c r="J91" s="55" t="n">
        <x:f>'Datos_fuente'!J91</x:f>
        <x:v>1.469951168</x:v>
      </x:c>
      <x:c r="K91" s="55" t="n">
        <x:f>IF(OR(J91="",J90=""),"",J91-J90)</x:f>
        <x:v>-0.8465513170000001</x:v>
      </x:c>
      <x:c r="L91" s="87" t="n">
        <x:f>IF('Datos_fuente'!K91="","",LN('Datos_fuente'!K91))</x:f>
        <x:v>4.50894024051898</x:v>
      </x:c>
      <x:c r="M91" s="87" t="n">
        <x:f>IF(OR(L91="",L90=""),"",L91-L90)</x:f>
        <x:v>-0.0006040058178928831</x:v>
      </x:c>
      <x:c r="N91" s="87" t="n">
        <x:f>IF('Datos_fuente'!L91="","",LN('Datos_fuente'!L91))</x:f>
        <x:v>2.603077617596383</x:v>
      </x:c>
      <x:c r="O91" s="87" t="n">
        <x:f>IF(OR(N91="",N90=""),"",N91-N90)</x:f>
        <x:v>-0.2480334263464794</x:v>
      </x:c>
      <x:c r="P91" s="82" t="n">
        <x:f>'Datos_fuente'!N91</x:f>
        <x:v>0</x:v>
      </x:c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>
      <x:c r="A92" s="1" t="str">
        <x:f>'Datos_fuente'!A92</x:f>
        <x:v>2013-02</x:v>
      </x:c>
      <x:c r="B92" s="87" t="n">
        <x:f>IF('Datos_fuente'!B92="","",LN('Datos_fuente'!B92))</x:f>
        <x:v>7.4902769173694805</x:v>
      </x:c>
      <x:c r="C92" s="87" t="n">
        <x:f>IF(OR(B92="",B91=""),"",B92-B91)</x:f>
        <x:v>0.011727091398851641</x:v>
      </x:c>
      <x:c r="D92" s="87" t="n">
        <x:f>IF('Datos_fuente'!C92="","",LN('Datos_fuente'!C92))</x:f>
        <x:v>4.7540256678243376</x:v>
      </x:c>
      <x:c r="E92" s="87" t="n">
        <x:f>IF(OR(D92="",D91=""),"",D92-D91)</x:f>
        <x:v>0.02699189407940583</x:v>
      </x:c>
      <x:c r="F92" s="87" t="n">
        <x:f>IF('Datos_fuente'!E92="","",LN('Datos_fuente'!E92))</x:f>
        <x:v>8.298870501055967</x:v>
      </x:c>
      <x:c r="G92" s="87" t="n">
        <x:f>IF(OR(F92="",F91=""),"",F92-F91)</x:f>
        <x:v>0.003689001748311327</x:v>
      </x:c>
      <x:c r="H92" s="55" t="n">
        <x:f>'Datos_fuente'!H92</x:f>
        <x:v>3.814285714</x:v>
      </x:c>
      <x:c r="I92" s="55" t="n">
        <x:f>IF(OR(H92="",H91=""),"",H92-H91)</x:f>
        <x:v>-0.271520738</x:v>
      </x:c>
      <x:c r="J92" s="55" t="n">
        <x:f>'Datos_fuente'!J92</x:f>
        <x:v>1.680938137</x:v>
      </x:c>
      <x:c r="K92" s="55" t="n">
        <x:f>IF(OR(J92="",J91=""),"",J92-J91)</x:f>
        <x:v>0.21098696900000014</x:v>
      </x:c>
      <x:c r="L92" s="87" t="n">
        <x:f>IF('Datos_fuente'!K92="","",LN('Datos_fuente'!K92))</x:f>
        <x:v>4.51689481427542</x:v>
      </x:c>
      <x:c r="M92" s="87" t="n">
        <x:f>IF(OR(L92="",L91=""),"",L92-L91)</x:f>
        <x:v>0.007954573756440375</x:v>
      </x:c>
      <x:c r="N92" s="87" t="n">
        <x:f>IF('Datos_fuente'!L92="","",LN('Datos_fuente'!L92))</x:f>
        <x:v>2.644231888463336</x:v>
      </x:c>
      <x:c r="O92" s="87" t="n">
        <x:f>IF(OR(N92="",N91=""),"",N92-N91)</x:f>
        <x:v>0.041154270866953</x:v>
      </x:c>
      <x:c r="P92" s="82" t="n">
        <x:f>'Datos_fuente'!N92</x:f>
        <x:v>0</x:v>
      </x:c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>
      <x:c r="A93" s="1" t="str">
        <x:f>'Datos_fuente'!A93</x:f>
        <x:v>2013-03</x:v>
      </x:c>
      <x:c r="B93" s="87" t="n">
        <x:f>IF('Datos_fuente'!B93="","",LN('Datos_fuente'!B93))</x:f>
        <x:v>7.503151092964512</x:v>
      </x:c>
      <x:c r="C93" s="87" t="n">
        <x:f>IF(OR(B93="",B92=""),"",B93-B92)</x:f>
        <x:v>0.0128741755950319</x:v>
      </x:c>
      <x:c r="D93" s="87" t="n">
        <x:f>IF('Datos_fuente'!C93="","",LN('Datos_fuente'!C93))</x:f>
        <x:v>4.686510512927932</x:v>
      </x:c>
      <x:c r="E93" s="87" t="n">
        <x:f>IF(OR(D93="",D92=""),"",D93-D92)</x:f>
        <x:v>-0.06751515489640525</x:v>
      </x:c>
      <x:c r="F93" s="87" t="n">
        <x:f>IF('Datos_fuente'!E93="","",LN('Datos_fuente'!E93))</x:f>
        <x:v>8.297800098333022</x:v>
      </x:c>
      <x:c r="G93" s="87" t="n">
        <x:f>IF(OR(F93="",F92=""),"",F93-F92)</x:f>
        <x:v>-0.0010704027229451185</x:v>
      </x:c>
      <x:c r="H93" s="55" t="n">
        <x:f>'Datos_fuente'!H93</x:f>
        <x:v>3.513225806</x:v>
      </x:c>
      <x:c r="I93" s="55" t="n">
        <x:f>IF(OR(H93="",H92=""),"",H93-H92)</x:f>
        <x:v>-0.30105990800000004</x:v>
      </x:c>
      <x:c r="J93" s="55" t="n">
        <x:f>'Datos_fuente'!J93</x:f>
        <x:v>2.144560764</x:v>
      </x:c>
      <x:c r="K93" s="55" t="n">
        <x:f>IF(OR(J93="",J92=""),"",J93-J92)</x:f>
        <x:v>0.4636226269999999</x:v>
      </x:c>
      <x:c r="L93" s="87" t="n">
        <x:f>IF('Datos_fuente'!K93="","",LN('Datos_fuente'!K93))</x:f>
        <x:v>4.526269609168063</x:v>
      </x:c>
      <x:c r="M93" s="87" t="n">
        <x:f>IF(OR(L93="",L92=""),"",L93-L92)</x:f>
        <x:v>0.00937479489264259</x:v>
      </x:c>
      <x:c r="N93" s="87" t="n">
        <x:f>IF('Datos_fuente'!L93="","",LN('Datos_fuente'!L93))</x:f>
        <x:v>2.56736950346733</x:v>
      </x:c>
      <x:c r="O93" s="87" t="n">
        <x:f>IF(OR(N93="",N92=""),"",N93-N92)</x:f>
        <x:v>-0.07686238499600595</x:v>
      </x:c>
      <x:c r="P93" s="82" t="n">
        <x:f>'Datos_fuente'!N93</x:f>
        <x:v>0</x:v>
      </x:c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>
      <x:c r="A94" s="1" t="str">
        <x:f>'Datos_fuente'!A94</x:f>
        <x:v>2013-04</x:v>
      </x:c>
      <x:c r="B94" s="87" t="n">
        <x:f>IF('Datos_fuente'!B94="","",LN('Datos_fuente'!B94))</x:f>
        <x:v>7.512197649321619</x:v>
      </x:c>
      <x:c r="C94" s="87" t="n">
        <x:f>IF(OR(B94="",B93=""),"",B94-B93)</x:f>
        <x:v>0.009046556357106716</x:v>
      </x:c>
      <x:c r="D94" s="87" t="n">
        <x:f>IF('Datos_fuente'!C94="","",LN('Datos_fuente'!C94))</x:f>
        <x:v>4.62740301285772</x:v>
      </x:c>
      <x:c r="E94" s="87" t="n">
        <x:f>IF(OR(D94="",D93=""),"",D94-D93)</x:f>
        <x:v>-0.05910750007021193</x:v>
      </x:c>
      <x:c r="F94" s="87" t="n">
        <x:f>IF('Datos_fuente'!E94="","",LN('Datos_fuente'!E94))</x:f>
        <x:v>8.311781497382173</x:v>
      </x:c>
      <x:c r="G94" s="87" t="n">
        <x:f>IF(OR(F94="",F93=""),"",F94-F93)</x:f>
        <x:v>0.013981399049150411</x:v>
      </x:c>
      <x:c r="H94" s="55" t="n">
        <x:f>'Datos_fuente'!H94</x:f>
        <x:v>3.1</x:v>
      </x:c>
      <x:c r="I94" s="55" t="n">
        <x:f>IF(OR(H94="",H93=""),"",H94-H93)</x:f>
        <x:v>-0.4132258059999998</x:v>
      </x:c>
      <x:c r="J94" s="55" t="n">
        <x:f>'Datos_fuente'!J94</x:f>
        <x:v>2.953051089</x:v>
      </x:c>
      <x:c r="K94" s="55" t="n">
        <x:f>IF(OR(J94="",J93=""),"",J94-J93)</x:f>
        <x:v>0.8084903250000002</x:v>
      </x:c>
      <x:c r="L94" s="87" t="n">
        <x:f>IF('Datos_fuente'!K94="","",LN('Datos_fuente'!K94))</x:f>
        <x:v>4.522308254276044</x:v>
      </x:c>
      <x:c r="M94" s="87" t="n">
        <x:f>IF(OR(L94="",L93=""),"",L94-L93)</x:f>
        <x:v>-0.003961354892018321</x:v>
      </x:c>
      <x:c r="N94" s="87" t="n">
        <x:f>IF('Datos_fuente'!L94="","",LN('Datos_fuente'!L94))</x:f>
        <x:v>2.636716930874595</x:v>
      </x:c>
      <x:c r="O94" s="87" t="n">
        <x:f>IF(OR(N94="",N93=""),"",N94-N93)</x:f>
        <x:v>0.06934742740726518</x:v>
      </x:c>
      <x:c r="P94" s="82" t="n">
        <x:f>'Datos_fuente'!N94</x:f>
        <x:v>0</x:v>
      </x:c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>
      <x:c r="A95" s="1" t="str">
        <x:f>'Datos_fuente'!A95</x:f>
        <x:v>2013-05</x:v>
      </x:c>
      <x:c r="B95" s="87" t="n">
        <x:f>IF('Datos_fuente'!B95="","",LN('Datos_fuente'!B95))</x:f>
        <x:v>7.521816659303223</x:v>
      </x:c>
      <x:c r="C95" s="87" t="n">
        <x:f>IF(OR(B95="",B94=""),"",B95-B94)</x:f>
        <x:v>0.00961900998160381</x:v>
      </x:c>
      <x:c r="D95" s="87" t="n">
        <x:f>IF('Datos_fuente'!C95="","",LN('Datos_fuente'!C95))</x:f>
        <x:v>4.630434697452147</x:v>
      </x:c>
      <x:c r="E95" s="87" t="n">
        <x:f>IF(OR(D95="",D94=""),"",D95-D94)</x:f>
        <x:v>0.003031684594426487</x:v>
      </x:c>
      <x:c r="F95" s="87" t="n">
        <x:f>IF('Datos_fuente'!E95="","",LN('Datos_fuente'!E95))</x:f>
        <x:v>8.321912830849286</x:v>
      </x:c>
      <x:c r="G95" s="87" t="n">
        <x:f>IF(OR(F95="",F94=""),"",F95-F94)</x:f>
        <x:v>0.010131333467112924</x:v>
      </x:c>
      <x:c r="H95" s="55" t="n">
        <x:f>'Datos_fuente'!H95</x:f>
        <x:v>3.14</x:v>
      </x:c>
      <x:c r="I95" s="55" t="n">
        <x:f>IF(OR(H95="",H94=""),"",H95-H94)</x:f>
        <x:v>0.040000000000000036</x:v>
      </x:c>
      <x:c r="J95" s="55" t="n">
        <x:f>'Datos_fuente'!J95</x:f>
        <x:v>2.98816712</x:v>
      </x:c>
      <x:c r="K95" s="55" t="n">
        <x:f>IF(OR(J95="",J94=""),"",J95-J94)</x:f>
        <x:v>0.035116030999999825</x:v>
      </x:c>
      <x:c r="L95" s="87" t="n">
        <x:f>IF('Datos_fuente'!K95="","",LN('Datos_fuente'!K95))</x:f>
        <x:v>4.527521765004557</x:v>
      </x:c>
      <x:c r="M95" s="87" t="n">
        <x:f>IF(OR(L95="",L94=""),"",L95-L94)</x:f>
        <x:v>0.005213510728512283</x:v>
      </x:c>
      <x:c r="N95" s="87" t="n">
        <x:f>IF('Datos_fuente'!L95="","",LN('Datos_fuente'!L95))</x:f>
        <x:v>2.602218193568816</x:v>
      </x:c>
      <x:c r="O95" s="87" t="n">
        <x:f>IF(OR(N95="",N94=""),"",N95-N94)</x:f>
        <x:v>-0.03449873730577924</x:v>
      </x:c>
      <x:c r="P95" s="82" t="n">
        <x:f>'Datos_fuente'!N95</x:f>
        <x:v>0</x:v>
      </x:c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>
      <x:c r="A96" s="1" t="str">
        <x:f>'Datos_fuente'!A96</x:f>
        <x:v>2013-06</x:v>
      </x:c>
      <x:c r="B96" s="87" t="n">
        <x:f>IF('Datos_fuente'!B96="","",LN('Datos_fuente'!B96))</x:f>
        <x:v>7.554779634683156</x:v>
      </x:c>
      <x:c r="C96" s="87" t="n">
        <x:f>IF(OR(B96="",B95=""),"",B96-B95)</x:f>
        <x:v>0.03296297537993276</x:v>
      </x:c>
      <x:c r="D96" s="87" t="n">
        <x:f>IF('Datos_fuente'!C96="","",LN('Datos_fuente'!C96))</x:f>
        <x:v>4.6339471292594965</x:v>
      </x:c>
      <x:c r="E96" s="87" t="n">
        <x:f>IF(OR(D96="",D95=""),"",D96-D95)</x:f>
        <x:v>0.003512431807349614</x:v>
      </x:c>
      <x:c r="F96" s="87" t="n">
        <x:f>IF('Datos_fuente'!E96="","",LN('Datos_fuente'!E96))</x:f>
        <x:v>8.334764428875951</x:v>
      </x:c>
      <x:c r="G96" s="87" t="n">
        <x:f>IF(OR(F96="",F95=""),"",F96-F95)</x:f>
        <x:v>0.012851598026665911</x:v>
      </x:c>
      <x:c r="H96" s="55" t="n">
        <x:f>'Datos_fuente'!H96</x:f>
        <x:v>3.16</x:v>
      </x:c>
      <x:c r="I96" s="55" t="n">
        <x:f>IF(OR(H96="",H95=""),"",H96-H95)</x:f>
        <x:v>0.020000000000000018</x:v>
      </x:c>
      <x:c r="J96" s="55" t="n">
        <x:f>'Datos_fuente'!J96</x:f>
        <x:v>3.064526836</x:v>
      </x:c>
      <x:c r="K96" s="55" t="n">
        <x:f>IF(OR(J96="",J95=""),"",J96-J95)</x:f>
        <x:v>0.07635971600000024</x:v>
      </x:c>
      <x:c r="L96" s="87" t="n">
        <x:f>IF('Datos_fuente'!K96="","",LN('Datos_fuente'!K96))</x:f>
        <x:v>4.535644476139419</x:v>
      </x:c>
      <x:c r="M96" s="87" t="n">
        <x:f>IF(OR(L96="",L95=""),"",L96-L95)</x:f>
        <x:v>0.008122711134862293</x:v>
      </x:c>
      <x:c r="N96" s="87" t="n">
        <x:f>IF('Datos_fuente'!L96="","",LN('Datos_fuente'!L96))</x:f>
        <x:v>2.8490577442061786</x:v>
      </x:c>
      <x:c r="O96" s="87" t="n">
        <x:f>IF(OR(N96="",N95=""),"",N96-N95)</x:f>
        <x:v>0.24683955063736285</x:v>
      </x:c>
      <x:c r="P96" s="82" t="n">
        <x:f>'Datos_fuente'!N96</x:f>
        <x:v>0</x:v>
      </x:c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>
      <x:c r="A97" s="1" t="str">
        <x:f>'Datos_fuente'!A97</x:f>
        <x:v>2013-07</x:v>
      </x:c>
      <x:c r="B97" s="87" t="n">
        <x:f>IF('Datos_fuente'!B97="","",LN('Datos_fuente'!B97))</x:f>
        <x:v>7.550420720491239</x:v>
      </x:c>
      <x:c r="C97" s="87" t="n">
        <x:f>IF(OR(B97="",B96=""),"",B97-B96)</x:f>
        <x:v>-0.004358914191916696</x:v>
      </x:c>
      <x:c r="D97" s="87" t="n">
        <x:f>IF('Datos_fuente'!C97="","",LN('Datos_fuente'!C97))</x:f>
        <x:v>4.681512348621382</x:v>
      </x:c>
      <x:c r="E97" s="87" t="n">
        <x:f>IF(OR(D97="",D96=""),"",D97-D96)</x:f>
        <x:v>0.047565219361885624</x:v>
      </x:c>
      <x:c r="F97" s="87" t="n">
        <x:f>IF('Datos_fuente'!E97="","",LN('Datos_fuente'!E97))</x:f>
        <x:v>8.34997145633689</x:v>
      </x:c>
      <x:c r="G97" s="87" t="n">
        <x:f>IF(OR(F97="",F96=""),"",F97-F96)</x:f>
        <x:v>0.015207027460938605</x:v>
      </x:c>
      <x:c r="H97" s="55" t="n">
        <x:f>'Datos_fuente'!H97</x:f>
        <x:v>3.16</x:v>
      </x:c>
      <x:c r="I97" s="55" t="n">
        <x:f>IF(OR(H97="",H96=""),"",H97-H96)</x:f>
        <x:v>0</x:v>
      </x:c>
      <x:c r="J97" s="55" t="n">
        <x:f>'Datos_fuente'!J97</x:f>
        <x:v>3.398081706</x:v>
      </x:c>
      <x:c r="K97" s="55" t="n">
        <x:f>IF(OR(J97="",J96=""),"",J97-J96)</x:f>
        <x:v>0.33355486999999995</x:v>
      </x:c>
      <x:c r="L97" s="87" t="n">
        <x:f>IF('Datos_fuente'!K97="","",LN('Datos_fuente'!K97))</x:f>
        <x:v>4.541936267992317</x:v>
      </x:c>
      <x:c r="M97" s="87" t="n">
        <x:f>IF(OR(L97="",L96=""),"",L97-L96)</x:f>
        <x:v>0.0062917918528979655</x:v>
      </x:c>
      <x:c r="N97" s="87" t="n">
        <x:f>IF('Datos_fuente'!L97="","",LN('Datos_fuente'!L97))</x:f>
        <x:v>2.637237492573006</x:v>
      </x:c>
      <x:c r="O97" s="87" t="n">
        <x:f>IF(OR(N97="",N96=""),"",N97-N96)</x:f>
        <x:v>-0.21182025163317242</x:v>
      </x:c>
      <x:c r="P97" s="82" t="n">
        <x:f>'Datos_fuente'!N97</x:f>
        <x:v>0</x:v>
      </x:c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>
      <x:c r="A98" s="1" t="str">
        <x:f>'Datos_fuente'!A98</x:f>
        <x:v>2013-08</x:v>
      </x:c>
      <x:c r="B98" s="87" t="n">
        <x:f>IF('Datos_fuente'!B98="","",LN('Datos_fuente'!B98))</x:f>
        <x:v>7.550716022887756</x:v>
      </x:c>
      <x:c r="C98" s="87" t="n">
        <x:f>IF(OR(B98="",B97=""),"",B98-B97)</x:f>
        <x:v>0.0002953023965170942</x:v>
      </x:c>
      <x:c r="D98" s="87" t="n">
        <x:f>IF('Datos_fuente'!C98="","",LN('Datos_fuente'!C98))</x:f>
        <x:v>4.712053631898723</x:v>
      </x:c>
      <x:c r="E98" s="87" t="n">
        <x:f>IF(OR(D98="",D97=""),"",D98-D97)</x:f>
        <x:v>0.030541283277340625</x:v>
      </x:c>
      <x:c r="F98" s="87" t="n">
        <x:f>IF('Datos_fuente'!E98="","",LN('Datos_fuente'!E98))</x:f>
        <x:v>8.355969892814384</x:v>
      </x:c>
      <x:c r="G98" s="87" t="n">
        <x:f>IF(OR(F98="",F97=""),"",F98-F97)</x:f>
        <x:v>0.005998436477494096</x:v>
      </x:c>
      <x:c r="H98" s="55" t="n">
        <x:f>'Datos_fuente'!H98</x:f>
        <x:v>3.17</x:v>
      </x:c>
      <x:c r="I98" s="55" t="n">
        <x:f>IF(OR(H98="",H97=""),"",H98-H97)</x:f>
        <x:v>0.009999999999999787</x:v>
      </x:c>
      <x:c r="J98" s="55" t="n">
        <x:f>'Datos_fuente'!J98</x:f>
        <x:v>3.383563558</x:v>
      </x:c>
      <x:c r="K98" s="55" t="n">
        <x:f>IF(OR(J98="",J97=""),"",J98-J97)</x:f>
        <x:v>-0.014518148000000064</x:v>
      </x:c>
      <x:c r="L98" s="87" t="n">
        <x:f>IF('Datos_fuente'!K98="","",LN('Datos_fuente'!K98))</x:f>
        <x:v>4.540257049197504</x:v>
      </x:c>
      <x:c r="M98" s="87" t="n">
        <x:f>IF(OR(L98="",L97=""),"",L98-L97)</x:f>
        <x:v>-0.001679218794812698</x:v>
      </x:c>
      <x:c r="N98" s="87" t="n">
        <x:f>IF('Datos_fuente'!L98="","",LN('Datos_fuente'!L98))</x:f>
        <x:v>2.6539459421090092</x:v>
      </x:c>
      <x:c r="O98" s="87" t="n">
        <x:f>IF(OR(N98="",N97=""),"",N98-N97)</x:f>
        <x:v>0.016708449536003034</x:v>
      </x:c>
      <x:c r="P98" s="82" t="n">
        <x:f>'Datos_fuente'!N98</x:f>
        <x:v>0</x:v>
      </x:c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>
      <x:c r="A99" s="1" t="str">
        <x:f>'Datos_fuente'!A99</x:f>
        <x:v>2013-09</x:v>
      </x:c>
      <x:c r="B99" s="87" t="n">
        <x:f>IF('Datos_fuente'!B99="","",LN('Datos_fuente'!B99))</x:f>
        <x:v>7.559826439530918</x:v>
      </x:c>
      <x:c r="C99" s="87" t="n">
        <x:f>IF(OR(B99="",B98=""),"",B99-B98)</x:f>
        <x:v>0.009110416643161479</x:v>
      </x:c>
      <x:c r="D99" s="87" t="n">
        <x:f>IF('Datos_fuente'!C99="","",LN('Datos_fuente'!C99))</x:f>
        <x:v>4.714889687448244</x:v>
      </x:c>
      <x:c r="E99" s="87" t="n">
        <x:f>IF(OR(D99="",D98=""),"",D99-D98)</x:f>
        <x:v>0.00283605554952171</x:v>
      </x:c>
      <x:c r="F99" s="87" t="n">
        <x:f>IF('Datos_fuente'!E99="","",LN('Datos_fuente'!E99))</x:f>
        <x:v>8.365567654064826</x:v>
      </x:c>
      <x:c r="G99" s="87" t="n">
        <x:f>IF(OR(F99="",F98=""),"",F99-F98)</x:f>
        <x:v>0.00959776125044165</x:v>
      </x:c>
      <x:c r="H99" s="55" t="n">
        <x:f>'Datos_fuente'!H99</x:f>
        <x:v>3.17</x:v>
      </x:c>
      <x:c r="I99" s="55" t="n">
        <x:f>IF(OR(H99="",H98=""),"",H99-H98)</x:f>
        <x:v>0</x:v>
      </x:c>
      <x:c r="J99" s="55" t="n">
        <x:f>'Datos_fuente'!J99</x:f>
        <x:v>3.209636489</x:v>
      </x:c>
      <x:c r="K99" s="55" t="n">
        <x:f>IF(OR(J99="",J98=""),"",J99-J98)</x:f>
        <x:v>-0.17392706899999988</x:v>
      </x:c>
      <x:c r="L99" s="87" t="n">
        <x:f>IF('Datos_fuente'!K99="","",LN('Datos_fuente'!K99))</x:f>
        <x:v>4.5376465738964535</x:v>
      </x:c>
      <x:c r="M99" s="87" t="n">
        <x:f>IF(OR(L99="",L98=""),"",L99-L98)</x:f>
        <x:v>-0.002610475301050741</x:v>
      </x:c>
      <x:c r="N99" s="87" t="n">
        <x:f>IF('Datos_fuente'!L99="","",LN('Datos_fuente'!L99))</x:f>
        <x:v>2.687303127957421</x:v>
      </x:c>
      <x:c r="O99" s="87" t="n">
        <x:f>IF(OR(N99="",N98=""),"",N99-N98)</x:f>
        <x:v>0.03335718584841185</x:v>
      </x:c>
      <x:c r="P99" s="82" t="n">
        <x:f>'Datos_fuente'!N99</x:f>
        <x:v>0</x:v>
      </x:c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>
      <x:c r="A100" s="1" t="str">
        <x:f>'Datos_fuente'!A100</x:f>
        <x:v>2013-10</x:v>
      </x:c>
      <x:c r="B100" s="87" t="n">
        <x:f>IF('Datos_fuente'!B100="","",LN('Datos_fuente'!B100))</x:f>
        <x:v>7.541752747324046</x:v>
      </x:c>
      <x:c r="C100" s="87" t="n">
        <x:f>IF(OR(B100="",B99=""),"",B100-B99)</x:f>
        <x:v>-0.018073692206871605</x:v>
      </x:c>
      <x:c r="D100" s="87" t="n">
        <x:f>IF('Datos_fuente'!C100="","",LN('Datos_fuente'!C100))</x:f>
        <x:v>4.69204966986354</x:v>
      </x:c>
      <x:c r="E100" s="87" t="n">
        <x:f>IF(OR(D100="",D99=""),"",D100-D99)</x:f>
        <x:v>-0.022840017584704775</x:v>
      </x:c>
      <x:c r="F100" s="87" t="n">
        <x:f>IF('Datos_fuente'!E100="","",LN('Datos_fuente'!E100))</x:f>
        <x:v>8.368978525214485</x:v>
      </x:c>
      <x:c r="G100" s="87" t="n">
        <x:f>IF(OR(F100="",F99=""),"",F100-F99)</x:f>
        <x:v>0.0034108711496596555</x:v>
      </x:c>
      <x:c r="H100" s="55" t="n">
        <x:f>'Datos_fuente'!H100</x:f>
        <x:v>3.16</x:v>
      </x:c>
      <x:c r="I100" s="55" t="n">
        <x:f>IF(OR(H100="",H99=""),"",H100-H99)</x:f>
        <x:v>-0.009999999999999787</x:v>
      </x:c>
      <x:c r="J100" s="55" t="n">
        <x:f>'Datos_fuente'!J100</x:f>
        <x:v>3.29885302</x:v>
      </x:c>
      <x:c r="K100" s="55" t="n">
        <x:f>IF(OR(J100="",J99=""),"",J100-J99)</x:f>
        <x:v>0.08921653099999993</x:v>
      </x:c>
      <x:c r="L100" s="87" t="n">
        <x:f>IF('Datos_fuente'!K100="","",LN('Datos_fuente'!K100))</x:f>
        <x:v>4.527200732919515</x:v>
      </x:c>
      <x:c r="M100" s="87" t="n">
        <x:f>IF(OR(L100="",L99=""),"",L100-L99)</x:f>
        <x:v>-0.01044584097693857</x:v>
      </x:c>
      <x:c r="N100" s="87" t="n">
        <x:f>IF('Datos_fuente'!L100="","",LN('Datos_fuente'!L100))</x:f>
        <x:v>2.734875567998302</x:v>
      </x:c>
      <x:c r="O100" s="87" t="n">
        <x:f>IF(OR(N100="",N99=""),"",N100-N99)</x:f>
        <x:v>0.04757244004088079</x:v>
      </x:c>
      <x:c r="P100" s="82" t="n">
        <x:f>'Datos_fuente'!N100</x:f>
        <x:v>0</x:v>
      </x:c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  <x:row r="101">
      <x:c r="A101" s="1" t="str">
        <x:f>'Datos_fuente'!A101</x:f>
        <x:v>2013-11</x:v>
      </x:c>
      <x:c r="B101" s="87" t="n">
        <x:f>IF('Datos_fuente'!B101="","",LN('Datos_fuente'!B101))</x:f>
        <x:v>7.560993069305166</x:v>
      </x:c>
      <x:c r="C101" s="87" t="n">
        <x:f>IF(OR(B101="",B100=""),"",B101-B100)</x:f>
        <x:v>0.019240321981119912</x:v>
      </x:c>
      <x:c r="D101" s="87" t="n">
        <x:f>IF('Datos_fuente'!C101="","",LN('Datos_fuente'!C101))</x:f>
        <x:v>4.680203444218304</x:v>
      </x:c>
      <x:c r="E101" s="87" t="n">
        <x:f>IF(OR(D101="",D100=""),"",D101-D100)</x:f>
        <x:v>-0.011846225645236075</x:v>
      </x:c>
      <x:c r="F101" s="87" t="n">
        <x:f>IF('Datos_fuente'!E101="","",LN('Datos_fuente'!E101))</x:f>
        <x:v>8.37668897362283</x:v>
      </x:c>
      <x:c r="G101" s="87" t="n">
        <x:f>IF(OR(F101="",F100=""),"",F101-F100)</x:f>
        <x:v>0.007710448408344561</x:v>
      </x:c>
      <x:c r="H101" s="55" t="n">
        <x:f>'Datos_fuente'!H101</x:f>
        <x:v>3.17</x:v>
      </x:c>
      <x:c r="I101" s="55" t="n">
        <x:f>IF(OR(H101="",H100=""),"",H101-H100)</x:f>
        <x:v>0.009999999999999787</x:v>
      </x:c>
      <x:c r="J101" s="55" t="n">
        <x:f>'Datos_fuente'!J101</x:f>
        <x:v>3.267082136</x:v>
      </x:c>
      <x:c r="K101" s="55" t="n">
        <x:f>IF(OR(J101="",J100=""),"",J101-J100)</x:f>
        <x:v>-0.031770884000000166</x:v>
      </x:c>
      <x:c r="L101" s="87" t="n">
        <x:f>IF('Datos_fuente'!K101="","",LN('Datos_fuente'!K101))</x:f>
        <x:v>4.53660938278905</x:v>
      </x:c>
      <x:c r="M101" s="87" t="n">
        <x:f>IF(OR(L101="",L100=""),"",L101-L100)</x:f>
        <x:v>0.009408649869534713</x:v>
      </x:c>
      <x:c r="N101" s="87" t="n">
        <x:f>IF('Datos_fuente'!L101="","",LN('Datos_fuente'!L101))</x:f>
        <x:v>2.5590860479622517</x:v>
      </x:c>
      <x:c r="O101" s="87" t="n">
        <x:f>IF(OR(N101="",N100=""),"",N101-N100)</x:f>
        <x:v>-0.1757895200360502</x:v>
      </x:c>
      <x:c r="P101" s="82" t="n">
        <x:f>'Datos_fuente'!N101</x:f>
        <x:v>0</x:v>
      </x:c>
      <x:c r="Q101" s="1"/>
      <x:c r="R101" s="1"/>
      <x:c r="S101" s="1"/>
      <x:c r="T101" s="1"/>
      <x:c r="U101" s="1"/>
      <x:c r="V101" s="1"/>
      <x:c r="W101" s="1"/>
      <x:c r="X101" s="1"/>
      <x:c r="Y101" s="1"/>
      <x:c r="Z101" s="1"/>
    </x:row>
    <x:row r="102">
      <x:c r="A102" s="1" t="str">
        <x:f>'Datos_fuente'!A102</x:f>
        <x:v>2013-12</x:v>
      </x:c>
      <x:c r="B102" s="87" t="n">
        <x:f>IF('Datos_fuente'!B102="","",LN('Datos_fuente'!B102))</x:f>
        <x:v>7.566805783141155</x:v>
      </x:c>
      <x:c r="C102" s="87" t="n">
        <x:f>IF(OR(B102="",B101=""),"",B102-B101)</x:f>
        <x:v>0.005812713835989136</x:v>
      </x:c>
      <x:c r="D102" s="87" t="n">
        <x:f>IF('Datos_fuente'!C102="","",LN('Datos_fuente'!C102))</x:f>
        <x:v>4.707335603050337</x:v>
      </x:c>
      <x:c r="E102" s="87" t="n">
        <x:f>IF(OR(D102="",D101=""),"",D102-D101)</x:f>
        <x:v>0.02713215883203368</x:v>
      </x:c>
      <x:c r="F102" s="87" t="n">
        <x:f>IF('Datos_fuente'!E102="","",LN('Datos_fuente'!E102))</x:f>
        <x:v>8.389596155613233</x:v>
      </x:c>
      <x:c r="G102" s="87" t="n">
        <x:f>IF(OR(F102="",F101=""),"",F102-F101)</x:f>
        <x:v>0.012907181990403416</x:v>
      </x:c>
      <x:c r="H102" s="55" t="n">
        <x:f>'Datos_fuente'!H102</x:f>
        <x:v>3.16</x:v>
      </x:c>
      <x:c r="I102" s="55" t="n">
        <x:f>IF(OR(H102="",H101=""),"",H102-H101)</x:f>
        <x:v>-0.009999999999999787</x:v>
      </x:c>
      <x:c r="J102" s="55" t="n">
        <x:f>'Datos_fuente'!J102</x:f>
        <x:v>2.330987593</x:v>
      </x:c>
      <x:c r="K102" s="55" t="n">
        <x:f>IF(OR(J102="",J101=""),"",J102-J101)</x:f>
        <x:v>-0.9360945429999998</x:v>
      </x:c>
      <x:c r="L102" s="87" t="n">
        <x:f>IF('Datos_fuente'!K102="","",LN('Datos_fuente'!K102))</x:f>
        <x:v>4.538325220384564</x:v>
      </x:c>
      <x:c r="M102" s="87" t="n">
        <x:f>IF(OR(L102="",L101=""),"",L102-L101)</x:f>
        <x:v>0.0017158375955146354</x:v>
      </x:c>
      <x:c r="N102" s="87" t="n">
        <x:f>IF('Datos_fuente'!L102="","",LN('Datos_fuente'!L102))</x:f>
        <x:v>2.652705267794341</x:v>
      </x:c>
      <x:c r="O102" s="87" t="n">
        <x:f>IF(OR(N102="",N101=""),"",N102-N101)</x:f>
        <x:v>0.09361921983208932</x:v>
      </x:c>
      <x:c r="P102" s="82" t="n">
        <x:f>'Datos_fuente'!N102</x:f>
        <x:v>0</x:v>
      </x:c>
      <x:c r="Q102" s="1"/>
      <x:c r="R102" s="1"/>
      <x:c r="S102" s="1"/>
      <x:c r="T102" s="1"/>
      <x:c r="U102" s="1"/>
      <x:c r="V102" s="1"/>
      <x:c r="W102" s="1"/>
      <x:c r="X102" s="1"/>
      <x:c r="Y102" s="1"/>
      <x:c r="Z102" s="1"/>
    </x:row>
    <x:row r="103">
      <x:c r="A103" s="1" t="str">
        <x:f>'Datos_fuente'!A103</x:f>
        <x:v>2014-01</x:v>
      </x:c>
      <x:c r="B103" s="87" t="n">
        <x:f>IF('Datos_fuente'!B103="","",LN('Datos_fuente'!B103))</x:f>
        <x:v>7.579314659242331</x:v>
      </x:c>
      <x:c r="C103" s="87" t="n">
        <x:f>IF(OR(B103="",B102=""),"",B103-B102)</x:f>
        <x:v>0.012508876101176014</x:v>
      </x:c>
      <x:c r="D103" s="87" t="n">
        <x:f>IF('Datos_fuente'!C103="","",LN('Datos_fuente'!C103))</x:f>
        <x:v>4.683220701024538</x:v>
      </x:c>
      <x:c r="E103" s="87" t="n">
        <x:f>IF(OR(D103="",D102=""),"",D103-D102)</x:f>
        <x:v>-0.024114902025798912</x:v>
      </x:c>
      <x:c r="F103" s="87" t="n">
        <x:f>IF('Datos_fuente'!E103="","",LN('Datos_fuente'!E103))</x:f>
        <x:v>8.394847010430015</x:v>
      </x:c>
      <x:c r="G103" s="87" t="n">
        <x:f>IF(OR(F103="",F102=""),"",F103-F102)</x:f>
        <x:v>0.005250854816781114</x:v>
      </x:c>
      <x:c r="H103" s="55" t="n">
        <x:f>'Datos_fuente'!H103</x:f>
        <x:v>3.18</x:v>
      </x:c>
      <x:c r="I103" s="55" t="n">
        <x:f>IF(OR(H103="",H102=""),"",H103-H102)</x:f>
        <x:v>0.020000000000000018</x:v>
      </x:c>
      <x:c r="J103" s="55" t="n">
        <x:f>'Datos_fuente'!J103</x:f>
        <x:v>2.382871769</x:v>
      </x:c>
      <x:c r="K103" s="55" t="n">
        <x:f>IF(OR(J103="",J102=""),"",J103-J102)</x:f>
        <x:v>0.051884175999999727</x:v>
      </x:c>
      <x:c r="L103" s="87" t="n">
        <x:f>IF('Datos_fuente'!K103="","",LN('Datos_fuente'!K103))</x:f>
        <x:v>4.548226723844372</x:v>
      </x:c>
      <x:c r="M103" s="87" t="n">
        <x:f>IF(OR(L103="",L102=""),"",L103-L102)</x:f>
        <x:v>0.009901503459807337</x:v>
      </x:c>
      <x:c r="N103" s="87" t="n">
        <x:f>IF('Datos_fuente'!L103="","",LN('Datos_fuente'!L103))</x:f>
        <x:v>2.6561217843653986</x:v>
      </x:c>
      <x:c r="O103" s="87" t="n">
        <x:f>IF(OR(N103="",N102=""),"",N103-N102)</x:f>
        <x:v>0.0034165165710575707</x:v>
      </x:c>
      <x:c r="P103" s="82" t="n">
        <x:f>'Datos_fuente'!N103</x:f>
        <x:v>0</x:v>
      </x:c>
      <x:c r="Q103" s="1"/>
      <x:c r="R103" s="1"/>
      <x:c r="S103" s="1"/>
      <x:c r="T103" s="1"/>
      <x:c r="U103" s="1"/>
      <x:c r="V103" s="1"/>
      <x:c r="W103" s="1"/>
      <x:c r="X103" s="1"/>
      <x:c r="Y103" s="1"/>
      <x:c r="Z103" s="1"/>
    </x:row>
    <x:row r="104">
      <x:c r="A104" s="1" t="str">
        <x:f>'Datos_fuente'!A104</x:f>
        <x:v>2014-02</x:v>
      </x:c>
      <x:c r="B104" s="87" t="n">
        <x:f>IF('Datos_fuente'!B104="","",LN('Datos_fuente'!B104))</x:f>
        <x:v>7.619965843076676</x:v>
      </x:c>
      <x:c r="C104" s="87" t="n">
        <x:f>IF(OR(B104="",B103=""),"",B104-B103)</x:f>
        <x:v>0.04065118383434463</x:v>
      </x:c>
      <x:c r="D104" s="87" t="n">
        <x:f>IF('Datos_fuente'!C104="","",LN('Datos_fuente'!C104))</x:f>
        <x:v>4.690434862801433</x:v>
      </x:c>
      <x:c r="E104" s="87" t="n">
        <x:f>IF(OR(D104="",D103=""),"",D104-D103)</x:f>
        <x:v>0.007214161776894379</x:v>
      </x:c>
      <x:c r="F104" s="87" t="n">
        <x:f>IF('Datos_fuente'!E104="","",LN('Datos_fuente'!E104))</x:f>
        <x:v>8.39775854259741</x:v>
      </x:c>
      <x:c r="G104" s="87" t="n">
        <x:f>IF(OR(F104="",F103=""),"",F104-F103)</x:f>
        <x:v>0.002911532167395592</x:v>
      </x:c>
      <x:c r="H104" s="55" t="n">
        <x:f>'Datos_fuente'!H104</x:f>
        <x:v>3.18</x:v>
      </x:c>
      <x:c r="I104" s="55" t="n">
        <x:f>IF(OR(H104="",H103=""),"",H104-H103)</x:f>
        <x:v>0</x:v>
      </x:c>
      <x:c r="J104" s="55" t="n">
        <x:f>'Datos_fuente'!J104</x:f>
        <x:v>2.497874675</x:v>
      </x:c>
      <x:c r="K104" s="55" t="n">
        <x:f>IF(OR(J104="",J103=""),"",J104-J103)</x:f>
        <x:v>0.11500290599999996</x:v>
      </x:c>
      <x:c r="L104" s="87" t="n">
        <x:f>IF('Datos_fuente'!K104="","",LN('Datos_fuente'!K104))</x:f>
        <x:v>4.550139203032016</x:v>
      </x:c>
      <x:c r="M104" s="87" t="n">
        <x:f>IF(OR(L104="",L103=""),"",L104-L103)</x:f>
        <x:v>0.001912479187644145</x:v>
      </x:c>
      <x:c r="N104" s="87" t="n">
        <x:f>IF('Datos_fuente'!L104="","",LN('Datos_fuente'!L104))</x:f>
        <x:v>2.738902664584975</x:v>
      </x:c>
      <x:c r="O104" s="87" t="n">
        <x:f>IF(OR(N104="",N103=""),"",N104-N103)</x:f>
        <x:v>0.08278088021957641</x:v>
      </x:c>
      <x:c r="P104" s="82" t="n">
        <x:f>'Datos_fuente'!N104</x:f>
        <x:v>0</x:v>
      </x:c>
      <x:c r="Q104" s="1"/>
      <x:c r="R104" s="1"/>
      <x:c r="S104" s="1"/>
      <x:c r="T104" s="1"/>
      <x:c r="U104" s="1"/>
      <x:c r="V104" s="1"/>
      <x:c r="W104" s="1"/>
      <x:c r="X104" s="1"/>
      <x:c r="Y104" s="1"/>
      <x:c r="Z104" s="1"/>
    </x:row>
    <x:row r="105">
      <x:c r="A105" s="1" t="str">
        <x:f>'Datos_fuente'!A105</x:f>
        <x:v>2014-03</x:v>
      </x:c>
      <x:c r="B105" s="87" t="n">
        <x:f>IF('Datos_fuente'!B105="","",LN('Datos_fuente'!B105))</x:f>
        <x:v>7.610710812990203</x:v>
      </x:c>
      <x:c r="C105" s="87" t="n">
        <x:f>IF(OR(B105="",B104=""),"",B105-B104)</x:f>
        <x:v>-0.009255030086472438</x:v>
      </x:c>
      <x:c r="D105" s="87" t="n">
        <x:f>IF('Datos_fuente'!C105="","",LN('Datos_fuente'!C105))</x:f>
        <x:v>4.677313644891506</x:v>
      </x:c>
      <x:c r="E105" s="87" t="n">
        <x:f>IF(OR(D105="",D104=""),"",D105-D104)</x:f>
        <x:v>-0.013121217909926486</x:v>
      </x:c>
      <x:c r="F105" s="87" t="n">
        <x:f>IF('Datos_fuente'!E105="","",LN('Datos_fuente'!E105))</x:f>
        <x:v>8.398778956595567</x:v>
      </x:c>
      <x:c r="G105" s="87" t="n">
        <x:f>IF(OR(F105="",F104=""),"",F105-F104)</x:f>
        <x:v>0.0010204139981571103</x:v>
      </x:c>
      <x:c r="H105" s="55" t="n">
        <x:f>'Datos_fuente'!H105</x:f>
        <x:v>3.17</x:v>
      </x:c>
      <x:c r="I105" s="55" t="n">
        <x:f>IF(OR(H105="",H104=""),"",H105-H104)</x:f>
        <x:v>-0.010000000000000231</x:v>
      </x:c>
      <x:c r="J105" s="55" t="n">
        <x:f>'Datos_fuente'!J105</x:f>
        <x:v>2.523444032</x:v>
      </x:c>
      <x:c r="K105" s="55" t="n">
        <x:f>IF(OR(J105="",J104=""),"",J105-J104)</x:f>
        <x:v>0.02556935700000018</x:v>
      </x:c>
      <x:c r="L105" s="87" t="n">
        <x:f>IF('Datos_fuente'!K105="","",LN('Datos_fuente'!K105))</x:f>
        <x:v>4.547973406059232</x:v>
      </x:c>
      <x:c r="M105" s="87" t="n">
        <x:f>IF(OR(L105="",L104=""),"",L105-L104)</x:f>
        <x:v>-0.002165796972783518</x:v>
      </x:c>
      <x:c r="N105" s="87" t="n">
        <x:f>IF('Datos_fuente'!L105="","",LN('Datos_fuente'!L105))</x:f>
        <x:v>2.6971015945843217</x:v>
      </x:c>
      <x:c r="O105" s="87" t="n">
        <x:f>IF(OR(N105="",N104=""),"",N105-N104)</x:f>
        <x:v>-0.04180107000065325</x:v>
      </x:c>
      <x:c r="P105" s="82" t="n">
        <x:f>'Datos_fuente'!N105</x:f>
        <x:v>0</x:v>
      </x:c>
      <x:c r="Q105" s="1"/>
      <x:c r="R105" s="1"/>
      <x:c r="S105" s="1"/>
      <x:c r="T105" s="1"/>
      <x:c r="U105" s="1"/>
      <x:c r="V105" s="1"/>
      <x:c r="W105" s="1"/>
      <x:c r="X105" s="1"/>
      <x:c r="Y105" s="1"/>
      <x:c r="Z105" s="1"/>
    </x:row>
    <x:row r="106">
      <x:c r="A106" s="1" t="str">
        <x:f>'Datos_fuente'!A106</x:f>
        <x:v>2014-04</x:v>
      </x:c>
      <x:c r="B106" s="87" t="n">
        <x:f>IF('Datos_fuente'!B106="","",LN('Datos_fuente'!B106))</x:f>
        <x:v>7.569597705508365</x:v>
      </x:c>
      <x:c r="C106" s="87" t="n">
        <x:f>IF(OR(B106="",B105=""),"",B106-B105)</x:f>
        <x:v>-0.04111310748183783</x:v>
      </x:c>
      <x:c r="D106" s="87" t="n">
        <x:f>IF('Datos_fuente'!C106="","",LN('Datos_fuente'!C106))</x:f>
        <x:v>4.679862341259338</x:v>
      </x:c>
      <x:c r="E106" s="87" t="n">
        <x:f>IF(OR(D106="",D105=""),"",D106-D105)</x:f>
        <x:v>0.0025486963678318375</x:v>
      </x:c>
      <x:c r="F106" s="87" t="n">
        <x:f>IF('Datos_fuente'!E106="","",LN('Datos_fuente'!E106))</x:f>
        <x:v>8.382870628756368</x:v>
      </x:c>
      <x:c r="G106" s="87" t="n">
        <x:f>IF(OR(F106="",F105=""),"",F106-F105)</x:f>
        <x:v>-0.015908327839198932</x:v>
      </x:c>
      <x:c r="H106" s="55" t="n">
        <x:f>'Datos_fuente'!H106</x:f>
        <x:v>3.185</x:v>
      </x:c>
      <x:c r="I106" s="55" t="n">
        <x:f>IF(OR(H106="",H105=""),"",H106-H105)</x:f>
        <x:v>0.015000000000000124</x:v>
      </x:c>
      <x:c r="J106" s="55" t="n">
        <x:f>'Datos_fuente'!J106</x:f>
        <x:v>2.707866792</x:v>
      </x:c>
      <x:c r="K106" s="55" t="n">
        <x:f>IF(OR(J106="",J105=""),"",J106-J105)</x:f>
        <x:v>0.1844227599999999</x:v>
      </x:c>
      <x:c r="L106" s="87" t="n">
        <x:f>IF('Datos_fuente'!K106="","",LN('Datos_fuente'!K106))</x:f>
        <x:v>4.543247440723879</x:v>
      </x:c>
      <x:c r="M106" s="87" t="n">
        <x:f>IF(OR(L106="",L105=""),"",L106-L105)</x:f>
        <x:v>-0.004725965335353521</x:v>
      </x:c>
      <x:c r="N106" s="87" t="n">
        <x:f>IF('Datos_fuente'!L106="","",LN('Datos_fuente'!L106))</x:f>
        <x:v>2.653107817581736</x:v>
      </x:c>
      <x:c r="O106" s="87" t="n">
        <x:f>IF(OR(N106="",N105=""),"",N106-N105)</x:f>
        <x:v>-0.04399377700258578</x:v>
      </x:c>
      <x:c r="P106" s="82" t="n">
        <x:f>'Datos_fuente'!N106</x:f>
        <x:v>0</x:v>
      </x:c>
      <x:c r="Q106" s="1"/>
      <x:c r="R106" s="1"/>
      <x:c r="S106" s="1"/>
      <x:c r="T106" s="1"/>
      <x:c r="U106" s="1"/>
      <x:c r="V106" s="1"/>
      <x:c r="W106" s="1"/>
      <x:c r="X106" s="1"/>
      <x:c r="Y106" s="1"/>
      <x:c r="Z106" s="1"/>
    </x:row>
    <x:row r="107">
      <x:c r="A107" s="1" t="str">
        <x:f>'Datos_fuente'!A107</x:f>
        <x:v>2014-05</x:v>
      </x:c>
      <x:c r="B107" s="87" t="n">
        <x:f>IF('Datos_fuente'!B107="","",LN('Datos_fuente'!B107))</x:f>
        <x:v>7.557661378890953</x:v>
      </x:c>
      <x:c r="C107" s="87" t="n">
        <x:f>IF(OR(B107="",B106=""),"",B107-B106)</x:f>
        <x:v>-0.011936326617412618</x:v>
      </x:c>
      <x:c r="D107" s="87" t="n">
        <x:f>IF('Datos_fuente'!C107="","",LN('Datos_fuente'!C107))</x:f>
        <x:v>4.696281480069722</x:v>
      </x:c>
      <x:c r="E107" s="87" t="n">
        <x:f>IF(OR(D107="",D106=""),"",D107-D106)</x:f>
        <x:v>0.016419138810383593</x:v>
      </x:c>
      <x:c r="F107" s="87" t="n">
        <x:f>IF('Datos_fuente'!E107="","",LN('Datos_fuente'!E107))</x:f>
        <x:v>8.368433288539265</x:v>
      </x:c>
      <x:c r="G107" s="87" t="n">
        <x:f>IF(OR(F107="",F106=""),"",F107-F106)</x:f>
        <x:v>-0.014437340217103412</x:v>
      </x:c>
      <x:c r="H107" s="55" t="n">
        <x:f>'Datos_fuente'!H107</x:f>
        <x:v>3.41</x:v>
      </x:c>
      <x:c r="I107" s="55" t="n">
        <x:f>IF(OR(H107="",H106=""),"",H107-H106)</x:f>
        <x:v>0.2250000000000001</x:v>
      </x:c>
      <x:c r="J107" s="55" t="n">
        <x:f>'Datos_fuente'!J107</x:f>
        <x:v>2.882476329</x:v>
      </x:c>
      <x:c r="K107" s="55" t="n">
        <x:f>IF(OR(J107="",J106=""),"",J107-J106)</x:f>
        <x:v>0.17460953700000026</x:v>
      </x:c>
      <x:c r="L107" s="87" t="n">
        <x:f>IF('Datos_fuente'!K107="","",LN('Datos_fuente'!K107))</x:f>
        <x:v>4.539778272227932</x:v>
      </x:c>
      <x:c r="M107" s="87" t="n">
        <x:f>IF(OR(L107="",L106=""),"",L107-L106)</x:f>
        <x:v>-0.003469168495946917</x:v>
      </x:c>
      <x:c r="N107" s="87" t="n">
        <x:f>IF('Datos_fuente'!L107="","",LN('Datos_fuente'!L107))</x:f>
        <x:v>2.5237457276277886</x:v>
      </x:c>
      <x:c r="O107" s="87" t="n">
        <x:f>IF(OR(N107="",N106=""),"",N107-N106)</x:f>
        <x:v>-0.12936208995394738</x:v>
      </x:c>
      <x:c r="P107" s="82" t="n">
        <x:f>'Datos_fuente'!N107</x:f>
        <x:v>0</x:v>
      </x:c>
      <x:c r="Q107" s="1"/>
      <x:c r="R107" s="1"/>
      <x:c r="S107" s="1"/>
      <x:c r="T107" s="1"/>
      <x:c r="U107" s="1"/>
      <x:c r="V107" s="1"/>
      <x:c r="W107" s="1"/>
      <x:c r="X107" s="1"/>
      <x:c r="Y107" s="1"/>
      <x:c r="Z107" s="1"/>
    </x:row>
    <x:row r="108">
      <x:c r="A108" s="1" t="str">
        <x:f>'Datos_fuente'!A108</x:f>
        <x:v>2014-06</x:v>
      </x:c>
      <x:c r="B108" s="87" t="n">
        <x:f>IF('Datos_fuente'!B108="","",LN('Datos_fuente'!B108))</x:f>
        <x:v>7.542764389348451</x:v>
      </x:c>
      <x:c r="C108" s="87" t="n">
        <x:f>IF(OR(B108="",B107=""),"",B108-B107)</x:f>
        <x:v>-0.014896989542501515</x:v>
      </x:c>
      <x:c r="D108" s="87" t="n">
        <x:f>IF('Datos_fuente'!C108="","",LN('Datos_fuente'!C108))</x:f>
        <x:v>4.7166689667906345</x:v>
      </x:c>
      <x:c r="E108" s="87" t="n">
        <x:f>IF(OR(D108="",D107=""),"",D108-D107)</x:f>
        <x:v>0.02038748672091284</x:v>
      </x:c>
      <x:c r="F108" s="87" t="n">
        <x:f>IF('Datos_fuente'!E108="","",LN('Datos_fuente'!E108))</x:f>
        <x:v>8.350996920543778</x:v>
      </x:c>
      <x:c r="G108" s="87" t="n">
        <x:f>IF(OR(F108="",F107=""),"",F108-F107)</x:f>
        <x:v>-0.017436367995486535</x:v>
      </x:c>
      <x:c r="H108" s="55" t="n">
        <x:f>'Datos_fuente'!H108</x:f>
        <x:v>3.691666667</x:v>
      </x:c>
      <x:c r="I108" s="55" t="n">
        <x:f>IF(OR(H108="",H107=""),"",H108-H107)</x:f>
        <x:v>0.28166666699999965</x:v>
      </x:c>
      <x:c r="J108" s="55" t="n">
        <x:f>'Datos_fuente'!J108</x:f>
        <x:v>3.305413646</x:v>
      </x:c>
      <x:c r="K108" s="55" t="n">
        <x:f>IF(OR(J108="",J107=""),"",J108-J107)</x:f>
        <x:v>0.4229373169999997</x:v>
      </x:c>
      <x:c r="L108" s="87" t="n">
        <x:f>IF('Datos_fuente'!K108="","",LN('Datos_fuente'!K108))</x:f>
        <x:v>4.541456974961752</x:v>
      </x:c>
      <x:c r="M108" s="87" t="n">
        <x:f>IF(OR(L108="",L107=""),"",L108-L107)</x:f>
        <x:v>0.0016787027338205363</x:v>
      </x:c>
      <x:c r="N108" s="87" t="n">
        <x:f>IF('Datos_fuente'!L108="","",LN('Datos_fuente'!L108))</x:f>
        <x:v>2.4459430463125265</x:v>
      </x:c>
      <x:c r="O108" s="87" t="n">
        <x:f>IF(OR(N108="",N107=""),"",N108-N107)</x:f>
        <x:v>-0.07780268131526213</x:v>
      </x:c>
      <x:c r="P108" s="82" t="n">
        <x:f>'Datos_fuente'!N108</x:f>
        <x:v>0</x:v>
      </x:c>
      <x:c r="Q108" s="1"/>
      <x:c r="R108" s="1"/>
      <x:c r="S108" s="1"/>
      <x:c r="T108" s="1"/>
      <x:c r="U108" s="1"/>
      <x:c r="V108" s="1"/>
      <x:c r="W108" s="1"/>
      <x:c r="X108" s="1"/>
      <x:c r="Y108" s="1"/>
      <x:c r="Z108" s="1"/>
    </x:row>
    <x:row r="109">
      <x:c r="A109" s="1" t="str">
        <x:f>'Datos_fuente'!A109</x:f>
        <x:v>2014-07</x:v>
      </x:c>
      <x:c r="B109" s="87" t="n">
        <x:f>IF('Datos_fuente'!B109="","",LN('Datos_fuente'!B109))</x:f>
        <x:v>7.527064401573634</x:v>
      </x:c>
      <x:c r="C109" s="87" t="n">
        <x:f>IF(OR(B109="",B108=""),"",B109-B108)</x:f>
        <x:v>-0.01569998777481718</x:v>
      </x:c>
      <x:c r="D109" s="87" t="n">
        <x:f>IF('Datos_fuente'!C109="","",LN('Datos_fuente'!C109))</x:f>
        <x:v>4.670659958917182</x:v>
      </x:c>
      <x:c r="E109" s="87" t="n">
        <x:f>IF(OR(D109="",D108=""),"",D109-D108)</x:f>
        <x:v>-0.046009007873452745</x:v>
      </x:c>
      <x:c r="F109" s="87" t="n">
        <x:f>IF('Datos_fuente'!E109="","",LN('Datos_fuente'!E109))</x:f>
        <x:v>8.339591677672232</x:v>
      </x:c>
      <x:c r="G109" s="87" t="n">
        <x:f>IF(OR(F109="",F108=""),"",F109-F108)</x:f>
        <x:v>-0.011405242871546761</x:v>
      </x:c>
      <x:c r="H109" s="55" t="n">
        <x:f>'Datos_fuente'!H109</x:f>
        <x:v>3.91</x:v>
      </x:c>
      <x:c r="I109" s="55" t="n">
        <x:f>IF(OR(H109="",H108=""),"",H109-H108)</x:f>
        <x:v>0.21833333300000035</x:v>
      </x:c>
      <x:c r="J109" s="55" t="n">
        <x:f>'Datos_fuente'!J109</x:f>
        <x:v>3.251003553</x:v>
      </x:c>
      <x:c r="K109" s="55" t="n">
        <x:f>IF(OR(J109="",J108=""),"",J109-J108)</x:f>
        <x:v>-0.05441009299999999</x:v>
      </x:c>
      <x:c r="L109" s="87" t="n">
        <x:f>IF('Datos_fuente'!K109="","",LN('Datos_fuente'!K109))</x:f>
        <x:v>4.539071612227647</x:v>
      </x:c>
      <x:c r="M109" s="87" t="n">
        <x:f>IF(OR(L109="",L108=""),"",L109-L108)</x:f>
        <x:v>-0.0023853627341052785</x:v>
      </x:c>
      <x:c r="N109" s="87" t="n">
        <x:f>IF('Datos_fuente'!L109="","",LN('Datos_fuente'!L109))</x:f>
        <x:v>2.50930357964415</x:v>
      </x:c>
      <x:c r="O109" s="87" t="n">
        <x:f>IF(OR(N109="",N108=""),"",N109-N108)</x:f>
        <x:v>0.06336053333162361</x:v>
      </x:c>
      <x:c r="P109" s="82" t="n">
        <x:f>'Datos_fuente'!N109</x:f>
        <x:v>0</x:v>
      </x:c>
      <x:c r="Q109" s="1"/>
      <x:c r="R109" s="1"/>
      <x:c r="S109" s="1"/>
      <x:c r="T109" s="1"/>
      <x:c r="U109" s="1"/>
      <x:c r="V109" s="1"/>
      <x:c r="W109" s="1"/>
      <x:c r="X109" s="1"/>
      <x:c r="Y109" s="1"/>
      <x:c r="Z109" s="1"/>
    </x:row>
    <x:row r="110">
      <x:c r="A110" s="1" t="str">
        <x:f>'Datos_fuente'!A110</x:f>
        <x:v>2014-08</x:v>
      </x:c>
      <x:c r="B110" s="87" t="n">
        <x:f>IF('Datos_fuente'!B110="","",LN('Datos_fuente'!B110))</x:f>
        <x:v>7.5486219206205565</x:v>
      </x:c>
      <x:c r="C110" s="87" t="n">
        <x:f>IF(OR(B110="",B109=""),"",B110-B109)</x:f>
        <x:v>0.02155751904692238</x:v>
      </x:c>
      <x:c r="D110" s="87" t="n">
        <x:f>IF('Datos_fuente'!C110="","",LN('Datos_fuente'!C110))</x:f>
        <x:v>4.621123209135679</x:v>
      </x:c>
      <x:c r="E110" s="87" t="n">
        <x:f>IF(OR(D110="",D109=""),"",D110-D109)</x:f>
        <x:v>-0.049536749781502465</x:v>
      </x:c>
      <x:c r="F110" s="87" t="n">
        <x:f>IF('Datos_fuente'!E110="","",LN('Datos_fuente'!E110))</x:f>
        <x:v>8.325889818607168</x:v>
      </x:c>
      <x:c r="G110" s="87" t="n">
        <x:f>IF(OR(F110="",F109=""),"",F110-F109)</x:f>
        <x:v>-0.013701859065063715</x:v>
      </x:c>
      <x:c r="H110" s="55" t="n">
        <x:f>'Datos_fuente'!H110</x:f>
        <x:v>4.16</x:v>
      </x:c>
      <x:c r="I110" s="55" t="n">
        <x:f>IF(OR(H110="",H109=""),"",H110-H109)</x:f>
        <x:v>0.25</x:v>
      </x:c>
      <x:c r="J110" s="55" t="n">
        <x:f>'Datos_fuente'!J110</x:f>
        <x:v>3.559866605</x:v>
      </x:c>
      <x:c r="K110" s="55" t="n">
        <x:f>IF(OR(J110="",J109=""),"",J110-J109)</x:f>
        <x:v>0.30886305199999997</x:v>
      </x:c>
      <x:c r="L110" s="87" t="n">
        <x:f>IF('Datos_fuente'!K110="","",LN('Datos_fuente'!K110))</x:f>
        <x:v>4.549454596282505</x:v>
      </x:c>
      <x:c r="M110" s="87" t="n">
        <x:f>IF(OR(L110="",L109=""),"",L110-L109)</x:f>
        <x:v>0.010382984054857936</x:v>
      </x:c>
      <x:c r="N110" s="87" t="n">
        <x:f>IF('Datos_fuente'!L110="","",LN('Datos_fuente'!L110))</x:f>
        <x:v>2.6020898581765644</x:v>
      </x:c>
      <x:c r="O110" s="87" t="n">
        <x:f>IF(OR(N110="",N109=""),"",N110-N109)</x:f>
        <x:v>0.09278627853241428</x:v>
      </x:c>
      <x:c r="P110" s="82" t="n">
        <x:f>'Datos_fuente'!N110</x:f>
        <x:v>0</x:v>
      </x:c>
      <x:c r="Q110" s="1"/>
      <x:c r="R110" s="1"/>
      <x:c r="S110" s="1"/>
      <x:c r="T110" s="1"/>
      <x:c r="U110" s="1"/>
      <x:c r="V110" s="1"/>
      <x:c r="W110" s="1"/>
      <x:c r="X110" s="1"/>
      <x:c r="Y110" s="1"/>
      <x:c r="Z110" s="1"/>
    </x:row>
    <x:row r="111">
      <x:c r="A111" s="1" t="str">
        <x:f>'Datos_fuente'!A111</x:f>
        <x:v>2014-09</x:v>
      </x:c>
      <x:c r="B111" s="87" t="n">
        <x:f>IF('Datos_fuente'!B111="","",LN('Datos_fuente'!B111))</x:f>
        <x:v>7.587673677270184</x:v>
      </x:c>
      <x:c r="C111" s="87" t="n">
        <x:f>IF(OR(B111="",B110=""),"",B111-B110)</x:f>
        <x:v>0.03905175664962712</x:v>
      </x:c>
      <x:c r="D111" s="87" t="n">
        <x:f>IF('Datos_fuente'!C111="","",LN('Datos_fuente'!C111))</x:f>
        <x:v>4.575653097147531</x:v>
      </x:c>
      <x:c r="E111" s="87" t="n">
        <x:f>IF(OR(D111="",D110=""),"",D111-D110)</x:f>
        <x:v>-0.04547011198814843</x:v>
      </x:c>
      <x:c r="F111" s="87" t="n">
        <x:f>IF('Datos_fuente'!E111="","",LN('Datos_fuente'!E111))</x:f>
        <x:v>8.323256438649969</x:v>
      </x:c>
      <x:c r="G111" s="87" t="n">
        <x:f>IF(OR(F111="",F110=""),"",F111-F110)</x:f>
        <x:v>-0.0026333799571993666</x:v>
      </x:c>
      <x:c r="H111" s="55" t="n">
        <x:f>'Datos_fuente'!H111</x:f>
        <x:v>4.41</x:v>
      </x:c>
      <x:c r="I111" s="55" t="n">
        <x:f>IF(OR(H111="",H110=""),"",H111-H110)</x:f>
        <x:v>0.25</x:v>
      </x:c>
      <x:c r="J111" s="55" t="n">
        <x:f>'Datos_fuente'!J111</x:f>
        <x:v>3.370339697</x:v>
      </x:c>
      <x:c r="K111" s="55" t="n">
        <x:f>IF(OR(J111="",J110=""),"",J111-J110)</x:f>
        <x:v>-0.18952690799999994</x:v>
      </x:c>
      <x:c r="L111" s="87" t="n">
        <x:f>IF('Datos_fuente'!K111="","",LN('Datos_fuente'!K111))</x:f>
        <x:v>4.565606427369442</x:v>
      </x:c>
      <x:c r="M111" s="87" t="n">
        <x:f>IF(OR(L111="",L110=""),"",L111-L110)</x:f>
        <x:v>0.016151831086936852</x:v>
      </x:c>
      <x:c r="N111" s="87" t="n">
        <x:f>IF('Datos_fuente'!L111="","",LN('Datos_fuente'!L111))</x:f>
        <x:v>2.6002174965465197</x:v>
      </x:c>
      <x:c r="O111" s="87" t="n">
        <x:f>IF(OR(N111="",N110=""),"",N111-N110)</x:f>
        <x:v>-0.0018723616300446722</x:v>
      </x:c>
      <x:c r="P111" s="82" t="n">
        <x:f>'Datos_fuente'!N111</x:f>
        <x:v>0</x:v>
      </x:c>
      <x:c r="Q111" s="1"/>
      <x:c r="R111" s="1"/>
      <x:c r="S111" s="1"/>
      <x:c r="T111" s="1"/>
      <x:c r="U111" s="1"/>
      <x:c r="V111" s="1"/>
      <x:c r="W111" s="1"/>
      <x:c r="X111" s="1"/>
      <x:c r="Y111" s="1"/>
      <x:c r="Z111" s="1"/>
    </x:row>
    <x:row r="112">
      <x:c r="A112" s="1" t="str">
        <x:f>'Datos_fuente'!A112</x:f>
        <x:v>2014-10</x:v>
      </x:c>
      <x:c r="B112" s="87" t="n">
        <x:f>IF('Datos_fuente'!B112="","",LN('Datos_fuente'!B112))</x:f>
        <x:v>7.624896007843942</x:v>
      </x:c>
      <x:c r="C112" s="87" t="n">
        <x:f>IF(OR(B112="",B111=""),"",B112-B111)</x:f>
        <x:v>0.037222330573758455</x:v>
      </x:c>
      <x:c r="D112" s="87" t="n">
        <x:f>IF('Datos_fuente'!C112="","",LN('Datos_fuente'!C112))</x:f>
        <x:v>4.470783769534853</x:v>
      </x:c>
      <x:c r="E112" s="87" t="n">
        <x:f>IF(OR(D112="",D111=""),"",D112-D111)</x:f>
        <x:v>-0.1048693276126782</x:v>
      </x:c>
      <x:c r="F112" s="87" t="n">
        <x:f>IF('Datos_fuente'!E112="","",LN('Datos_fuente'!E112))</x:f>
        <x:v>8.318622733355125</x:v>
      </x:c>
      <x:c r="G112" s="87" t="n">
        <x:f>IF(OR(F112="",F111=""),"",F112-F111)</x:f>
        <x:v>-0.004633705294843082</x:v>
      </x:c>
      <x:c r="H112" s="55" t="n">
        <x:f>'Datos_fuente'!H112</x:f>
        <x:v>4.41</x:v>
      </x:c>
      <x:c r="I112" s="55" t="n">
        <x:f>IF(OR(H112="",H111=""),"",H112-H111)</x:f>
        <x:v>0</x:v>
      </x:c>
      <x:c r="J112" s="55" t="n">
        <x:f>'Datos_fuente'!J112</x:f>
        <x:v>3.013679212</x:v>
      </x:c>
      <x:c r="K112" s="55" t="n">
        <x:f>IF(OR(J112="",J111=""),"",J112-J111)</x:f>
        <x:v>-0.3566604849999999</x:v>
      </x:c>
      <x:c r="L112" s="87" t="n">
        <x:f>IF('Datos_fuente'!K112="","",LN('Datos_fuente'!K112))</x:f>
        <x:v>4.579232745558442</x:v>
      </x:c>
      <x:c r="M112" s="87" t="n">
        <x:f>IF(OR(L112="",L111=""),"",L112-L111)</x:f>
        <x:v>0.013626318188999953</x:v>
      </x:c>
      <x:c r="N112" s="87" t="n">
        <x:f>IF('Datos_fuente'!L112="","",LN('Datos_fuente'!L112))</x:f>
        <x:v>2.8936273222355506</x:v>
      </x:c>
      <x:c r="O112" s="87" t="n">
        <x:f>IF(OR(N112="",N111=""),"",N112-N111)</x:f>
        <x:v>0.29340982568903096</x:v>
      </x:c>
      <x:c r="P112" s="82" t="n">
        <x:f>'Datos_fuente'!N112</x:f>
        <x:v>0</x:v>
      </x:c>
      <x:c r="Q112" s="1"/>
      <x:c r="R112" s="1"/>
      <x:c r="S112" s="1"/>
      <x:c r="T112" s="1"/>
      <x:c r="U112" s="1"/>
      <x:c r="V112" s="1"/>
      <x:c r="W112" s="1"/>
      <x:c r="X112" s="1"/>
      <x:c r="Y112" s="1"/>
      <x:c r="Z112" s="1"/>
    </x:row>
    <x:row r="113">
      <x:c r="A113" s="1" t="str">
        <x:f>'Datos_fuente'!A113</x:f>
        <x:v>2014-11</x:v>
      </x:c>
      <x:c r="B113" s="87" t="n">
        <x:f>IF('Datos_fuente'!B113="","",LN('Datos_fuente'!B113))</x:f>
        <x:v>7.663259070951175</x:v>
      </x:c>
      <x:c r="C113" s="87" t="n">
        <x:f>IF(OR(B113="",B112=""),"",B113-B112)</x:f>
        <x:v>0.0383630631072327</x:v>
      </x:c>
      <x:c r="D113" s="87" t="n">
        <x:f>IF('Datos_fuente'!C113="","",LN('Datos_fuente'!C113))</x:f>
        <x:v>4.374975518126941</x:v>
      </x:c>
      <x:c r="E113" s="87" t="n">
        <x:f>IF(OR(D113="",D112=""),"",D113-D112)</x:f>
        <x:v>-0.09580825140791127</x:v>
      </x:c>
      <x:c r="F113" s="87" t="n">
        <x:f>IF('Datos_fuente'!E113="","",LN('Datos_fuente'!E113))</x:f>
        <x:v>8.30970150804025</x:v>
      </x:c>
      <x:c r="G113" s="87" t="n">
        <x:f>IF(OR(F113="",F112=""),"",F113-F112)</x:f>
        <x:v>-0.008921225314875159</x:v>
      </x:c>
      <x:c r="H113" s="55" t="n">
        <x:f>'Datos_fuente'!H113</x:f>
        <x:v>4.41</x:v>
      </x:c>
      <x:c r="I113" s="55" t="n">
        <x:f>IF(OR(H113="",H112=""),"",H113-H112)</x:f>
        <x:v>0</x:v>
      </x:c>
      <x:c r="J113" s="55" t="n">
        <x:f>'Datos_fuente'!J113</x:f>
        <x:v>2.848812219</x:v>
      </x:c>
      <x:c r="K113" s="55" t="n">
        <x:f>IF(OR(J113="",J112=""),"",J113-J112)</x:f>
        <x:v>-0.16486699299999996</x:v>
      </x:c>
      <x:c r="L113" s="87" t="n">
        <x:f>IF('Datos_fuente'!K113="","",LN('Datos_fuente'!K113))</x:f>
        <x:v>4.596277653258168</x:v>
      </x:c>
      <x:c r="M113" s="87" t="n">
        <x:f>IF(OR(L113="",L112=""),"",L113-L112)</x:f>
        <x:v>0.01704490769972633</x:v>
      </x:c>
      <x:c r="N113" s="87" t="n">
        <x:f>IF('Datos_fuente'!L113="","",LN('Datos_fuente'!L113))</x:f>
        <x:v>2.5962361572664614</x:v>
      </x:c>
      <x:c r="O113" s="87" t="n">
        <x:f>IF(OR(N113="",N112=""),"",N113-N112)</x:f>
        <x:v>-0.29739116496908924</x:v>
      </x:c>
      <x:c r="P113" s="82" t="n">
        <x:f>'Datos_fuente'!N113</x:f>
        <x:v>0</x:v>
      </x:c>
      <x:c r="Q113" s="1"/>
      <x:c r="R113" s="1"/>
      <x:c r="S113" s="1"/>
      <x:c r="T113" s="1"/>
      <x:c r="U113" s="1"/>
      <x:c r="V113" s="1"/>
      <x:c r="W113" s="1"/>
      <x:c r="X113" s="1"/>
      <x:c r="Y113" s="1"/>
      <x:c r="Z113" s="1"/>
    </x:row>
    <x:row r="114">
      <x:c r="A114" s="1" t="str">
        <x:f>'Datos_fuente'!A114</x:f>
        <x:v>2014-12</x:v>
      </x:c>
      <x:c r="B114" s="87" t="n">
        <x:f>IF('Datos_fuente'!B114="","",LN('Datos_fuente'!B114))</x:f>
        <x:v>7.758868799612944</x:v>
      </x:c>
      <x:c r="C114" s="87" t="n">
        <x:f>IF(OR(B114="",B113=""),"",B114-B113)</x:f>
        <x:v>0.09560972866176964</x:v>
      </x:c>
      <x:c r="D114" s="87" t="n">
        <x:f>IF('Datos_fuente'!C114="","",LN('Datos_fuente'!C114))</x:f>
        <x:v>4.1325230657969385</x:v>
      </x:c>
      <x:c r="E114" s="87" t="n">
        <x:f>IF(OR(D114="",D113=""),"",D114-D113)</x:f>
        <x:v>-0.2424524523300029</x:v>
      </x:c>
      <x:c r="F114" s="87" t="n">
        <x:f>IF('Datos_fuente'!E114="","",LN('Datos_fuente'!E114))</x:f>
        <x:v>8.317084782285939</x:v>
      </x:c>
      <x:c r="G114" s="87" t="n">
        <x:f>IF(OR(F114="",F113=""),"",F114-F113)</x:f>
        <x:v>0.007383274245688298</x:v>
      </x:c>
      <x:c r="H114" s="55" t="n">
        <x:f>'Datos_fuente'!H114</x:f>
        <x:v>4.38</x:v>
      </x:c>
      <x:c r="I114" s="55" t="n">
        <x:f>IF(OR(H114="",H113=""),"",H114-H113)</x:f>
        <x:v>-0.03000000000000025</x:v>
      </x:c>
      <x:c r="J114" s="55" t="n">
        <x:f>'Datos_fuente'!J114</x:f>
        <x:v>2.406132394</x:v>
      </x:c>
      <x:c r="K114" s="55" t="n">
        <x:f>IF(OR(J114="",J113=""),"",J114-J113)</x:f>
        <x:v>-0.4426798249999999</x:v>
      </x:c>
      <x:c r="L114" s="87" t="n">
        <x:f>IF('Datos_fuente'!K114="","",LN('Datos_fuente'!K114))</x:f>
        <x:v>4.619508236112753</x:v>
      </x:c>
      <x:c r="M114" s="87" t="n">
        <x:f>IF(OR(L114="",L113=""),"",L114-L113)</x:f>
        <x:v>0.023230582854584902</x:v>
      </x:c>
      <x:c r="N114" s="87" t="n">
        <x:f>IF('Datos_fuente'!L114="","",LN('Datos_fuente'!L114))</x:f>
        <x:v>2.790690929763901</x:v>
      </x:c>
      <x:c r="O114" s="87" t="n">
        <x:f>IF(OR(N114="",N113=""),"",N114-N113)</x:f>
        <x:v>0.1944547724974397</x:v>
      </x:c>
      <x:c r="P114" s="82" t="n">
        <x:f>'Datos_fuente'!N114</x:f>
        <x:v>0</x:v>
      </x:c>
      <x:c r="Q114" s="1"/>
      <x:c r="R114" s="1"/>
      <x:c r="S114" s="1"/>
      <x:c r="T114" s="1"/>
      <x:c r="U114" s="1"/>
      <x:c r="V114" s="1"/>
      <x:c r="W114" s="1"/>
      <x:c r="X114" s="1"/>
      <x:c r="Y114" s="1"/>
      <x:c r="Z114" s="1"/>
    </x:row>
    <x:row r="115">
      <x:c r="A115" s="1" t="str">
        <x:f>'Datos_fuente'!A115</x:f>
        <x:v>2015-01</x:v>
      </x:c>
      <x:c r="B115" s="87" t="n">
        <x:f>IF('Datos_fuente'!B115="","",LN('Datos_fuente'!B115))</x:f>
        <x:v>7.782080890299692</x:v>
      </x:c>
      <x:c r="C115" s="87" t="n">
        <x:f>IF(OR(B115="",B114=""),"",B115-B114)</x:f>
        <x:v>0.0232120906867479</x:v>
      </x:c>
      <x:c r="D115" s="87" t="n">
        <x:f>IF('Datos_fuente'!C115="","",LN('Datos_fuente'!C115))</x:f>
        <x:v>3.866178000017821</x:v>
      </x:c>
      <x:c r="E115" s="87" t="n">
        <x:f>IF(OR(D115="",D114=""),"",D115-D114)</x:f>
        <x:v>-0.26634506577911754</x:v>
      </x:c>
      <x:c r="F115" s="87" t="n">
        <x:f>IF('Datos_fuente'!E115="","",LN('Datos_fuente'!E115))</x:f>
        <x:v>8.316212225602996</x:v>
      </x:c>
      <x:c r="G115" s="87" t="n">
        <x:f>IF(OR(F115="",F114=""),"",F115-F114)</x:f>
        <x:v>-0.0008725566829426157</x:v>
      </x:c>
      <x:c r="H115" s="55" t="n">
        <x:f>'Datos_fuente'!H115</x:f>
        <x:v>4.39</x:v>
      </x:c>
      <x:c r="I115" s="55" t="n">
        <x:f>IF(OR(H115="",H114=""),"",H115-H114)</x:f>
        <x:v>0.009999999999999787</x:v>
      </x:c>
      <x:c r="J115" s="55" t="n">
        <x:f>'Datos_fuente'!J115</x:f>
        <x:v>2.679027018</x:v>
      </x:c>
      <x:c r="K115" s="55" t="n">
        <x:f>IF(OR(J115="",J114=""),"",J115-J114)</x:f>
        <x:v>0.2728946240000001</x:v>
      </x:c>
      <x:c r="L115" s="87" t="n">
        <x:f>IF('Datos_fuente'!K115="","",LN('Datos_fuente'!K115))</x:f>
        <x:v>4.642087671825471</x:v>
      </x:c>
      <x:c r="M115" s="87" t="n">
        <x:f>IF(OR(L115="",L114=""),"",L115-L114)</x:f>
        <x:v>0.02257943571271781</x:v>
      </x:c>
      <x:c r="N115" s="87" t="n">
        <x:f>IF('Datos_fuente'!L115="","",LN('Datos_fuente'!L115))</x:f>
        <x:v>2.9507087566537065</x:v>
      </x:c>
      <x:c r="O115" s="87" t="n">
        <x:f>IF(OR(N115="",N114=""),"",N115-N114)</x:f>
        <x:v>0.16001782688980537</x:v>
      </x:c>
      <x:c r="P115" s="82" t="n">
        <x:f>'Datos_fuente'!N115</x:f>
        <x:v>0</x:v>
      </x:c>
      <x:c r="Q115" s="1"/>
      <x:c r="R115" s="1"/>
      <x:c r="S115" s="1"/>
      <x:c r="T115" s="1"/>
      <x:c r="U115" s="1"/>
      <x:c r="V115" s="1"/>
      <x:c r="W115" s="1"/>
      <x:c r="X115" s="1"/>
      <x:c r="Y115" s="1"/>
      <x:c r="Z115" s="1"/>
    </x:row>
    <x:row r="116">
      <x:c r="A116" s="1" t="str">
        <x:f>'Datos_fuente'!A116</x:f>
        <x:v>2015-02</x:v>
      </x:c>
      <x:c r="B116" s="87" t="n">
        <x:f>IF('Datos_fuente'!B116="","",LN('Datos_fuente'!B116))</x:f>
        <x:v>7.79180067310773</x:v>
      </x:c>
      <x:c r="C116" s="87" t="n">
        <x:f>IF(OR(B116="",B115=""),"",B116-B115)</x:f>
        <x:v>0.009719782808037536</x:v>
      </x:c>
      <x:c r="D116" s="87" t="n">
        <x:f>IF('Datos_fuente'!C116="","",LN('Datos_fuente'!C116))</x:f>
        <x:v>4.062088208190438</x:v>
      </x:c>
      <x:c r="E116" s="87" t="n">
        <x:f>IF(OR(D116="",D115=""),"",D116-D115)</x:f>
        <x:v>0.1959102081726174</x:v>
      </x:c>
      <x:c r="F116" s="87" t="n">
        <x:f>IF('Datos_fuente'!E116="","",LN('Datos_fuente'!E116))</x:f>
        <x:v>8.323943337716168</x:v>
      </x:c>
      <x:c r="G116" s="87" t="n">
        <x:f>IF(OR(F116="",F115=""),"",F116-F115)</x:f>
        <x:v>0.00773111211317179</x:v>
      </x:c>
      <x:c r="H116" s="55" t="n">
        <x:f>'Datos_fuente'!H116</x:f>
        <x:v>4.39</x:v>
      </x:c>
      <x:c r="I116" s="55" t="n">
        <x:f>IF(OR(H116="",H115=""),"",H116-H115)</x:f>
        <x:v>0</x:v>
      </x:c>
      <x:c r="J116" s="55" t="n">
        <x:f>'Datos_fuente'!J116</x:f>
        <x:v>2.700039179</x:v>
      </x:c>
      <x:c r="K116" s="55" t="n">
        <x:f>IF(OR(J116="",J115=""),"",J116-J115)</x:f>
        <x:v>0.021012160999999807</x:v>
      </x:c>
      <x:c r="L116" s="87" t="n">
        <x:f>IF('Datos_fuente'!K116="","",LN('Datos_fuente'!K116))</x:f>
        <x:v>4.655564195690353</x:v>
      </x:c>
      <x:c r="M116" s="87" t="n">
        <x:f>IF(OR(L116="",L115=""),"",L116-L115)</x:f>
        <x:v>0.013476523864881962</x:v>
      </x:c>
      <x:c r="N116" s="87" t="n">
        <x:f>IF('Datos_fuente'!L116="","",LN('Datos_fuente'!L116))</x:f>
        <x:v>2.7665838873769046</x:v>
      </x:c>
      <x:c r="O116" s="87" t="n">
        <x:f>IF(OR(N116="",N115=""),"",N116-N115)</x:f>
        <x:v>-0.18412486927680183</x:v>
      </x:c>
      <x:c r="P116" s="82" t="n">
        <x:f>'Datos_fuente'!N116</x:f>
        <x:v>0</x:v>
      </x:c>
      <x:c r="Q116" s="1"/>
      <x:c r="R116" s="1"/>
      <x:c r="S116" s="1"/>
      <x:c r="T116" s="1"/>
      <x:c r="U116" s="1"/>
      <x:c r="V116" s="1"/>
      <x:c r="W116" s="1"/>
      <x:c r="X116" s="1"/>
      <x:c r="Y116" s="1"/>
      <x:c r="Z116" s="1"/>
    </x:row>
    <x:row r="117">
      <x:c r="A117" s="1" t="str">
        <x:f>'Datos_fuente'!A117</x:f>
        <x:v>2015-03</x:v>
      </x:c>
      <x:c r="B117" s="87" t="n">
        <x:f>IF('Datos_fuente'!B117="","",LN('Datos_fuente'!B117))</x:f>
        <x:v>7.857620915615344</x:v>
      </x:c>
      <x:c r="C117" s="87" t="n">
        <x:f>IF(OR(B117="",B116=""),"",B117-B116)</x:f>
        <x:v>0.06582024250761442</x:v>
      </x:c>
      <x:c r="D117" s="87" t="n">
        <x:f>IF('Datos_fuente'!C117="","",LN('Datos_fuente'!C117))</x:f>
        <x:v>4.023304141471849</x:v>
      </x:c>
      <x:c r="E117" s="87" t="n">
        <x:f>IF(OR(D117="",D116=""),"",D117-D116)</x:f>
        <x:v>-0.03878406671858947</x:v>
      </x:c>
      <x:c r="F117" s="87" t="n">
        <x:f>IF('Datos_fuente'!E117="","",LN('Datos_fuente'!E117))</x:f>
        <x:v>8.347263339331239</x:v>
      </x:c>
      <x:c r="G117" s="87" t="n">
        <x:f>IF(OR(F117="",F116=""),"",F117-F116)</x:f>
        <x:v>0.02332000161507075</x:v>
      </x:c>
      <x:c r="H117" s="55" t="n">
        <x:f>'Datos_fuente'!H117</x:f>
        <x:v>4.39</x:v>
      </x:c>
      <x:c r="I117" s="55" t="n">
        <x:f>IF(OR(H117="",H116=""),"",H117-H116)</x:f>
        <x:v>0</x:v>
      </x:c>
      <x:c r="J117" s="55" t="n">
        <x:f>'Datos_fuente'!J117</x:f>
        <x:v>2.741533371</x:v>
      </x:c>
      <x:c r="K117" s="55" t="n">
        <x:f>IF(OR(J117="",J116=""),"",J117-J116)</x:f>
        <x:v>0.04149419200000004</x:v>
      </x:c>
      <x:c r="L117" s="87" t="n">
        <x:f>IF('Datos_fuente'!K117="","",LN('Datos_fuente'!K117))</x:f>
        <x:v>4.67623180507369</x:v>
      </x:c>
      <x:c r="M117" s="87" t="n">
        <x:f>IF(OR(L117="",L116=""),"",L117-L116)</x:f>
        <x:v>0.020667609383337116</x:v>
      </x:c>
      <x:c r="N117" s="87" t="n">
        <x:f>IF('Datos_fuente'!L117="","",LN('Datos_fuente'!L117))</x:f>
        <x:v>2.6954867619000082</x:v>
      </x:c>
      <x:c r="O117" s="87" t="n">
        <x:f>IF(OR(N117="",N116=""),"",N117-N116)</x:f>
        <x:v>-0.0710971254768964</x:v>
      </x:c>
      <x:c r="P117" s="82" t="n">
        <x:f>'Datos_fuente'!N117</x:f>
        <x:v>0</x:v>
      </x:c>
      <x:c r="Q117" s="1"/>
      <x:c r="R117" s="1"/>
      <x:c r="S117" s="1"/>
      <x:c r="T117" s="1"/>
      <x:c r="U117" s="1"/>
      <x:c r="V117" s="1"/>
      <x:c r="W117" s="1"/>
      <x:c r="X117" s="1"/>
      <x:c r="Y117" s="1"/>
      <x:c r="Z117" s="1"/>
    </x:row>
    <x:row r="118">
      <x:c r="A118" s="1" t="str">
        <x:f>'Datos_fuente'!A118</x:f>
        <x:v>2015-04</x:v>
      </x:c>
      <x:c r="B118" s="87" t="n">
        <x:f>IF('Datos_fuente'!B118="","",LN('Datos_fuente'!B118))</x:f>
        <x:v>7.826143010614599</x:v>
      </x:c>
      <x:c r="C118" s="87" t="n">
        <x:f>IF(OR(B118="",B117=""),"",B118-B117)</x:f>
        <x:v>-0.03147790500074521</x:v>
      </x:c>
      <x:c r="D118" s="87" t="n">
        <x:f>IF('Datos_fuente'!C118="","",LN('Datos_fuente'!C118))</x:f>
        <x:v>4.086384392468925</x:v>
      </x:c>
      <x:c r="E118" s="87" t="n">
        <x:f>IF(OR(D118="",D117=""),"",D118-D117)</x:f>
        <x:v>0.06308025099707582</x:v>
      </x:c>
      <x:c r="F118" s="87" t="n">
        <x:f>IF('Datos_fuente'!E118="","",LN('Datos_fuente'!E118))</x:f>
        <x:v>8.355720772958243</x:v>
      </x:c>
      <x:c r="G118" s="87" t="n">
        <x:f>IF(OR(F118="",F117=""),"",F118-F117)</x:f>
        <x:v>0.008457433627004463</x:v>
      </x:c>
      <x:c r="H118" s="55" t="n">
        <x:f>'Datos_fuente'!H118</x:f>
        <x:v>4.38</x:v>
      </x:c>
      <x:c r="I118" s="55" t="n">
        <x:f>IF(OR(H118="",H117=""),"",H118-H117)</x:f>
        <x:v>-0.009999999999999787</x:v>
      </x:c>
      <x:c r="J118" s="55" t="n">
        <x:f>'Datos_fuente'!J118</x:f>
        <x:v>2.775702112</x:v>
      </x:c>
      <x:c r="K118" s="55" t="n">
        <x:f>IF(OR(J118="",J117=""),"",J118-J117)</x:f>
        <x:v>0.03416874099999978</x:v>
      </x:c>
      <x:c r="L118" s="87" t="n">
        <x:f>IF('Datos_fuente'!K118="","",LN('Datos_fuente'!K118))</x:f>
        <x:v>4.6667569969873055</x:v>
      </x:c>
      <x:c r="M118" s="87" t="n">
        <x:f>IF(OR(L118="",L117=""),"",L118-L117)</x:f>
        <x:v>-0.009474808086384456</x:v>
      </x:c>
      <x:c r="N118" s="87" t="n">
        <x:f>IF('Datos_fuente'!L118="","",LN('Datos_fuente'!L118))</x:f>
        <x:v>2.6023016027426253</x:v>
      </x:c>
      <x:c r="O118" s="87" t="n">
        <x:f>IF(OR(N118="",N117=""),"",N118-N117)</x:f>
        <x:v>-0.0931851591573829</x:v>
      </x:c>
      <x:c r="P118" s="82" t="n">
        <x:f>'Datos_fuente'!N118</x:f>
        <x:v>0</x:v>
      </x:c>
      <x:c r="Q118" s="1"/>
      <x:c r="R118" s="1"/>
      <x:c r="S118" s="1"/>
      <x:c r="T118" s="1"/>
      <x:c r="U118" s="1"/>
      <x:c r="V118" s="1"/>
      <x:c r="W118" s="1"/>
      <x:c r="X118" s="1"/>
      <x:c r="Y118" s="1"/>
      <x:c r="Z118" s="1"/>
    </x:row>
    <x:row r="119">
      <x:c r="A119" s="1" t="str">
        <x:f>'Datos_fuente'!A119</x:f>
        <x:v>2015-05</x:v>
      </x:c>
      <x:c r="B119" s="87" t="n">
        <x:f>IF('Datos_fuente'!B119="","",LN('Datos_fuente'!B119))</x:f>
        <x:v>7.798742627793604</x:v>
      </x:c>
      <x:c r="C119" s="87" t="n">
        <x:f>IF(OR(B119="",B118=""),"",B119-B118)</x:f>
        <x:v>-0.02740038282099544</x:v>
      </x:c>
      <x:c r="D119" s="87" t="n">
        <x:f>IF('Datos_fuente'!C119="","",LN('Datos_fuente'!C119))</x:f>
        <x:v>4.160054272250135</x:v>
      </x:c>
      <x:c r="E119" s="87" t="n">
        <x:f>IF(OR(D119="",D118=""),"",D119-D118)</x:f>
        <x:v>0.07366987978121031</x:v>
      </x:c>
      <x:c r="F119" s="87" t="n">
        <x:f>IF('Datos_fuente'!E119="","",LN('Datos_fuente'!E119))</x:f>
        <x:v>8.362647100090822</x:v>
      </x:c>
      <x:c r="G119" s="87" t="n">
        <x:f>IF(OR(F119="",F118=""),"",F119-F118)</x:f>
        <x:v>0.006926327132578791</x:v>
      </x:c>
      <x:c r="H119" s="55" t="n">
        <x:f>'Datos_fuente'!H119</x:f>
        <x:v>4.38</x:v>
      </x:c>
      <x:c r="I119" s="55" t="n">
        <x:f>IF(OR(H119="",H118=""),"",H119-H118)</x:f>
        <x:v>0</x:v>
      </x:c>
      <x:c r="J119" s="55" t="n">
        <x:f>'Datos_fuente'!J119</x:f>
        <x:v>2.567352415</x:v>
      </x:c>
      <x:c r="K119" s="55" t="n">
        <x:f>IF(OR(J119="",J118=""),"",J119-J118)</x:f>
        <x:v>-0.2083496969999996</x:v>
      </x:c>
      <x:c r="L119" s="87" t="n">
        <x:f>IF('Datos_fuente'!K119="","",LN('Datos_fuente'!K119))</x:f>
        <x:v>4.657824446341182</x:v>
      </x:c>
      <x:c r="M119" s="87" t="n">
        <x:f>IF(OR(L119="",L118=""),"",L119-L118)</x:f>
        <x:v>-0.008932550646123083</x:v>
      </x:c>
      <x:c r="N119" s="87" t="n">
        <x:f>IF('Datos_fuente'!L119="","",LN('Datos_fuente'!L119))</x:f>
        <x:v>2.590654590387091</x:v>
      </x:c>
      <x:c r="O119" s="87" t="n">
        <x:f>IF(OR(N119="",N118=""),"",N119-N118)</x:f>
        <x:v>-0.011647012355534336</x:v>
      </x:c>
      <x:c r="P119" s="82" t="n">
        <x:f>'Datos_fuente'!N119</x:f>
        <x:v>0</x:v>
      </x:c>
      <x:c r="Q119" s="1"/>
      <x:c r="R119" s="1"/>
      <x:c r="S119" s="1"/>
      <x:c r="T119" s="1"/>
      <x:c r="U119" s="1"/>
      <x:c r="V119" s="1"/>
      <x:c r="W119" s="1"/>
      <x:c r="X119" s="1"/>
      <x:c r="Y119" s="1"/>
      <x:c r="Z119" s="1"/>
    </x:row>
    <x:row r="120">
      <x:c r="A120" s="1" t="str">
        <x:f>'Datos_fuente'!A120</x:f>
        <x:v>2015-06</x:v>
      </x:c>
      <x:c r="B120" s="87" t="n">
        <x:f>IF('Datos_fuente'!B120="","",LN('Datos_fuente'!B120))</x:f>
        <x:v>7.848729908091612</x:v>
      </x:c>
      <x:c r="C120" s="87" t="n">
        <x:f>IF(OR(B120="",B119=""),"",B120-B119)</x:f>
        <x:v>0.049987280298008585</x:v>
      </x:c>
      <x:c r="D120" s="87" t="n">
        <x:f>IF('Datos_fuente'!C120="","",LN('Datos_fuente'!C120))</x:f>
        <x:v>4.118674951005968</x:v>
      </x:c>
      <x:c r="E120" s="87" t="n">
        <x:f>IF(OR(D120="",D119=""),"",D120-D119)</x:f>
        <x:v>-0.04137932124416732</x:v>
      </x:c>
      <x:c r="F120" s="87" t="n">
        <x:f>IF('Datos_fuente'!E120="","",LN('Datos_fuente'!E120))</x:f>
        <x:v>8.385399716309259</x:v>
      </x:c>
      <x:c r="G120" s="87" t="n">
        <x:f>IF(OR(F120="",F119=""),"",F120-F119)</x:f>
        <x:v>0.022752616218436827</x:v>
      </x:c>
      <x:c r="H120" s="55" t="n">
        <x:f>'Datos_fuente'!H120</x:f>
        <x:v>4.37</x:v>
      </x:c>
      <x:c r="I120" s="55" t="n">
        <x:f>IF(OR(H120="",H119=""),"",H120-H119)</x:f>
        <x:v>-0.009999999999999787</x:v>
      </x:c>
      <x:c r="J120" s="55" t="n">
        <x:f>'Datos_fuente'!J120</x:f>
        <x:v>2.664923762</x:v>
      </x:c>
      <x:c r="K120" s="55" t="n">
        <x:f>IF(OR(J120="",J119=""),"",J120-J119)</x:f>
        <x:v>0.0975713469999997</x:v>
      </x:c>
      <x:c r="L120" s="87" t="n">
        <x:f>IF('Datos_fuente'!K120="","",LN('Datos_fuente'!K120))</x:f>
        <x:v>4.665126221056091</x:v>
      </x:c>
      <x:c r="M120" s="87" t="n">
        <x:f>IF(OR(L120="",L119=""),"",L120-L119)</x:f>
        <x:v>0.007301774714908227</x:v>
      </x:c>
      <x:c r="N120" s="87" t="n">
        <x:f>IF('Datos_fuente'!L120="","",LN('Datos_fuente'!L120))</x:f>
        <x:v>2.6630211366216607</x:v>
      </x:c>
      <x:c r="O120" s="87" t="n">
        <x:f>IF(OR(N120="",N119=""),"",N120-N119)</x:f>
        <x:v>0.07236654623456973</x:v>
      </x:c>
      <x:c r="P120" s="82" t="n">
        <x:f>'Datos_fuente'!N120</x:f>
        <x:v>0</x:v>
      </x:c>
      <x:c r="Q120" s="1"/>
      <x:c r="R120" s="1"/>
      <x:c r="S120" s="1"/>
      <x:c r="T120" s="1"/>
      <x:c r="U120" s="1"/>
      <x:c r="V120" s="1"/>
      <x:c r="W120" s="1"/>
      <x:c r="X120" s="1"/>
      <x:c r="Y120" s="1"/>
      <x:c r="Z120" s="1"/>
    </x:row>
    <x:row r="121">
      <x:c r="A121" s="1" t="str">
        <x:f>'Datos_fuente'!A121</x:f>
        <x:v>2015-07</x:v>
      </x:c>
      <x:c r="B121" s="87" t="n">
        <x:f>IF('Datos_fuente'!B121="","",LN('Datos_fuente'!B121))</x:f>
        <x:v>7.912802326754137</x:v>
      </x:c>
      <x:c r="C121" s="87" t="n">
        <x:f>IF(OR(B121="",B120=""),"",B121-B120)</x:f>
        <x:v>0.06407241866252456</x:v>
      </x:c>
      <x:c r="D121" s="87" t="n">
        <x:f>IF('Datos_fuente'!C121="","",LN('Datos_fuente'!C121))</x:f>
        <x:v>4.035325082673187</x:v>
      </x:c>
      <x:c r="E121" s="87" t="n">
        <x:f>IF(OR(D121="",D120=""),"",D121-D120)</x:f>
        <x:v>-0.08334986833278091</x:v>
      </x:c>
      <x:c r="F121" s="87" t="n">
        <x:f>IF('Datos_fuente'!E121="","",LN('Datos_fuente'!E121))</x:f>
        <x:v>8.410745418241445</x:v>
      </x:c>
      <x:c r="G121" s="87" t="n">
        <x:f>IF(OR(F121="",F120=""),"",F121-F120)</x:f>
        <x:v>0.02534570193218677</x:v>
      </x:c>
      <x:c r="H121" s="55" t="n">
        <x:f>'Datos_fuente'!H121</x:f>
        <x:v>4.37</x:v>
      </x:c>
      <x:c r="I121" s="55" t="n">
        <x:f>IF(OR(H121="",H120=""),"",H121-H120)</x:f>
        <x:v>0</x:v>
      </x:c>
      <x:c r="J121" s="55" t="n">
        <x:f>'Datos_fuente'!J121</x:f>
        <x:v>2.717291316</x:v>
      </x:c>
      <x:c r="K121" s="55" t="n">
        <x:f>IF(OR(J121="",J120=""),"",J121-J120)</x:f>
        <x:v>0.05236755399999993</x:v>
      </x:c>
      <x:c r="L121" s="87" t="n">
        <x:f>IF('Datos_fuente'!K121="","",LN('Datos_fuente'!K121))</x:f>
        <x:v>4.683274723083441</x:v>
      </x:c>
      <x:c r="M121" s="87" t="n">
        <x:f>IF(OR(L121="",L120=""),"",L121-L120)</x:f>
        <x:v>0.01814850202735041</x:v>
      </x:c>
      <x:c r="N121" s="87" t="n">
        <x:f>IF('Datos_fuente'!L121="","",LN('Datos_fuente'!L121))</x:f>
        <x:v>2.6639399778062582</x:v>
      </x:c>
      <x:c r="O121" s="87" t="n">
        <x:f>IF(OR(N121="",N120=""),"",N121-N120)</x:f>
        <x:v>0.0009188411845975075</x:v>
      </x:c>
      <x:c r="P121" s="82" t="n">
        <x:f>'Datos_fuente'!N121</x:f>
        <x:v>0</x:v>
      </x:c>
      <x:c r="Q121" s="1"/>
      <x:c r="R121" s="1"/>
      <x:c r="S121" s="1"/>
      <x:c r="T121" s="1"/>
      <x:c r="U121" s="1"/>
      <x:c r="V121" s="1"/>
      <x:c r="W121" s="1"/>
      <x:c r="X121" s="1"/>
      <x:c r="Y121" s="1"/>
      <x:c r="Z121" s="1"/>
    </x:row>
    <x:row r="122">
      <x:c r="A122" s="1" t="str">
        <x:f>'Datos_fuente'!A122</x:f>
        <x:v>2015-08</x:v>
      </x:c>
      <x:c r="B122" s="87" t="n">
        <x:f>IF('Datos_fuente'!B122="","",LN('Datos_fuente'!B122))</x:f>
        <x:v>8.010554596133062</x:v>
      </x:c>
      <x:c r="C122" s="87" t="n">
        <x:f>IF(OR(B122="",B121=""),"",B122-B121)</x:f>
        <x:v>0.09775226937892523</x:v>
      </x:c>
      <x:c r="D122" s="87" t="n">
        <x:f>IF('Datos_fuente'!C122="","",LN('Datos_fuente'!C122))</x:f>
        <x:v>3.839774841220522</x:v>
      </x:c>
      <x:c r="E122" s="87" t="n">
        <x:f>IF(OR(D122="",D121=""),"",D122-D121)</x:f>
        <x:v>-0.19555024145266486</x:v>
      </x:c>
      <x:c r="F122" s="87" t="n">
        <x:f>IF('Datos_fuente'!E122="","",LN('Datos_fuente'!E122))</x:f>
        <x:v>8.451480648050856</x:v>
      </x:c>
      <x:c r="G122" s="87" t="n">
        <x:f>IF(OR(F122="",F121=""),"",F122-F121)</x:f>
        <x:v>0.040735229809410356</x:v>
      </x:c>
      <x:c r="H122" s="55" t="n">
        <x:f>'Datos_fuente'!H122</x:f>
        <x:v>4.36</x:v>
      </x:c>
      <x:c r="I122" s="55" t="n">
        <x:f>IF(OR(H122="",H121=""),"",H122-H121)</x:f>
        <x:v>-0.009999999999999787</x:v>
      </x:c>
      <x:c r="J122" s="55" t="n">
        <x:f>'Datos_fuente'!J122</x:f>
        <x:v>2.536322549</x:v>
      </x:c>
      <x:c r="K122" s="55" t="n">
        <x:f>IF(OR(J122="",J121=""),"",J122-J121)</x:f>
        <x:v>-0.18096876699999997</x:v>
      </x:c>
      <x:c r="L122" s="87" t="n">
        <x:f>IF('Datos_fuente'!K122="","",LN('Datos_fuente'!K122))</x:f>
        <x:v>4.700268957992817</x:v>
      </x:c>
      <x:c r="M122" s="87" t="n">
        <x:f>IF(OR(L122="",L121=""),"",L122-L121)</x:f>
        <x:v>0.016994234909375905</x:v>
      </x:c>
      <x:c r="N122" s="87" t="n">
        <x:f>IF('Datos_fuente'!L122="","",LN('Datos_fuente'!L122))</x:f>
        <x:v>2.9667202266744885</x:v>
      </x:c>
      <x:c r="O122" s="87" t="n">
        <x:f>IF(OR(N122="",N121=""),"",N122-N121)</x:f>
        <x:v>0.3027802488682303</x:v>
      </x:c>
      <x:c r="P122" s="82" t="n">
        <x:f>'Datos_fuente'!N122</x:f>
        <x:v>0</x:v>
      </x:c>
      <x:c r="Q122" s="1"/>
      <x:c r="R122" s="1"/>
      <x:c r="S122" s="1"/>
      <x:c r="T122" s="1"/>
      <x:c r="U122" s="1"/>
      <x:c r="V122" s="1"/>
      <x:c r="W122" s="1"/>
      <x:c r="X122" s="1"/>
      <x:c r="Y122" s="1"/>
      <x:c r="Z122" s="1"/>
    </x:row>
    <x:row r="123">
      <x:c r="A123" s="1" t="str">
        <x:f>'Datos_fuente'!A123</x:f>
        <x:v>2015-09</x:v>
      </x:c>
      <x:c r="B123" s="87" t="n">
        <x:f>IF('Datos_fuente'!B123="","",LN('Datos_fuente'!B123))</x:f>
        <x:v>8.028262122985456</x:v>
      </x:c>
      <x:c r="C123" s="87" t="n">
        <x:f>IF(OR(B123="",B122=""),"",B123-B122)</x:f>
        <x:v>0.017707526852394295</x:v>
      </x:c>
      <x:c r="D123" s="87" t="n">
        <x:f>IF('Datos_fuente'!C123="","",LN('Datos_fuente'!C123))</x:f>
        <x:v>3.8633196557102307</x:v>
      </x:c>
      <x:c r="E123" s="87" t="n">
        <x:f>IF(OR(D123="",D122=""),"",D123-D122)</x:f>
        <x:v>0.0235448144897088</x:v>
      </x:c>
      <x:c r="F123" s="87" t="n">
        <x:f>IF('Datos_fuente'!E123="","",LN('Datos_fuente'!E123))</x:f>
        <x:v>8.474429730135125</x:v>
      </x:c>
      <x:c r="G123" s="87" t="n">
        <x:f>IF(OR(F123="",F122=""),"",F123-F122)</x:f>
        <x:v>0.022949082084268824</x:v>
      </x:c>
      <x:c r="H123" s="55" t="n">
        <x:f>'Datos_fuente'!H123</x:f>
        <x:v>4.385</x:v>
      </x:c>
      <x:c r="I123" s="55" t="n">
        <x:f>IF(OR(H123="",H122=""),"",H123-H122)</x:f>
        <x:v>0.024999999999999467</x:v>
      </x:c>
      <x:c r="J123" s="55" t="n">
        <x:f>'Datos_fuente'!J123</x:f>
        <x:v>2.766922547</x:v>
      </x:c>
      <x:c r="K123" s="55" t="n">
        <x:f>IF(OR(J123="",J122=""),"",J123-J122)</x:f>
        <x:v>0.2305999980000002</x:v>
      </x:c>
      <x:c r="L123" s="87" t="n">
        <x:f>IF('Datos_fuente'!K123="","",LN('Datos_fuente'!K123))</x:f>
        <x:v>4.70818927654831</x:v>
      </x:c>
      <x:c r="M123" s="87" t="n">
        <x:f>IF(OR(L123="",L122=""),"",L123-L122)</x:f>
        <x:v>0.007920318555493466</x:v>
      </x:c>
      <x:c r="N123" s="87" t="n">
        <x:f>IF('Datos_fuente'!L123="","",LN('Datos_fuente'!L123))</x:f>
        <x:v>3.1936459252249874</x:v>
      </x:c>
      <x:c r="O123" s="87" t="n">
        <x:f>IF(OR(N123="",N122=""),"",N123-N122)</x:f>
        <x:v>0.22692569855049882</x:v>
      </x:c>
      <x:c r="P123" s="82" t="n">
        <x:f>'Datos_fuente'!N123</x:f>
        <x:v>0</x:v>
      </x:c>
      <x:c r="Q123" s="1"/>
      <x:c r="R123" s="1"/>
      <x:c r="S123" s="1"/>
      <x:c r="T123" s="1"/>
      <x:c r="U123" s="1"/>
      <x:c r="V123" s="1"/>
      <x:c r="W123" s="1"/>
      <x:c r="X123" s="1"/>
      <x:c r="Y123" s="1"/>
      <x:c r="Z123" s="1"/>
    </x:row>
    <x:row r="124">
      <x:c r="A124" s="1" t="str">
        <x:f>'Datos_fuente'!A124</x:f>
        <x:v>2015-10</x:v>
      </x:c>
      <x:c r="B124" s="87" t="n">
        <x:f>IF('Datos_fuente'!B124="","",LN('Datos_fuente'!B124))</x:f>
        <x:v>7.982577569064598</x:v>
      </x:c>
      <x:c r="C124" s="87" t="n">
        <x:f>IF(OR(B124="",B123=""),"",B124-B123)</x:f>
        <x:v>-0.04568455392085813</x:v>
      </x:c>
      <x:c r="D124" s="87" t="n">
        <x:f>IF('Datos_fuente'!C124="","",LN('Datos_fuente'!C124))</x:f>
        <x:v>3.880119456415138</x:v>
      </x:c>
      <x:c r="E124" s="87" t="n">
        <x:f>IF(OR(D124="",D123=""),"",D124-D123)</x:f>
        <x:v>0.016799800704907053</x:v>
      </x:c>
      <x:c r="F124" s="87" t="n">
        <x:f>IF('Datos_fuente'!E124="","",LN('Datos_fuente'!E124))</x:f>
        <x:v>8.482636942714601</x:v>
      </x:c>
      <x:c r="G124" s="87" t="n">
        <x:f>IF(OR(F124="",F123=""),"",F124-F123)</x:f>
        <x:v>0.00820721257947632</x:v>
      </x:c>
      <x:c r="H124" s="55" t="n">
        <x:f>'Datos_fuente'!H124</x:f>
        <x:v>4.63</x:v>
      </x:c>
      <x:c r="I124" s="55" t="n">
        <x:f>IF(OR(H124="",H123=""),"",H124-H123)</x:f>
        <x:v>0.2450000000000001</x:v>
      </x:c>
      <x:c r="J124" s="55" t="n">
        <x:f>'Datos_fuente'!J124</x:f>
        <x:v>2.80153607</x:v>
      </x:c>
      <x:c r="K124" s="55" t="n">
        <x:f>IF(OR(J124="",J123=""),"",J124-J123)</x:f>
        <x:v>0.03461352299999998</x:v>
      </x:c>
      <x:c r="L124" s="87" t="n">
        <x:f>IF('Datos_fuente'!K124="","",LN('Datos_fuente'!K124))</x:f>
        <x:v>4.699603357696852</x:v>
      </x:c>
      <x:c r="M124" s="87" t="n">
        <x:f>IF(OR(L124="",L123=""),"",L124-L123)</x:f>
        <x:v>-0.008585918851458096</x:v>
      </x:c>
      <x:c r="N124" s="87" t="n">
        <x:f>IF('Datos_fuente'!L124="","",LN('Datos_fuente'!L124))</x:f>
        <x:v>2.8207563980606793</x:v>
      </x:c>
      <x:c r="O124" s="87" t="n">
        <x:f>IF(OR(N124="",N123=""),"",N124-N123)</x:f>
        <x:v>-0.372889527164308</x:v>
      </x:c>
      <x:c r="P124" s="82" t="n">
        <x:f>'Datos_fuente'!N124</x:f>
        <x:v>0</x:v>
      </x:c>
      <x:c r="Q124" s="1"/>
      <x:c r="R124" s="1"/>
      <x:c r="S124" s="1"/>
      <x:c r="T124" s="1"/>
      <x:c r="U124" s="1"/>
      <x:c r="V124" s="1"/>
      <x:c r="W124" s="1"/>
      <x:c r="X124" s="1"/>
      <x:c r="Y124" s="1"/>
      <x:c r="Z124" s="1"/>
    </x:row>
    <x:row r="125">
      <x:c r="A125" s="1" t="str">
        <x:f>'Datos_fuente'!A125</x:f>
        <x:v>2015-11</x:v>
      </x:c>
      <x:c r="B125" s="87" t="n">
        <x:f>IF('Datos_fuente'!B125="","",LN('Datos_fuente'!B125))</x:f>
        <x:v>8.006826240110616</x:v>
      </x:c>
      <x:c r="C125" s="87" t="n">
        <x:f>IF(OR(B125="",B124=""),"",B125-B124)</x:f>
        <x:v>0.02424867104601791</x:v>
      </x:c>
      <x:c r="D125" s="87" t="n">
        <x:f>IF('Datos_fuente'!C125="","",LN('Datos_fuente'!C125))</x:f>
        <x:v>3.7902534628265214</x:v>
      </x:c>
      <x:c r="E125" s="87" t="n">
        <x:f>IF(OR(D125="",D124=""),"",D125-D124)</x:f>
        <x:v>-0.08986599358861636</x:v>
      </x:c>
      <x:c r="F125" s="87" t="n">
        <x:f>IF('Datos_fuente'!E125="","",LN('Datos_fuente'!E125))</x:f>
        <x:v>8.498004255772809</x:v>
      </x:c>
      <x:c r="G125" s="87" t="n">
        <x:f>IF(OR(F125="",F124=""),"",F125-F124)</x:f>
        <x:v>0.015367313058208154</x:v>
      </x:c>
      <x:c r="H125" s="55" t="n">
        <x:f>'Datos_fuente'!H125</x:f>
        <x:v>5.105</x:v>
      </x:c>
      <x:c r="I125" s="55" t="n">
        <x:f>IF(OR(H125="",H124=""),"",H125-H124)</x:f>
        <x:v>0.47500000000000053</x:v>
      </x:c>
      <x:c r="J125" s="55" t="n">
        <x:f>'Datos_fuente'!J125</x:f>
        <x:v>2.981295634</x:v>
      </x:c>
      <x:c r="K125" s="55" t="n">
        <x:f>IF(OR(J125="",J124=""),"",J125-J124)</x:f>
        <x:v>0.17975956399999982</x:v>
      </x:c>
      <x:c r="L125" s="87" t="n">
        <x:f>IF('Datos_fuente'!K125="","",LN('Datos_fuente'!K125))</x:f>
        <x:v>4.715741595823833</x:v>
      </x:c>
      <x:c r="M125" s="87" t="n">
        <x:f>IF(OR(L125="",L124=""),"",L125-L124)</x:f>
        <x:v>0.016138238126981008</x:v>
      </x:c>
      <x:c r="N125" s="87" t="n">
        <x:f>IF('Datos_fuente'!L125="","",LN('Datos_fuente'!L125))</x:f>
        <x:v>2.785628335747585</x:v>
      </x:c>
      <x:c r="O125" s="87" t="n">
        <x:f>IF(OR(N125="",N124=""),"",N125-N124)</x:f>
        <x:v>-0.03512806231309451</x:v>
      </x:c>
      <x:c r="P125" s="82" t="n">
        <x:f>'Datos_fuente'!N125</x:f>
        <x:v>0</x:v>
      </x:c>
      <x:c r="Q125" s="1"/>
      <x:c r="R125" s="1"/>
      <x:c r="S125" s="1"/>
      <x:c r="T125" s="1"/>
      <x:c r="U125" s="1"/>
      <x:c r="V125" s="1"/>
      <x:c r="W125" s="1"/>
      <x:c r="X125" s="1"/>
      <x:c r="Y125" s="1"/>
      <x:c r="Z125" s="1"/>
    </x:row>
    <x:row r="126">
      <x:c r="A126" s="1" t="str">
        <x:f>'Datos_fuente'!A126</x:f>
        <x:v>2015-12</x:v>
      </x:c>
      <x:c r="B126" s="87" t="n">
        <x:f>IF('Datos_fuente'!B126="","",LN('Datos_fuente'!B126))</x:f>
        <x:v>8.084624562810884</x:v>
      </x:c>
      <x:c r="C126" s="87" t="n">
        <x:f>IF(OR(B126="",B125=""),"",B126-B125)</x:f>
        <x:v>0.07779832270026787</x:v>
      </x:c>
      <x:c r="D126" s="87" t="n">
        <x:f>IF('Datos_fuente'!C126="","",LN('Datos_fuente'!C126))</x:f>
        <x:v>3.637729690214866</x:v>
      </x:c>
      <x:c r="E126" s="87" t="n">
        <x:f>IF(OR(D126="",D125=""),"",D126-D125)</x:f>
        <x:v>-0.1525237726116555</x:v>
      </x:c>
      <x:c r="F126" s="87" t="n">
        <x:f>IF('Datos_fuente'!E126="","",LN('Datos_fuente'!E126))</x:f>
        <x:v>8.508636688733116</x:v>
      </x:c>
      <x:c r="G126" s="87" t="n">
        <x:f>IF(OR(F126="",F125=""),"",F126-F125)</x:f>
        <x:v>0.010632432960306915</x:v>
      </x:c>
      <x:c r="H126" s="55" t="n">
        <x:f>'Datos_fuente'!H126</x:f>
        <x:v>5.348709677</x:v>
      </x:c>
      <x:c r="I126" s="55" t="n">
        <x:f>IF(OR(H126="",H125=""),"",H126-H125)</x:f>
        <x:v>0.243709677</x:v>
      </x:c>
      <x:c r="J126" s="55" t="n">
        <x:f>'Datos_fuente'!J126</x:f>
        <x:v>3.015885516</x:v>
      </x:c>
      <x:c r="K126" s="55" t="n">
        <x:f>IF(OR(J126="",J125=""),"",J126-J125)</x:f>
        <x:v>0.03458988200000013</x:v>
      </x:c>
      <x:c r="L126" s="87" t="n">
        <x:f>IF('Datos_fuente'!K126="","",LN('Datos_fuente'!K126))</x:f>
        <x:v>4.72548992061249</x:v>
      </x:c>
      <x:c r="M126" s="87" t="n">
        <x:f>IF(OR(L126="",L125=""),"",L126-L125)</x:f>
        <x:v>0.009748324788656504</x:v>
      </x:c>
      <x:c r="N126" s="87" t="n">
        <x:f>IF('Datos_fuente'!L126="","",LN('Datos_fuente'!L126))</x:f>
        <x:v>2.8917849006061713</x:v>
      </x:c>
      <x:c r="O126" s="87" t="n">
        <x:f>IF(OR(N126="",N125=""),"",N126-N125)</x:f>
        <x:v>0.10615656485858649</x:v>
      </x:c>
      <x:c r="P126" s="82" t="n">
        <x:f>'Datos_fuente'!N126</x:f>
        <x:v>0</x:v>
      </x:c>
      <x:c r="Q126" s="1"/>
      <x:c r="R126" s="1"/>
      <x:c r="S126" s="1"/>
      <x:c r="T126" s="1"/>
      <x:c r="U126" s="1"/>
      <x:c r="V126" s="1"/>
      <x:c r="W126" s="1"/>
      <x:c r="X126" s="1"/>
      <x:c r="Y126" s="1"/>
      <x:c r="Z126" s="1"/>
    </x:row>
    <x:row r="127">
      <x:c r="A127" s="1" t="str">
        <x:f>'Datos_fuente'!A127</x:f>
        <x:v>2016-01</x:v>
      </x:c>
      <x:c r="B127" s="87" t="n">
        <x:f>IF('Datos_fuente'!B127="","",LN('Datos_fuente'!B127))</x:f>
        <x:v>8.092604944373381</x:v>
      </x:c>
      <x:c r="C127" s="87" t="n">
        <x:f>IF(OR(B127="",B126=""),"",B127-B126)</x:f>
        <x:v>0.00798038156249703</x:v>
      </x:c>
      <x:c r="D127" s="87" t="n">
        <x:f>IF('Datos_fuente'!C127="","",LN('Datos_fuente'!C127))</x:f>
        <x:v>3.4242463678155715</x:v>
      </x:c>
      <x:c r="E127" s="87" t="n">
        <x:f>IF(OR(D127="",D126=""),"",D127-D126)</x:f>
        <x:v>-0.21348332239929446</x:v>
      </x:c>
      <x:c r="F127" s="87" t="n">
        <x:f>IF('Datos_fuente'!E127="","",LN('Datos_fuente'!E127))</x:f>
        <x:v>8.520724947417415</x:v>
      </x:c>
      <x:c r="G127" s="87" t="n">
        <x:f>IF(OR(F127="",F126=""),"",F127-F126)</x:f>
        <x:v>0.012088258684299191</x:v>
      </x:c>
      <x:c r="H127" s="55" t="n">
        <x:f>'Datos_fuente'!H127</x:f>
        <x:v>5.41</x:v>
      </x:c>
      <x:c r="I127" s="55" t="n">
        <x:f>IF(OR(H127="",H126=""),"",H127-H126)</x:f>
        <x:v>0.0612903229999997</x:v>
      </x:c>
      <x:c r="J127" s="55" t="n">
        <x:f>'Datos_fuente'!J127</x:f>
        <x:v>3.113369713</x:v>
      </x:c>
      <x:c r="K127" s="55" t="n">
        <x:f>IF(OR(J127="",J126=""),"",J127-J126)</x:f>
        <x:v>0.097484197</x:v>
      </x:c>
      <x:c r="L127" s="87" t="n">
        <x:f>IF('Datos_fuente'!K127="","",LN('Datos_fuente'!K127))</x:f>
        <x:v>4.7469682063229195</x:v>
      </x:c>
      <x:c r="M127" s="87" t="n">
        <x:f>IF(OR(L127="",L126=""),"",L127-L126)</x:f>
        <x:v>0.021478285710429645</x:v>
      </x:c>
      <x:c r="N127" s="87" t="n">
        <x:f>IF('Datos_fuente'!L127="","",LN('Datos_fuente'!L127))</x:f>
        <x:v>3.166229815553162</x:v>
      </x:c>
      <x:c r="O127" s="87" t="n">
        <x:f>IF(OR(N127="",N126=""),"",N127-N126)</x:f>
        <x:v>0.2744449149469905</x:v>
      </x:c>
      <x:c r="P127" s="82" t="n">
        <x:f>'Datos_fuente'!N127</x:f>
        <x:v>0</x:v>
      </x:c>
      <x:c r="Q127" s="1"/>
      <x:c r="R127" s="1"/>
      <x:c r="S127" s="1"/>
      <x:c r="T127" s="1"/>
      <x:c r="U127" s="1"/>
      <x:c r="V127" s="1"/>
      <x:c r="W127" s="1"/>
      <x:c r="X127" s="1"/>
      <x:c r="Y127" s="1"/>
      <x:c r="Z127" s="1"/>
    </x:row>
    <x:row r="128">
      <x:c r="A128" s="1" t="str">
        <x:f>'Datos_fuente'!A128</x:f>
        <x:v>2016-02</x:v>
      </x:c>
      <x:c r="B128" s="87" t="n">
        <x:f>IF('Datos_fuente'!B128="","",LN('Datos_fuente'!B128))</x:f>
        <x:v>8.118194201931301</x:v>
      </x:c>
      <x:c r="C128" s="87" t="n">
        <x:f>IF(OR(B128="",B127=""),"",B128-B127)</x:f>
        <x:v>0.025589257557919964</x:v>
      </x:c>
      <x:c r="D128" s="87" t="n">
        <x:f>IF('Datos_fuente'!C128="","",LN('Datos_fuente'!C128))</x:f>
        <x:v>3.4713917532808773</x:v>
      </x:c>
      <x:c r="E128" s="87" t="n">
        <x:f>IF(OR(D128="",D127=""),"",D128-D127)</x:f>
        <x:v>0.04714538546530589</x:v>
      </x:c>
      <x:c r="F128" s="87" t="n">
        <x:f>IF('Datos_fuente'!E128="","",LN('Datos_fuente'!E128))</x:f>
        <x:v>8.53839679766726</x:v>
      </x:c>
      <x:c r="G128" s="87" t="n">
        <x:f>IF(OR(F128="",F127=""),"",F128-F127)</x:f>
        <x:v>0.017671850249845633</x:v>
      </x:c>
      <x:c r="H128" s="55" t="n">
        <x:f>'Datos_fuente'!H128</x:f>
        <x:v>5.688965517</x:v>
      </x:c>
      <x:c r="I128" s="55" t="n">
        <x:f>IF(OR(H128="",H127=""),"",H128-H127)</x:f>
        <x:v>0.2789655169999996</x:v>
      </x:c>
      <x:c r="J128" s="55" t="n">
        <x:f>'Datos_fuente'!J128</x:f>
        <x:v>3.414282317</x:v>
      </x:c>
      <x:c r="K128" s="55" t="n">
        <x:f>IF(OR(J128="",J127=""),"",J128-J127)</x:f>
        <x:v>0.3009126040000001</x:v>
      </x:c>
      <x:c r="L128" s="87" t="n">
        <x:f>IF('Datos_fuente'!K128="","",LN('Datos_fuente'!K128))</x:f>
        <x:v>4.738666759256427</x:v>
      </x:c>
      <x:c r="M128" s="87" t="n">
        <x:f>IF(OR(L128="",L127=""),"",L128-L127)</x:f>
        <x:v>-0.008301447066492607</x:v>
      </x:c>
      <x:c r="N128" s="87" t="n">
        <x:f>IF('Datos_fuente'!L128="","",LN('Datos_fuente'!L128))</x:f>
        <x:v>3.114270579477523</x:v>
      </x:c>
      <x:c r="O128" s="87" t="n">
        <x:f>IF(OR(N128="",N127=""),"",N128-N127)</x:f>
        <x:v>-0.05195923607563868</x:v>
      </x:c>
      <x:c r="P128" s="82" t="n">
        <x:f>'Datos_fuente'!N128</x:f>
        <x:v>0</x:v>
      </x:c>
      <x:c r="Q128" s="1"/>
      <x:c r="R128" s="1"/>
      <x:c r="S128" s="1"/>
      <x:c r="T128" s="1"/>
      <x:c r="U128" s="1"/>
      <x:c r="V128" s="1"/>
      <x:c r="W128" s="1"/>
      <x:c r="X128" s="1"/>
      <x:c r="Y128" s="1"/>
      <x:c r="Z128" s="1"/>
    </x:row>
    <x:row r="129">
      <x:c r="A129" s="1" t="str">
        <x:f>'Datos_fuente'!A129</x:f>
        <x:v>2016-03</x:v>
      </x:c>
      <x:c r="B129" s="87" t="n">
        <x:f>IF('Datos_fuente'!B129="","",LN('Datos_fuente'!B129))</x:f>
        <x:v>8.048401317937845</x:v>
      </x:c>
      <x:c r="C129" s="87" t="n">
        <x:f>IF(OR(B129="",B128=""),"",B129-B128)</x:f>
        <x:v>-0.06979288399345585</x:v>
      </x:c>
      <x:c r="D129" s="87" t="n">
        <x:f>IF('Datos_fuente'!C129="","",LN('Datos_fuente'!C129))</x:f>
        <x:v>3.643109157488548</x:v>
      </x:c>
      <x:c r="E129" s="87" t="n">
        <x:f>IF(OR(D129="",D128=""),"",D129-D128)</x:f>
        <x:v>0.17171740420767057</x:v>
      </x:c>
      <x:c r="F129" s="87" t="n">
        <x:f>IF('Datos_fuente'!E129="","",LN('Datos_fuente'!E129))</x:f>
        <x:v>8.534264641460576</x:v>
      </x:c>
      <x:c r="G129" s="87" t="n">
        <x:f>IF(OR(F129="",F128=""),"",F129-F128)</x:f>
        <x:v>-0.004132156206685167</x:v>
      </x:c>
      <x:c r="H129" s="55" t="n">
        <x:f>'Datos_fuente'!H129</x:f>
        <x:v>5.970645161</x:v>
      </x:c>
      <x:c r="I129" s="55" t="n">
        <x:f>IF(OR(H129="",H128=""),"",H129-H128)</x:f>
        <x:v>0.28167964400000045</x:v>
      </x:c>
      <x:c r="J129" s="55" t="n">
        <x:f>'Datos_fuente'!J129</x:f>
        <x:v>3.253348464</x:v>
      </x:c>
      <x:c r="K129" s="55" t="n">
        <x:f>IF(OR(J129="",J128=""),"",J129-J128)</x:f>
        <x:v>-0.16093385299999996</x:v>
      </x:c>
      <x:c r="L129" s="87" t="n">
        <x:f>IF('Datos_fuente'!K129="","",LN('Datos_fuente'!K129))</x:f>
        <x:v>4.717546554592596</x:v>
      </x:c>
      <x:c r="M129" s="87" t="n">
        <x:f>IF(OR(L129="",L128=""),"",L129-L128)</x:f>
        <x:v>-0.021120204663830577</x:v>
      </x:c>
      <x:c r="N129" s="87" t="n">
        <x:f>IF('Datos_fuente'!L129="","",LN('Datos_fuente'!L129))</x:f>
        <x:v>2.7631121428424184</x:v>
      </x:c>
      <x:c r="O129" s="87" t="n">
        <x:f>IF(OR(N129="",N128=""),"",N129-N128)</x:f>
        <x:v>-0.3511584366351048</x:v>
      </x:c>
      <x:c r="P129" s="82" t="n">
        <x:f>'Datos_fuente'!N129</x:f>
        <x:v>0</x:v>
      </x:c>
      <x:c r="Q129" s="1"/>
      <x:c r="R129" s="1"/>
      <x:c r="S129" s="1"/>
      <x:c r="T129" s="1"/>
      <x:c r="U129" s="1"/>
      <x:c r="V129" s="1"/>
      <x:c r="W129" s="1"/>
      <x:c r="X129" s="1"/>
      <x:c r="Y129" s="1"/>
      <x:c r="Z129" s="1"/>
    </x:row>
    <x:row r="130">
      <x:c r="A130" s="1" t="str">
        <x:f>'Datos_fuente'!A130</x:f>
        <x:v>2016-04</x:v>
      </x:c>
      <x:c r="B130" s="87" t="n">
        <x:f>IF('Datos_fuente'!B130="","",LN('Datos_fuente'!B130))</x:f>
        <x:v>8.005609613809128</x:v>
      </x:c>
      <x:c r="C130" s="87" t="n">
        <x:f>IF(OR(B130="",B129=""),"",B130-B129)</x:f>
        <x:v>-0.042791704128717356</x:v>
      </x:c>
      <x:c r="D130" s="87" t="n">
        <x:f>IF('Datos_fuente'!C130="","",LN('Datos_fuente'!C130))</x:f>
        <x:v>3.727699445883358</x:v>
      </x:c>
      <x:c r="E130" s="87" t="n">
        <x:f>IF(OR(D130="",D129=""),"",D130-D129)</x:f>
        <x:v>0.0845902883948102</x:v>
      </x:c>
      <x:c r="F130" s="87" t="n">
        <x:f>IF('Datos_fuente'!E130="","",LN('Datos_fuente'!E130))</x:f>
        <x:v>8.543443614379953</x:v>
      </x:c>
      <x:c r="G130" s="87" t="n">
        <x:f>IF(OR(F130="",F129=""),"",F130-F129)</x:f>
        <x:v>0.009178972919377415</x:v>
      </x:c>
      <x:c r="H130" s="55" t="n">
        <x:f>'Datos_fuente'!H130</x:f>
        <x:v>6.13</x:v>
      </x:c>
      <x:c r="I130" s="55" t="n">
        <x:f>IF(OR(H130="",H129=""),"",H130-H129)</x:f>
        <x:v>0.1593548389999997</x:v>
      </x:c>
      <x:c r="J130" s="55" t="n">
        <x:f>'Datos_fuente'!J130</x:f>
        <x:v>3.567805895</x:v>
      </x:c>
      <x:c r="K130" s="55" t="n">
        <x:f>IF(OR(J130="",J129=""),"",J130-J129)</x:f>
        <x:v>0.3144574309999997</x:v>
      </x:c>
      <x:c r="L130" s="87" t="n">
        <x:f>IF('Datos_fuente'!K130="","",LN('Datos_fuente'!K130))</x:f>
        <x:v>4.7006355919260345</x:v>
      </x:c>
      <x:c r="M130" s="87" t="n">
        <x:f>IF(OR(L130="",L129=""),"",L130-L129)</x:f>
        <x:v>-0.01691096266656178</x:v>
      </x:c>
      <x:c r="N130" s="87" t="n">
        <x:f>IF('Datos_fuente'!L130="","",LN('Datos_fuente'!L130))</x:f>
        <x:v>2.6602928367114287</x:v>
      </x:c>
      <x:c r="O130" s="87" t="n">
        <x:f>IF(OR(N130="",N129=""),"",N130-N129)</x:f>
        <x:v>-0.10281930613098966</x:v>
      </x:c>
      <x:c r="P130" s="82" t="n">
        <x:f>'Datos_fuente'!N130</x:f>
        <x:v>0</x:v>
      </x:c>
      <x:c r="Q130" s="1"/>
      <x:c r="R130" s="1"/>
      <x:c r="S130" s="1"/>
      <x:c r="T130" s="1"/>
      <x:c r="U130" s="1"/>
      <x:c r="V130" s="1"/>
      <x:c r="W130" s="1"/>
      <x:c r="X130" s="1"/>
      <x:c r="Y130" s="1"/>
      <x:c r="Z130" s="1"/>
    </x:row>
    <x:row r="131">
      <x:c r="A131" s="1" t="str">
        <x:f>'Datos_fuente'!A131</x:f>
        <x:v>2016-05</x:v>
      </x:c>
      <x:c r="B131" s="87" t="n">
        <x:f>IF('Datos_fuente'!B131="","",LN('Datos_fuente'!B131))</x:f>
        <x:v>8.00420135209858</x:v>
      </x:c>
      <x:c r="C131" s="87" t="n">
        <x:f>IF(OR(B131="",B130=""),"",B131-B130)</x:f>
        <x:v>-0.0014082617105479756</x:v>
      </x:c>
      <x:c r="D131" s="87" t="n">
        <x:f>IF('Datos_fuente'!C131="","",LN('Datos_fuente'!C131))</x:f>
        <x:v>3.844651268121386</x:v>
      </x:c>
      <x:c r="E131" s="87" t="n">
        <x:f>IF(OR(D131="",D130=""),"",D131-D130)</x:f>
        <x:v>0.11695182223802769</x:v>
      </x:c>
      <x:c r="F131" s="87" t="n">
        <x:f>IF('Datos_fuente'!E131="","",LN('Datos_fuente'!E131))</x:f>
        <x:v>8.557144406918464</x:v>
      </x:c>
      <x:c r="G131" s="87" t="n">
        <x:f>IF(OR(F131="",F130=""),"",F131-F130)</x:f>
        <x:v>0.013700792538511308</x:v>
      </x:c>
      <x:c r="H131" s="55" t="n">
        <x:f>'Datos_fuente'!H131</x:f>
        <x:v>6.621935484</x:v>
      </x:c>
      <x:c r="I131" s="55" t="n">
        <x:f>IF(OR(H131="",H130=""),"",H131-H130)</x:f>
        <x:v>0.49193548399999987</x:v>
      </x:c>
      <x:c r="J131" s="55" t="n">
        <x:f>'Datos_fuente'!J131</x:f>
        <x:v>3.634494068</x:v>
      </x:c>
      <x:c r="K131" s="55" t="n">
        <x:f>IF(OR(J131="",J130=""),"",J131-J130)</x:f>
        <x:v>0.06668817300000018</x:v>
      </x:c>
      <x:c r="L131" s="87" t="n">
        <x:f>IF('Datos_fuente'!K131="","",LN('Datos_fuente'!K131))</x:f>
        <x:v>4.7107952953379195</x:v>
      </x:c>
      <x:c r="M131" s="87" t="n">
        <x:f>IF(OR(L131="",L130=""),"",L131-L130)</x:f>
        <x:v>0.01015970341188499</x:v>
      </x:c>
      <x:c r="N131" s="87" t="n">
        <x:f>IF('Datos_fuente'!L131="","",LN('Datos_fuente'!L131))</x:f>
        <x:v>2.6981922467422024</x:v>
      </x:c>
      <x:c r="O131" s="87" t="n">
        <x:f>IF(OR(N131="",N130=""),"",N131-N130)</x:f>
        <x:v>0.037899410030773684</x:v>
      </x:c>
      <x:c r="P131" s="82" t="n">
        <x:f>'Datos_fuente'!N131</x:f>
        <x:v>0</x:v>
      </x:c>
      <x:c r="Q131" s="1"/>
      <x:c r="R131" s="1"/>
      <x:c r="S131" s="1"/>
      <x:c r="T131" s="1"/>
      <x:c r="U131" s="1"/>
      <x:c r="V131" s="1"/>
      <x:c r="W131" s="1"/>
      <x:c r="X131" s="1"/>
      <x:c r="Y131" s="1"/>
      <x:c r="Z131" s="1"/>
    </x:row>
    <x:row r="132">
      <x:c r="A132" s="1" t="str">
        <x:f>'Datos_fuente'!A132</x:f>
        <x:v>2016-06</x:v>
      </x:c>
      <x:c r="B132" s="87" t="n">
        <x:f>IF('Datos_fuente'!B132="","",LN('Datos_fuente'!B132))</x:f>
        <x:v>8.003984285554983</x:v>
      </x:c>
      <x:c r="C132" s="87" t="n">
        <x:f>IF(OR(B132="",B131=""),"",B132-B131)</x:f>
        <x:v>-0.00021706654359654465</x:v>
      </x:c>
      <x:c r="D132" s="87" t="n">
        <x:f>IF('Datos_fuente'!C132="","",LN('Datos_fuente'!C132))</x:f>
        <x:v>3.876339302456899</x:v>
      </x:c>
      <x:c r="E132" s="87" t="n">
        <x:f>IF(OR(D132="",D131=""),"",D132-D131)</x:f>
        <x:v>0.03168803433551304</x:v>
      </x:c>
      <x:c r="F132" s="87" t="n">
        <x:f>IF('Datos_fuente'!E132="","",LN('Datos_fuente'!E132))</x:f>
        <x:v>8.558550082853627</x:v>
      </x:c>
      <x:c r="G132" s="87" t="n">
        <x:f>IF(OR(F132="",F131=""),"",F132-F131)</x:f>
        <x:v>0.001405675935162165</x:v>
      </x:c>
      <x:c r="H132" s="55" t="n">
        <x:f>'Datos_fuente'!H132</x:f>
        <x:v>6.936666667</x:v>
      </x:c>
      <x:c r="I132" s="55" t="n">
        <x:f>IF(OR(H132="",H131=""),"",H132-H131)</x:f>
        <x:v>0.31473118300000014</x:v>
      </x:c>
      <x:c r="J132" s="55" t="n">
        <x:f>'Datos_fuente'!J132</x:f>
        <x:v>3.589465567</x:v>
      </x:c>
      <x:c r="K132" s="55" t="n">
        <x:f>IF(OR(J132="",J131=""),"",J132-J131)</x:f>
        <x:v>-0.045028501</x:v>
      </x:c>
      <x:c r="L132" s="87" t="n">
        <x:f>IF('Datos_fuente'!K132="","",LN('Datos_fuente'!K132))</x:f>
        <x:v>4.7145592219505525</x:v>
      </x:c>
      <x:c r="M132" s="87" t="n">
        <x:f>IF(OR(L132="",L131=""),"",L132-L131)</x:f>
        <x:v>0.0037639266126330284</x:v>
      </x:c>
      <x:c r="N132" s="87" t="n">
        <x:f>IF('Datos_fuente'!L132="","",LN('Datos_fuente'!L132))</x:f>
        <x:v>2.877767402929132</x:v>
      </x:c>
      <x:c r="O132" s="87" t="n">
        <x:f>IF(OR(N132="",N131=""),"",N132-N131)</x:f>
        <x:v>0.17957515618692943</x:v>
      </x:c>
      <x:c r="P132" s="82" t="n">
        <x:f>'Datos_fuente'!N132</x:f>
        <x:v>0</x:v>
      </x:c>
      <x:c r="Q132" s="1"/>
      <x:c r="R132" s="1"/>
      <x:c r="S132" s="1"/>
      <x:c r="T132" s="1"/>
      <x:c r="U132" s="1"/>
      <x:c r="V132" s="1"/>
      <x:c r="W132" s="1"/>
      <x:c r="X132" s="1"/>
      <x:c r="Y132" s="1"/>
      <x:c r="Z132" s="1"/>
    </x:row>
    <x:row r="133">
      <x:c r="A133" s="1" t="str">
        <x:f>'Datos_fuente'!A133</x:f>
        <x:v>2016-07</x:v>
      </x:c>
      <x:c r="B133" s="87" t="n">
        <x:f>IF('Datos_fuente'!B133="","",LN('Datos_fuente'!B133))</x:f>
        <x:v>7.993282219016817</x:v>
      </x:c>
      <x:c r="C133" s="87" t="n">
        <x:f>IF(OR(B133="",B132=""),"",B133-B132)</x:f>
        <x:v>-0.0107020665381663</x:v>
      </x:c>
      <x:c r="D133" s="87" t="n">
        <x:f>IF('Datos_fuente'!C133="","",LN('Datos_fuente'!C133))</x:f>
        <x:v>3.8055931351032566</x:v>
      </x:c>
      <x:c r="E133" s="87" t="n">
        <x:f>IF(OR(D133="",D132=""),"",D133-D132)</x:f>
        <x:v>-0.07074616735364225</x:v>
      </x:c>
      <x:c r="F133" s="87" t="n">
        <x:f>IF('Datos_fuente'!E133="","",LN('Datos_fuente'!E133))</x:f>
        <x:v>8.547146090748603</x:v>
      </x:c>
      <x:c r="G133" s="87" t="n">
        <x:f>IF(OR(F133="",F132=""),"",F133-F132)</x:f>
        <x:v>-0.01140399210502352</x:v>
      </x:c>
      <x:c r="H133" s="55" t="n">
        <x:f>'Datos_fuente'!H133</x:f>
        <x:v>7.11</x:v>
      </x:c>
      <x:c r="I133" s="55" t="n">
        <x:f>IF(OR(H133="",H132=""),"",H133-H132)</x:f>
        <x:v>0.17333333300000042</x:v>
      </x:c>
      <x:c r="J133" s="55" t="n">
        <x:f>'Datos_fuente'!J133</x:f>
        <x:v>3.980406075</x:v>
      </x:c>
      <x:c r="K133" s="55" t="n">
        <x:f>IF(OR(J133="",J132=""),"",J133-J132)</x:f>
        <x:v>0.3909405079999999</x:v>
      </x:c>
      <x:c r="L133" s="87" t="n">
        <x:f>IF('Datos_fuente'!K133="","",LN('Datos_fuente'!K133))</x:f>
        <x:v>4.72275133459999</x:v>
      </x:c>
      <x:c r="M133" s="87" t="n">
        <x:f>IF(OR(L133="",L132=""),"",L133-L132)</x:f>
        <x:v>0.008192112649437533</x:v>
      </x:c>
      <x:c r="N133" s="87" t="n">
        <x:f>IF('Datos_fuente'!L133="","",LN('Datos_fuente'!L133))</x:f>
        <x:v>2.5770679376378385</x:v>
      </x:c>
      <x:c r="O133" s="87" t="n">
        <x:f>IF(OR(N133="",N132=""),"",N133-N132)</x:f>
        <x:v>-0.3006994652912933</x:v>
      </x:c>
      <x:c r="P133" s="82" t="n">
        <x:f>'Datos_fuente'!N133</x:f>
        <x:v>0</x:v>
      </x:c>
      <x:c r="Q133" s="1"/>
      <x:c r="R133" s="1"/>
      <x:c r="S133" s="1"/>
      <x:c r="T133" s="1"/>
      <x:c r="U133" s="1"/>
      <x:c r="V133" s="1"/>
      <x:c r="W133" s="1"/>
      <x:c r="X133" s="1"/>
      <x:c r="Y133" s="1"/>
      <x:c r="Z133" s="1"/>
    </x:row>
    <x:row r="134">
      <x:c r="A134" s="1" t="str">
        <x:f>'Datos_fuente'!A134</x:f>
        <x:v>2016-08</x:v>
      </x:c>
      <x:c r="B134" s="87" t="n">
        <x:f>IF('Datos_fuente'!B134="","",LN('Datos_fuente'!B134))</x:f>
        <x:v>7.990497899281849</x:v>
      </x:c>
      <x:c r="C134" s="87" t="n">
        <x:f>IF(OR(B134="",B133=""),"",B134-B133)</x:f>
        <x:v>-0.002784319734967511</x:v>
      </x:c>
      <x:c r="D134" s="87" t="n">
        <x:f>IF('Datos_fuente'!C134="","",LN('Datos_fuente'!C134))</x:f>
        <x:v>3.8252234637452878</x:v>
      </x:c>
      <x:c r="E134" s="87" t="n">
        <x:f>IF(OR(D134="",D133=""),"",D134-D133)</x:f>
        <x:v>0.01963032864203118</x:v>
      </x:c>
      <x:c r="F134" s="87" t="n">
        <x:f>IF('Datos_fuente'!E134="","",LN('Datos_fuente'!E134))</x:f>
        <x:v>8.53760151759275</x:v>
      </x:c>
      <x:c r="G134" s="87" t="n">
        <x:f>IF(OR(F134="",F133=""),"",F134-F133)</x:f>
        <x:v>-0.009544573155853442</x:v>
      </x:c>
      <x:c r="H134" s="55" t="n">
        <x:f>'Datos_fuente'!H134</x:f>
        <x:v>7.35</x:v>
      </x:c>
      <x:c r="I134" s="55" t="n">
        <x:f>IF(OR(H134="",H133=""),"",H134-H133)</x:f>
        <x:v>0.23999999999999932</x:v>
      </x:c>
      <x:c r="J134" s="55" t="n">
        <x:f>'Datos_fuente'!J134</x:f>
        <x:v>4.258203268</x:v>
      </x:c>
      <x:c r="K134" s="55" t="n">
        <x:f>IF(OR(J134="",J133=""),"",J134-J133)</x:f>
        <x:v>0.27779719300000005</x:v>
      </x:c>
      <x:c r="L134" s="87" t="n">
        <x:f>IF('Datos_fuente'!K134="","",LN('Datos_fuente'!K134))</x:f>
        <x:v>4.7134716990701975</x:v>
      </x:c>
      <x:c r="M134" s="87" t="n">
        <x:f>IF(OR(L134="",L133=""),"",L134-L133)</x:f>
        <x:v>-0.009279635529792607</x:v>
      </x:c>
      <x:c r="N134" s="87" t="n">
        <x:f>IF('Datos_fuente'!L134="","",LN('Datos_fuente'!L134))</x:f>
        <x:v>2.5176614090930474</x:v>
      </x:c>
      <x:c r="O134" s="87" t="n">
        <x:f>IF(OR(N134="",N133=""),"",N134-N133)</x:f>
        <x:v>-0.059406528544791115</x:v>
      </x:c>
      <x:c r="P134" s="82" t="n">
        <x:f>'Datos_fuente'!N134</x:f>
        <x:v>0</x:v>
      </x:c>
      <x:c r="Q134" s="1"/>
      <x:c r="R134" s="1"/>
      <x:c r="S134" s="1"/>
      <x:c r="T134" s="1"/>
      <x:c r="U134" s="1"/>
      <x:c r="V134" s="1"/>
      <x:c r="W134" s="1"/>
      <x:c r="X134" s="1"/>
      <x:c r="Y134" s="1"/>
      <x:c r="Z134" s="1"/>
    </x:row>
    <x:row r="135">
      <x:c r="A135" s="1" t="str">
        <x:f>'Datos_fuente'!A135</x:f>
        <x:v>2016-09</x:v>
      </x:c>
      <x:c r="B135" s="87" t="n">
        <x:f>IF('Datos_fuente'!B135="","",LN('Datos_fuente'!B135))</x:f>
        <x:v>7.980798559912812</x:v>
      </x:c>
      <x:c r="C135" s="87" t="n">
        <x:f>IF(OR(B135="",B134=""),"",B135-B134)</x:f>
        <x:v>-0.009699339369037219</x:v>
      </x:c>
      <x:c r="D135" s="87" t="n">
        <x:f>IF('Datos_fuente'!C135="","",LN('Datos_fuente'!C135))</x:f>
        <x:v>3.84090775335548</x:v>
      </x:c>
      <x:c r="E135" s="87" t="n">
        <x:f>IF(OR(D135="",D134=""),"",D135-D134)</x:f>
        <x:v>0.01568428961019208</x:v>
      </x:c>
      <x:c r="F135" s="87" t="n">
        <x:f>IF('Datos_fuente'!E135="","",LN('Datos_fuente'!E135))</x:f>
        <x:v>8.530024516731402</x:v>
      </x:c>
      <x:c r="G135" s="87" t="n">
        <x:f>IF(OR(F135="",F134=""),"",F135-F134)</x:f>
        <x:v>-0.007577000861347827</x:v>
      </x:c>
      <x:c r="H135" s="55" t="n">
        <x:f>'Datos_fuente'!H135</x:f>
        <x:v>7.35</x:v>
      </x:c>
      <x:c r="I135" s="55" t="n">
        <x:f>IF(OR(H135="",H134=""),"",H135-H134)</x:f>
        <x:v>0</x:v>
      </x:c>
      <x:c r="J135" s="55" t="n">
        <x:f>'Datos_fuente'!J135</x:f>
        <x:v>4.409383572</x:v>
      </x:c>
      <x:c r="K135" s="55" t="n">
        <x:f>IF(OR(J135="",J134=""),"",J135-J134)</x:f>
        <x:v>0.15118030400000038</x:v>
      </x:c>
      <x:c r="L135" s="87" t="n">
        <x:f>IF('Datos_fuente'!K135="","",LN('Datos_fuente'!K135))</x:f>
        <x:v>4.7213240009627</x:v>
      </x:c>
      <x:c r="M135" s="87" t="n">
        <x:f>IF(OR(L135="",L134=""),"",L135-L134)</x:f>
        <x:v>0.007852301892502744</x:v>
      </x:c>
      <x:c r="N135" s="87" t="n">
        <x:f>IF('Datos_fuente'!L135="","",LN('Datos_fuente'!L135))</x:f>
        <x:v>2.654615936472609</x:v>
      </x:c>
      <x:c r="O135" s="87" t="n">
        <x:f>IF(OR(N135="",N134=""),"",N135-N134)</x:f>
        <x:v>0.1369545273795616</x:v>
      </x:c>
      <x:c r="P135" s="82" t="n">
        <x:f>'Datos_fuente'!N135</x:f>
        <x:v>0</x:v>
      </x:c>
      <x:c r="Q135" s="1"/>
      <x:c r="R135" s="1"/>
      <x:c r="S135" s="1"/>
      <x:c r="T135" s="1"/>
      <x:c r="U135" s="1"/>
      <x:c r="V135" s="1"/>
      <x:c r="W135" s="1"/>
      <x:c r="X135" s="1"/>
      <x:c r="Y135" s="1"/>
      <x:c r="Z135" s="1"/>
    </x:row>
    <x:row r="136">
      <x:c r="A136" s="1" t="str">
        <x:f>'Datos_fuente'!A136</x:f>
        <x:v>2016-10</x:v>
      </x:c>
      <x:c r="B136" s="87" t="n">
        <x:f>IF('Datos_fuente'!B136="","",LN('Datos_fuente'!B136))</x:f>
        <x:v>7.982549048845238</x:v>
      </x:c>
      <x:c r="C136" s="87" t="n">
        <x:f>IF(OR(B136="",B135=""),"",B136-B135)</x:f>
        <x:v>0.0017504889324255757</x:v>
      </x:c>
      <x:c r="D136" s="87" t="n">
        <x:f>IF('Datos_fuente'!C136="","",LN('Datos_fuente'!C136))</x:f>
        <x:v>3.9024247077940126</x:v>
      </x:c>
      <x:c r="E136" s="87" t="n">
        <x:f>IF(OR(D136="",D135=""),"",D136-D135)</x:f>
        <x:v>0.06151695443853278</x:v>
      </x:c>
      <x:c r="F136" s="87" t="n">
        <x:f>IF('Datos_fuente'!E136="","",LN('Datos_fuente'!E136))</x:f>
        <x:v>8.536654584027895</x:v>
      </x:c>
      <x:c r="G136" s="87" t="n">
        <x:f>IF(OR(F136="",F135=""),"",F136-F135)</x:f>
        <x:v>0.006630067296493181</x:v>
      </x:c>
      <x:c r="H136" s="55" t="n">
        <x:f>'Datos_fuente'!H136</x:f>
        <x:v>7.35</x:v>
      </x:c>
      <x:c r="I136" s="55" t="n">
        <x:f>IF(OR(H136="",H135=""),"",H136-H135)</x:f>
        <x:v>0</x:v>
      </x:c>
      <x:c r="J136" s="55" t="n">
        <x:f>'Datos_fuente'!J136</x:f>
        <x:v>4.517448165</x:v>
      </x:c>
      <x:c r="K136" s="55" t="n">
        <x:f>IF(OR(J136="",J135=""),"",J136-J135)</x:f>
        <x:v>0.10806459299999993</x:v>
      </x:c>
      <x:c r="L136" s="87" t="n">
        <x:f>IF('Datos_fuente'!K136="","",LN('Datos_fuente'!K136))</x:f>
        <x:v>4.731579860522217</x:v>
      </x:c>
      <x:c r="M136" s="87" t="n">
        <x:f>IF(OR(L136="",L135=""),"",L136-L135)</x:f>
        <x:v>0.0102558595595168</x:v>
      </x:c>
      <x:c r="N136" s="87" t="n">
        <x:f>IF('Datos_fuente'!L136="","",LN('Datos_fuente'!L136))</x:f>
        <x:v>2.680009928177863</x:v>
      </x:c>
      <x:c r="O136" s="87" t="n">
        <x:f>IF(OR(N136="",N135=""),"",N136-N135)</x:f>
        <x:v>0.025393991705254138</x:v>
      </x:c>
      <x:c r="P136" s="82" t="n">
        <x:f>'Datos_fuente'!N136</x:f>
        <x:v>0</x:v>
      </x:c>
      <x:c r="Q136" s="1"/>
      <x:c r="R136" s="1"/>
      <x:c r="S136" s="1"/>
      <x:c r="T136" s="1"/>
      <x:c r="U136" s="1"/>
      <x:c r="V136" s="1"/>
      <x:c r="W136" s="1"/>
      <x:c r="X136" s="1"/>
      <x:c r="Y136" s="1"/>
      <x:c r="Z136" s="1"/>
    </x:row>
    <x:row r="137">
      <x:c r="A137" s="1" t="str">
        <x:f>'Datos_fuente'!A137</x:f>
        <x:v>2016-11</x:v>
      </x:c>
      <x:c r="B137" s="87" t="n">
        <x:f>IF('Datos_fuente'!B137="","",LN('Datos_fuente'!B137))</x:f>
        <x:v>8.042461174383435</x:v>
      </x:c>
      <x:c r="C137" s="87" t="n">
        <x:f>IF(OR(B137="",B136=""),"",B137-B136)</x:f>
        <x:v>0.05991212553819736</x:v>
      </x:c>
      <x:c r="D137" s="87" t="n">
        <x:f>IF('Datos_fuente'!C137="","",LN('Datos_fuente'!C137))</x:f>
        <x:v>3.8007358711210024</x:v>
      </x:c>
      <x:c r="E137" s="87" t="n">
        <x:f>IF(OR(D137="",D136=""),"",D137-D136)</x:f>
        <x:v>-0.10168883667301021</x:v>
      </x:c>
      <x:c r="F137" s="87" t="n">
        <x:f>IF('Datos_fuente'!E137="","",LN('Datos_fuente'!E137))</x:f>
        <x:v>8.552091113216973</x:v>
      </x:c>
      <x:c r="G137" s="87" t="n">
        <x:f>IF(OR(F137="",F136=""),"",F137-F136)</x:f>
        <x:v>0.015436529189077675</x:v>
      </x:c>
      <x:c r="H137" s="55" t="n">
        <x:f>'Datos_fuente'!H137</x:f>
        <x:v>7.34</x:v>
      </x:c>
      <x:c r="I137" s="55" t="n">
        <x:f>IF(OR(H137="",H136=""),"",H137-H136)</x:f>
        <x:v>-0.009999999999999787</x:v>
      </x:c>
      <x:c r="J137" s="55" t="n">
        <x:f>'Datos_fuente'!J137</x:f>
        <x:v>4.757673775</x:v>
      </x:c>
      <x:c r="K137" s="55" t="n">
        <x:f>IF(OR(J137="",J136=""),"",J137-J136)</x:f>
        <x:v>0.24022560999999953</x:v>
      </x:c>
      <x:c r="L137" s="87" t="n">
        <x:f>IF('Datos_fuente'!K137="","",LN('Datos_fuente'!K137))</x:f>
        <x:v>4.754516615291205</x:v>
      </x:c>
      <x:c r="M137" s="87" t="n">
        <x:f>IF(OR(L137="",L136=""),"",L137-L136)</x:f>
        <x:v>0.022936754768988266</x:v>
      </x:c>
      <x:c r="N137" s="87" t="n">
        <x:f>IF('Datos_fuente'!L137="","",LN('Datos_fuente'!L137))</x:f>
        <x:v>2.7236735505072294</x:v>
      </x:c>
      <x:c r="O137" s="87" t="n">
        <x:f>IF(OR(N137="",N136=""),"",N137-N136)</x:f>
        <x:v>0.04366362232936627</x:v>
      </x:c>
      <x:c r="P137" s="82" t="n">
        <x:f>'Datos_fuente'!N137</x:f>
        <x:v>0</x:v>
      </x:c>
      <x:c r="Q137" s="1"/>
      <x:c r="R137" s="1"/>
      <x:c r="S137" s="1"/>
      <x:c r="T137" s="1"/>
      <x:c r="U137" s="1"/>
      <x:c r="V137" s="1"/>
      <x:c r="W137" s="1"/>
      <x:c r="X137" s="1"/>
      <x:c r="Y137" s="1"/>
      <x:c r="Z137" s="1"/>
    </x:row>
    <x:row r="138">
      <x:c r="A138" s="1" t="str">
        <x:f>'Datos_fuente'!A138</x:f>
        <x:v>2016-12</x:v>
      </x:c>
      <x:c r="B138" s="87" t="n">
        <x:f>IF('Datos_fuente'!B138="","",LN('Datos_fuente'!B138))</x:f>
        <x:v>8.00965013113882</x:v>
      </x:c>
      <x:c r="C138" s="87" t="n">
        <x:f>IF(OR(B138="",B137=""),"",B138-B137)</x:f>
        <x:v>-0.03281104324461559</x:v>
      </x:c>
      <x:c r="D138" s="87" t="n">
        <x:f>IF('Datos_fuente'!C138="","",LN('Datos_fuente'!C138))</x:f>
        <x:v>3.976095793128735</x:v>
      </x:c>
      <x:c r="E138" s="87" t="n">
        <x:f>IF(OR(D138="",D137=""),"",D138-D137)</x:f>
        <x:v>0.17535992200773265</x:v>
      </x:c>
      <x:c r="F138" s="87" t="n">
        <x:f>IF('Datos_fuente'!E138="","",LN('Datos_fuente'!E138))</x:f>
        <x:v>8.546260610813082</x:v>
      </x:c>
      <x:c r="G138" s="87" t="n">
        <x:f>IF(OR(F138="",F137=""),"",F138-F137)</x:f>
        <x:v>-0.005830502403890492</x:v>
      </x:c>
      <x:c r="H138" s="55" t="n">
        <x:f>'Datos_fuente'!H138</x:f>
        <x:v>7.10516129</x:v>
      </x:c>
      <x:c r="I138" s="55" t="n">
        <x:f>IF(OR(H138="",H137=""),"",H138-H137)</x:f>
        <x:v>-0.23483871</x:v>
      </x:c>
      <x:c r="J138" s="55" t="n">
        <x:f>'Datos_fuente'!J138</x:f>
        <x:v>4.043303494</x:v>
      </x:c>
      <x:c r="K138" s="55" t="n">
        <x:f>IF(OR(J138="",J137=""),"",J138-J137)</x:f>
        <x:v>-0.7143702809999999</x:v>
      </x:c>
      <x:c r="L138" s="87" t="n">
        <x:f>IF('Datos_fuente'!K138="","",LN('Datos_fuente'!K138))</x:f>
        <x:v>4.76987776175134</x:v>
      </x:c>
      <x:c r="M138" s="87" t="n">
        <x:f>IF(OR(L138="",L137=""),"",L138-L137)</x:f>
        <x:v>0.015361146460135089</x:v>
      </x:c>
      <x:c r="N138" s="87" t="n">
        <x:f>IF('Datos_fuente'!L138="","",LN('Datos_fuente'!L138))</x:f>
        <x:v>2.5235166757085037</x:v>
      </x:c>
      <x:c r="O138" s="87" t="n">
        <x:f>IF(OR(N138="",N137=""),"",N138-N137)</x:f>
        <x:v>-0.20015687479872568</x:v>
      </x:c>
      <x:c r="P138" s="82" t="n">
        <x:f>'Datos_fuente'!N138</x:f>
        <x:v>0</x:v>
      </x:c>
      <x:c r="Q138" s="1"/>
      <x:c r="R138" s="1"/>
      <x:c r="S138" s="1"/>
      <x:c r="T138" s="1"/>
      <x:c r="U138" s="1"/>
      <x:c r="V138" s="1"/>
      <x:c r="W138" s="1"/>
      <x:c r="X138" s="1"/>
      <x:c r="Y138" s="1"/>
      <x:c r="Z138" s="1"/>
    </x:row>
    <x:row r="139">
      <x:c r="A139" s="1" t="str">
        <x:f>'Datos_fuente'!A139</x:f>
        <x:v>2017-01</x:v>
      </x:c>
      <x:c r="B139" s="87" t="n">
        <x:f>IF('Datos_fuente'!B139="","",LN('Datos_fuente'!B139))</x:f>
        <x:v>7.986640718182855</x:v>
      </x:c>
      <x:c r="C139" s="87" t="n">
        <x:f>IF(OR(B139="",B138=""),"",B139-B138)</x:f>
        <x:v>-0.023009412955964592</x:v>
      </x:c>
      <x:c r="D139" s="87" t="n">
        <x:f>IF('Datos_fuente'!C139="","",LN('Datos_fuente'!C139))</x:f>
        <x:v>3.9996064410443672</x:v>
      </x:c>
      <x:c r="E139" s="87" t="n">
        <x:f>IF(OR(D139="",D138=""),"",D139-D138)</x:f>
        <x:v>0.023510647915632177</x:v>
      </x:c>
      <x:c r="F139" s="87" t="n">
        <x:f>IF('Datos_fuente'!E139="","",LN('Datos_fuente'!E139))</x:f>
        <x:v>8.551534712957649</x:v>
      </x:c>
      <x:c r="G139" s="87" t="n">
        <x:f>IF(OR(F139="",F138=""),"",F139-F138)</x:f>
        <x:v>0.005274102144566584</x:v>
      </x:c>
      <x:c r="H139" s="55" t="n">
        <x:f>'Datos_fuente'!H139</x:f>
        <x:v>6.85</x:v>
      </x:c>
      <x:c r="I139" s="55" t="n">
        <x:f>IF(OR(H139="",H138=""),"",H139-H138)</x:f>
        <x:v>-0.2551612900000002</x:v>
      </x:c>
      <x:c r="J139" s="55" t="n">
        <x:f>'Datos_fuente'!J139</x:f>
        <x:v>3.99186059</x:v>
      </x:c>
      <x:c r="K139" s="55" t="n">
        <x:f>IF(OR(J139="",J138=""),"",J139-J138)</x:f>
        <x:v>-0.051442903999999956</x:v>
      </x:c>
      <x:c r="L139" s="87" t="n">
        <x:f>IF('Datos_fuente'!K139="","",LN('Datos_fuente'!K139))</x:f>
        <x:v>4.768867541519084</x:v>
      </x:c>
      <x:c r="M139" s="87" t="n">
        <x:f>IF(OR(L139="",L138=""),"",L139-L138)</x:f>
        <x:v>-0.001010220232256387</x:v>
      </x:c>
      <x:c r="N139" s="87" t="n">
        <x:f>IF('Datos_fuente'!L139="","",LN('Datos_fuente'!L139))</x:f>
        <x:v>2.4517375883964863</x:v>
      </x:c>
      <x:c r="O139" s="87" t="n">
        <x:f>IF(OR(N139="",N138=""),"",N139-N138)</x:f>
        <x:v>-0.07177908731201743</x:v>
      </x:c>
      <x:c r="P139" s="82" t="n">
        <x:f>'Datos_fuente'!N139</x:f>
        <x:v>0</x:v>
      </x:c>
      <x:c r="Q139" s="1"/>
      <x:c r="R139" s="1"/>
      <x:c r="S139" s="1"/>
      <x:c r="T139" s="1"/>
      <x:c r="U139" s="1"/>
      <x:c r="V139" s="1"/>
      <x:c r="W139" s="1"/>
      <x:c r="X139" s="1"/>
      <x:c r="Y139" s="1"/>
      <x:c r="Z139" s="1"/>
    </x:row>
    <x:row r="140">
      <x:c r="A140" s="1" t="str">
        <x:f>'Datos_fuente'!A140</x:f>
        <x:v>2017-02</x:v>
      </x:c>
      <x:c r="B140" s="87" t="n">
        <x:f>IF('Datos_fuente'!B140="","",LN('Datos_fuente'!B140))</x:f>
        <x:v>7.965395140287761</x:v>
      </x:c>
      <x:c r="C140" s="87" t="n">
        <x:f>IF(OR(B140="",B139=""),"",B140-B139)</x:f>
        <x:v>-0.02124557789509396</x:v>
      </x:c>
      <x:c r="D140" s="87" t="n">
        <x:f>IF('Datos_fuente'!C140="","",LN('Datos_fuente'!C140))</x:f>
        <x:v>4.004957638581762</x:v>
      </x:c>
      <x:c r="E140" s="87" t="n">
        <x:f>IF(OR(D140="",D139=""),"",D140-D139)</x:f>
        <x:v>0.0053511975373945475</x:v>
      </x:c>
      <x:c r="F140" s="87" t="n">
        <x:f>IF('Datos_fuente'!E140="","",LN('Datos_fuente'!E140))</x:f>
        <x:v>8.540157482049995</x:v>
      </x:c>
      <x:c r="G140" s="87" t="n">
        <x:f>IF(OR(F140="",F139=""),"",F140-F139)</x:f>
        <x:v>-0.011377230907653413</x:v>
      </x:c>
      <x:c r="H140" s="55" t="n">
        <x:f>'Datos_fuente'!H140</x:f>
        <x:v>6.822142857</x:v>
      </x:c>
      <x:c r="I140" s="55" t="n">
        <x:f>IF(OR(H140="",H139=""),"",H140-H139)</x:f>
        <x:v>-0.027857142999999418</x:v>
      </x:c>
      <x:c r="J140" s="55" t="n">
        <x:f>'Datos_fuente'!J140</x:f>
        <x:v>4.089234215</x:v>
      </x:c>
      <x:c r="K140" s="55" t="n">
        <x:f>IF(OR(J140="",J139=""),"",J140-J139)</x:f>
        <x:v>0.09737362500000035</x:v>
      </x:c>
      <x:c r="L140" s="87" t="n">
        <x:f>IF('Datos_fuente'!K140="","",LN('Datos_fuente'!K140))</x:f>
        <x:v>4.754627493439471</x:v>
      </x:c>
      <x:c r="M140" s="87" t="n">
        <x:f>IF(OR(L140="",L139=""),"",L140-L139)</x:f>
        <x:v>-0.01424004807961321</x:v>
      </x:c>
      <x:c r="N140" s="87" t="n">
        <x:f>IF('Datos_fuente'!L140="","",LN('Datos_fuente'!L140))</x:f>
        <x:v>2.4449979811142435</x:v>
      </x:c>
      <x:c r="O140" s="87" t="n">
        <x:f>IF(OR(N140="",N139=""),"",N140-N139)</x:f>
        <x:v>-0.0067396072822427655</x:v>
      </x:c>
      <x:c r="P140" s="82" t="n">
        <x:f>'Datos_fuente'!N140</x:f>
        <x:v>0</x:v>
      </x:c>
      <x:c r="Q140" s="1"/>
      <x:c r="R140" s="1"/>
      <x:c r="S140" s="1"/>
      <x:c r="T140" s="1"/>
      <x:c r="U140" s="1"/>
      <x:c r="V140" s="1"/>
      <x:c r="W140" s="1"/>
      <x:c r="X140" s="1"/>
      <x:c r="Y140" s="1"/>
      <x:c r="Z140" s="1"/>
    </x:row>
    <x:row r="141">
      <x:c r="A141" s="1" t="str">
        <x:f>'Datos_fuente'!A141</x:f>
        <x:v>2017-03</x:v>
      </x:c>
      <x:c r="B141" s="87" t="n">
        <x:f>IF('Datos_fuente'!B141="","",LN('Datos_fuente'!B141))</x:f>
        <x:v>7.986942153060408</x:v>
      </x:c>
      <x:c r="C141" s="87" t="n">
        <x:f>IF(OR(B141="",B140=""),"",B141-B140)</x:f>
        <x:v>0.021547012772646923</x:v>
      </x:c>
      <x:c r="D141" s="87" t="n">
        <x:f>IF('Datos_fuente'!C141="","",LN('Datos_fuente'!C141))</x:f>
        <x:v>3.9433109997161715</x:v>
      </x:c>
      <x:c r="E141" s="87" t="n">
        <x:f>IF(OR(D141="",D140=""),"",D141-D140)</x:f>
        <x:v>-0.0616466388655903</x:v>
      </x:c>
      <x:c r="F141" s="87" t="n">
        <x:f>IF('Datos_fuente'!E141="","",LN('Datos_fuente'!E141))</x:f>
        <x:v>8.552614387846715</x:v>
      </x:c>
      <x:c r="G141" s="87" t="n">
        <x:f>IF(OR(F141="",F140=""),"",F141-F140)</x:f>
        <x:v>0.012456905796719653</x:v>
      </x:c>
      <x:c r="H141" s="55" t="n">
        <x:f>'Datos_fuente'!H141</x:f>
        <x:v>6.419677419</x:v>
      </x:c>
      <x:c r="I141" s="55" t="n">
        <x:f>IF(OR(H141="",H140=""),"",H141-H140)</x:f>
        <x:v>-0.4024654380000001</x:v>
      </x:c>
      <x:c r="J141" s="55" t="n">
        <x:f>'Datos_fuente'!J141</x:f>
        <x:v>4.19787776</x:v>
      </x:c>
      <x:c r="K141" s="55" t="n">
        <x:f>IF(OR(J141="",J140=""),"",J141-J140)</x:f>
        <x:v>0.10864354499999962</x:v>
      </x:c>
      <x:c r="L141" s="87" t="n">
        <x:f>IF('Datos_fuente'!K141="","",LN('Datos_fuente'!K141))</x:f>
        <x:v>4.750618952033774</x:v>
      </x:c>
      <x:c r="M141" s="87" t="n">
        <x:f>IF(OR(L141="",L140=""),"",L141-L140)</x:f>
        <x:v>-0.004008541405696953</x:v>
      </x:c>
      <x:c r="N141" s="87" t="n">
        <x:f>IF('Datos_fuente'!L141="","",LN('Datos_fuente'!L141))</x:f>
        <x:v>2.476355701916579</x:v>
      </x:c>
      <x:c r="O141" s="87" t="n">
        <x:f>IF(OR(N141="",N140=""),"",N141-N140)</x:f>
        <x:v>0.031357720802335454</x:v>
      </x:c>
      <x:c r="P141" s="82" t="n">
        <x:f>'Datos_fuente'!N141</x:f>
        <x:v>0</x:v>
      </x:c>
      <x:c r="Q141" s="1"/>
      <x:c r="R141" s="1"/>
      <x:c r="S141" s="1"/>
      <x:c r="T141" s="1"/>
      <x:c r="U141" s="1"/>
      <x:c r="V141" s="1"/>
      <x:c r="W141" s="1"/>
      <x:c r="X141" s="1"/>
      <x:c r="Y141" s="1"/>
      <x:c r="Z141" s="1"/>
    </x:row>
    <x:row r="142">
      <x:c r="A142" s="1" t="str">
        <x:f>'Datos_fuente'!A142</x:f>
        <x:v>2017-04</x:v>
      </x:c>
      <x:c r="B142" s="87" t="n">
        <x:f>IF('Datos_fuente'!B142="","",LN('Datos_fuente'!B142))</x:f>
        <x:v>7.964788921316194</x:v>
      </x:c>
      <x:c r="C142" s="87" t="n">
        <x:f>IF(OR(B142="",B141=""),"",B142-B141)</x:f>
        <x:v>-0.022153231744213464</x:v>
      </x:c>
      <x:c r="D142" s="87" t="n">
        <x:f>IF('Datos_fuente'!C142="","",LN('Datos_fuente'!C142))</x:f>
        <x:v>3.957147310730539</x:v>
      </x:c>
      <x:c r="E142" s="87" t="n">
        <x:f>IF(OR(D142="",D141=""),"",D142-D141)</x:f>
        <x:v>0.013836311014367553</x:v>
      </x:c>
      <x:c r="F142" s="87" t="n">
        <x:f>IF('Datos_fuente'!E142="","",LN('Datos_fuente'!E142))</x:f>
        <x:v>8.552977236755009</x:v>
      </x:c>
      <x:c r="G142" s="87" t="n">
        <x:f>IF(OR(F142="",F141=""),"",F142-F141)</x:f>
        <x:v>0.00036284890829385574</x:v>
      </x:c>
      <x:c r="H142" s="55" t="n">
        <x:f>'Datos_fuente'!H142</x:f>
        <x:v>6.1</x:v>
      </x:c>
      <x:c r="I142" s="55" t="n">
        <x:f>IF(OR(H142="",H141=""),"",H142-H141)</x:f>
        <x:v>-0.31967741900000046</x:v>
      </x:c>
      <x:c r="J142" s="55" t="n">
        <x:f>'Datos_fuente'!J142</x:f>
        <x:v>3.973230938</x:v>
      </x:c>
      <x:c r="K142" s="55" t="n">
        <x:f>IF(OR(J142="",J141=""),"",J142-J141)</x:f>
        <x:v>-0.22464682199999997</x:v>
      </x:c>
      <x:c r="L142" s="87" t="n">
        <x:f>IF('Datos_fuente'!K142="","",LN('Datos_fuente'!K142))</x:f>
        <x:v>4.742928339509924</x:v>
      </x:c>
      <x:c r="M142" s="87" t="n">
        <x:f>IF(OR(L142="",L141=""),"",L142-L141)</x:f>
        <x:v>-0.007690612523849616</x:v>
      </x:c>
      <x:c r="N142" s="87" t="n">
        <x:f>IF('Datos_fuente'!L142="","",LN('Datos_fuente'!L142))</x:f>
        <x:v>2.575380592463746</x:v>
      </x:c>
      <x:c r="O142" s="87" t="n">
        <x:f>IF(OR(N142="",N141=""),"",N142-N141)</x:f>
        <x:v>0.09902489054716712</x:v>
      </x:c>
      <x:c r="P142" s="82" t="n">
        <x:f>'Datos_fuente'!N142</x:f>
        <x:v>0</x:v>
      </x:c>
      <x:c r="Q142" s="1"/>
      <x:c r="R142" s="1"/>
      <x:c r="S142" s="1"/>
      <x:c r="T142" s="1"/>
      <x:c r="U142" s="1"/>
      <x:c r="V142" s="1"/>
      <x:c r="W142" s="1"/>
      <x:c r="X142" s="1"/>
      <x:c r="Y142" s="1"/>
      <x:c r="Z142" s="1"/>
    </x:row>
    <x:row r="143">
      <x:c r="A143" s="1" t="str">
        <x:f>'Datos_fuente'!A143</x:f>
        <x:v>2017-05</x:v>
      </x:c>
      <x:c r="B143" s="87" t="n">
        <x:f>IF('Datos_fuente'!B143="","",LN('Datos_fuente'!B143))</x:f>
        <x:v>7.980575425990943</x:v>
      </x:c>
      <x:c r="C143" s="87" t="n">
        <x:f>IF(OR(B143="",B142=""),"",B143-B142)</x:f>
        <x:v>0.015786504674748514</x:v>
      </x:c>
      <x:c r="D143" s="87" t="n">
        <x:f>IF('Datos_fuente'!C143="","",LN('Datos_fuente'!C143))</x:f>
        <x:v>3.9185322093200545</x:v>
      </x:c>
      <x:c r="E143" s="87" t="n">
        <x:f>IF(OR(D143="",D142=""),"",D143-D142)</x:f>
        <x:v>-0.03861510141048452</x:v>
      </x:c>
      <x:c r="F143" s="87" t="n">
        <x:f>IF('Datos_fuente'!E143="","",LN('Datos_fuente'!E143))</x:f>
        <x:v>8.56555088112969</x:v>
      </x:c>
      <x:c r="G143" s="87" t="n">
        <x:f>IF(OR(F143="",F142=""),"",F143-F142)</x:f>
        <x:v>0.012573644374681336</x:v>
      </x:c>
      <x:c r="H143" s="55" t="n">
        <x:f>'Datos_fuente'!H143</x:f>
        <x:v>5.59</x:v>
      </x:c>
      <x:c r="I143" s="55" t="n">
        <x:f>IF(OR(H143="",H142=""),"",H143-H142)</x:f>
        <x:v>-0.5099999999999998</x:v>
      </x:c>
      <x:c r="J143" s="55" t="n">
        <x:f>'Datos_fuente'!J143</x:f>
        <x:v>4.011046289</x:v>
      </x:c>
      <x:c r="K143" s="55" t="n">
        <x:f>IF(OR(J143="",J142=""),"",J143-J142)</x:f>
        <x:v>0.03781535100000033</x:v>
      </x:c>
      <x:c r="L143" s="87" t="n">
        <x:f>IF('Datos_fuente'!K143="","",LN('Datos_fuente'!K143))</x:f>
        <x:v>4.738468954807795</x:v>
      </x:c>
      <x:c r="M143" s="87" t="n">
        <x:f>IF(OR(L143="",L142=""),"",L143-L142)</x:f>
        <x:v>-0.004459384702129476</x:v>
      </x:c>
      <x:c r="N143" s="87" t="n">
        <x:f>IF('Datos_fuente'!L143="","",LN('Datos_fuente'!L143))</x:f>
        <x:v>2.3852955679330474</x:v>
      </x:c>
      <x:c r="O143" s="87" t="n">
        <x:f>IF(OR(N143="",N142=""),"",N143-N142)</x:f>
        <x:v>-0.19008502453069864</x:v>
      </x:c>
      <x:c r="P143" s="82" t="n">
        <x:f>'Datos_fuente'!N143</x:f>
        <x:v>0</x:v>
      </x:c>
      <x:c r="Q143" s="1"/>
      <x:c r="R143" s="1"/>
      <x:c r="S143" s="1"/>
      <x:c r="T143" s="1"/>
      <x:c r="U143" s="1"/>
      <x:c r="V143" s="1"/>
      <x:c r="W143" s="1"/>
      <x:c r="X143" s="1"/>
      <x:c r="Y143" s="1"/>
      <x:c r="Z143" s="1"/>
    </x:row>
    <x:row r="144">
      <x:c r="A144" s="1" t="str">
        <x:f>'Datos_fuente'!A144</x:f>
        <x:v>2017-06</x:v>
      </x:c>
      <x:c r="B144" s="87" t="n">
        <x:f>IF('Datos_fuente'!B144="","",LN('Datos_fuente'!B144))</x:f>
        <x:v>7.991963773611367</x:v>
      </x:c>
      <x:c r="C144" s="87" t="n">
        <x:f>IF(OR(B144="",B143=""),"",B144-B143)</x:f>
        <x:v>0.011388347620424177</x:v>
      </x:c>
      <x:c r="D144" s="87" t="n">
        <x:f>IF('Datos_fuente'!C144="","",LN('Datos_fuente'!C144))</x:f>
        <x:v>3.836613487369369</x:v>
      </x:c>
      <x:c r="E144" s="87" t="n">
        <x:f>IF(OR(D144="",D143=""),"",D144-D143)</x:f>
        <x:v>-0.08191872195068539</x:v>
      </x:c>
      <x:c r="F144" s="87" t="n">
        <x:f>IF('Datos_fuente'!E144="","",LN('Datos_fuente'!E144))</x:f>
        <x:v>8.583508882451488</x:v>
      </x:c>
      <x:c r="G144" s="87" t="n">
        <x:f>IF(OR(F144="",F143=""),"",F144-F143)</x:f>
        <x:v>0.017958001321797923</x:v>
      </x:c>
      <x:c r="H144" s="55" t="n">
        <x:f>'Datos_fuente'!H144</x:f>
        <x:v>5.21</x:v>
      </x:c>
      <x:c r="I144" s="55" t="n">
        <x:f>IF(OR(H144="",H143=""),"",H144-H143)</x:f>
        <x:v>-0.3799999999999999</x:v>
      </x:c>
      <x:c r="J144" s="55" t="n">
        <x:f>'Datos_fuente'!J144</x:f>
        <x:v>4.214938459</x:v>
      </x:c>
      <x:c r="K144" s="55" t="n">
        <x:f>IF(OR(J144="",J143=""),"",J144-J143)</x:f>
        <x:v>0.2038921699999996</x:v>
      </x:c>
      <x:c r="L144" s="87" t="n">
        <x:f>IF('Datos_fuente'!K144="","",LN('Datos_fuente'!K144))</x:f>
        <x:v>4.725264084653771</x:v>
      </x:c>
      <x:c r="M144" s="87" t="n">
        <x:f>IF(OR(L144="",L143=""),"",L144-L143)</x:f>
        <x:v>-0.013204870154023496</x:v>
      </x:c>
      <x:c r="N144" s="87" t="n">
        <x:f>IF('Datos_fuente'!L144="","",LN('Datos_fuente'!L144))</x:f>
        <x:v>2.3526731155332063</x:v>
      </x:c>
      <x:c r="O144" s="87" t="n">
        <x:f>IF(OR(N144="",N143=""),"",N144-N143)</x:f>
        <x:v>-0.03262245239984107</x:v>
      </x:c>
      <x:c r="P144" s="82" t="n">
        <x:f>'Datos_fuente'!N144</x:f>
        <x:v>0</x:v>
      </x:c>
      <x:c r="Q144" s="1"/>
      <x:c r="R144" s="1"/>
      <x:c r="S144" s="1"/>
      <x:c r="T144" s="1"/>
      <x:c r="U144" s="1"/>
      <x:c r="V144" s="1"/>
      <x:c r="W144" s="1"/>
      <x:c r="X144" s="1"/>
      <x:c r="Y144" s="1"/>
      <x:c r="Z144" s="1"/>
    </x:row>
    <x:row r="145">
      <x:c r="A145" s="1" t="str">
        <x:f>'Datos_fuente'!A145</x:f>
        <x:v>2017-07</x:v>
      </x:c>
      <x:c r="B145" s="87" t="n">
        <x:f>IF('Datos_fuente'!B145="","",LN('Datos_fuente'!B145))</x:f>
        <x:v>8.018488435901347</x:v>
      </x:c>
      <x:c r="C145" s="87" t="n">
        <x:f>IF(OR(B145="",B144=""),"",B145-B144)</x:f>
        <x:v>0.026524662289979517</x:v>
      </x:c>
      <x:c r="D145" s="87" t="n">
        <x:f>IF('Datos_fuente'!C145="","",LN('Datos_fuente'!C145))</x:f>
        <x:v>3.8811218741239224</x:v>
      </x:c>
      <x:c r="E145" s="87" t="n">
        <x:f>IF(OR(D145="",D144=""),"",D145-D144)</x:f>
        <x:v>0.044508386754553264</x:v>
      </x:c>
      <x:c r="F145" s="87" t="n">
        <x:f>IF('Datos_fuente'!E145="","",LN('Datos_fuente'!E145))</x:f>
        <x:v>8.603873513613276</x:v>
      </x:c>
      <x:c r="G145" s="87" t="n">
        <x:f>IF(OR(F145="",F144=""),"",F145-F144)</x:f>
        <x:v>0.020364631161788438</x:v>
      </x:c>
      <x:c r="H145" s="55" t="n">
        <x:f>'Datos_fuente'!H145</x:f>
        <x:v>4.616129032</x:v>
      </x:c>
      <x:c r="I145" s="55" t="n">
        <x:f>IF(OR(H145="",H144=""),"",H145-H144)</x:f>
        <x:v>-0.593870968</x:v>
      </x:c>
      <x:c r="J145" s="55" t="n">
        <x:f>'Datos_fuente'!J145</x:f>
        <x:v>4.206137479</x:v>
      </x:c>
      <x:c r="K145" s="55" t="n">
        <x:f>IF(OR(J145="",J144=""),"",J145-J144)</x:f>
        <x:v>-0.00880098000000018</x:v>
      </x:c>
      <x:c r="L145" s="87" t="n">
        <x:f>IF('Datos_fuente'!K145="","",LN('Datos_fuente'!K145))</x:f>
        <x:v>4.710075593099732</x:v>
      </x:c>
      <x:c r="M145" s="87" t="n">
        <x:f>IF(OR(L145="",L144=""),"",L145-L144)</x:f>
        <x:v>-0.015188491554039452</x:v>
      </x:c>
      <x:c r="N145" s="87" t="n">
        <x:f>IF('Datos_fuente'!L145="","",LN('Datos_fuente'!L145))</x:f>
        <x:v>2.328691340078525</x:v>
      </x:c>
      <x:c r="O145" s="87" t="n">
        <x:f>IF(OR(N145="",N144=""),"",N145-N144)</x:f>
        <x:v>-0.023981775454681387</x:v>
      </x:c>
      <x:c r="P145" s="82" t="n">
        <x:f>'Datos_fuente'!N145</x:f>
        <x:v>0</x:v>
      </x:c>
      <x:c r="Q145" s="1"/>
      <x:c r="R145" s="1"/>
      <x:c r="S145" s="1"/>
      <x:c r="T145" s="1"/>
      <x:c r="U145" s="1"/>
      <x:c r="V145" s="1"/>
      <x:c r="W145" s="1"/>
      <x:c r="X145" s="1"/>
      <x:c r="Y145" s="1"/>
      <x:c r="Z145" s="1"/>
    </x:row>
    <x:row r="146">
      <x:c r="A146" s="1" t="str">
        <x:f>'Datos_fuente'!A146</x:f>
        <x:v>2017-08</x:v>
      </x:c>
      <x:c r="B146" s="87" t="n">
        <x:f>IF('Datos_fuente'!B146="","",LN('Datos_fuente'!B146))</x:f>
        <x:v>7.997395720389165</x:v>
      </x:c>
      <x:c r="C146" s="87" t="n">
        <x:f>IF(OR(B146="",B145=""),"",B146-B145)</x:f>
        <x:v>-0.021092715512181393</x:v>
      </x:c>
      <x:c r="D146" s="87" t="n">
        <x:f>IF('Datos_fuente'!C146="","",LN('Datos_fuente'!C146))</x:f>
        <x:v>3.9455418752704743</x:v>
      </x:c>
      <x:c r="E146" s="87" t="n">
        <x:f>IF(OR(D146="",D145=""),"",D146-D145)</x:f>
        <x:v>0.06442000114655189</x:v>
      </x:c>
      <x:c r="F146" s="87" t="n">
        <x:f>IF('Datos_fuente'!E146="","",LN('Datos_fuente'!E146))</x:f>
        <x:v>8.61309410579344</x:v>
      </x:c>
      <x:c r="G146" s="87" t="n">
        <x:f>IF(OR(F146="",F145=""),"",F146-F145)</x:f>
        <x:v>0.009220592180163578</x:v>
      </x:c>
      <x:c r="H146" s="55" t="n">
        <x:f>'Datos_fuente'!H146</x:f>
        <x:v>4.34</x:v>
      </x:c>
      <x:c r="I146" s="55" t="n">
        <x:f>IF(OR(H146="",H145=""),"",H146-H145)</x:f>
        <x:v>-0.27612903200000005</x:v>
      </x:c>
      <x:c r="J146" s="55" t="n">
        <x:f>'Datos_fuente'!J146</x:f>
        <x:v>3.644644942</x:v>
      </x:c>
      <x:c r="K146" s="55" t="n">
        <x:f>IF(OR(J146="",J145=""),"",J146-J145)</x:f>
        <x:v>-0.5614925369999995</x:v>
      </x:c>
      <x:c r="L146" s="87" t="n">
        <x:f>IF('Datos_fuente'!K146="","",LN('Datos_fuente'!K146))</x:f>
        <x:v>4.699624189377969</x:v>
      </x:c>
      <x:c r="M146" s="87" t="n">
        <x:f>IF(OR(L146="",L145=""),"",L146-L145)</x:f>
        <x:v>-0.010451403721762453</x:v>
      </x:c>
      <x:c r="N146" s="87" t="n">
        <x:f>IF('Datos_fuente'!L146="","",LN('Datos_fuente'!L146))</x:f>
        <x:v>2.4828756027743686</x:v>
      </x:c>
      <x:c r="O146" s="87" t="n">
        <x:f>IF(OR(N146="",N145=""),"",N146-N145)</x:f>
        <x:v>0.15418426269584362</x:v>
      </x:c>
      <x:c r="P146" s="82" t="n">
        <x:f>'Datos_fuente'!N146</x:f>
        <x:v>0</x:v>
      </x:c>
      <x:c r="Q146" s="1"/>
      <x:c r="R146" s="1"/>
      <x:c r="S146" s="1"/>
      <x:c r="T146" s="1"/>
      <x:c r="U146" s="1"/>
      <x:c r="V146" s="1"/>
      <x:c r="W146" s="1"/>
      <x:c r="X146" s="1"/>
      <x:c r="Y146" s="1"/>
      <x:c r="Z146" s="1"/>
    </x:row>
    <x:row r="147">
      <x:c r="A147" s="1" t="str">
        <x:f>'Datos_fuente'!A147</x:f>
        <x:v>2017-09</x:v>
      </x:c>
      <x:c r="B147" s="87" t="n">
        <x:f>IF('Datos_fuente'!B147="","",LN('Datos_fuente'!B147))</x:f>
        <x:v>7.978340108970085</x:v>
      </x:c>
      <x:c r="C147" s="87" t="n">
        <x:f>IF(OR(B147="",B146=""),"",B147-B146)</x:f>
        <x:v>-0.01905561141908052</x:v>
      </x:c>
      <x:c r="D147" s="87" t="n">
        <x:f>IF('Datos_fuente'!C147="","",LN('Datos_fuente'!C147))</x:f>
        <x:v>4.028077563950454</x:v>
      </x:c>
      <x:c r="E147" s="87" t="n">
        <x:f>IF(OR(D147="",D146=""),"",D147-D146)</x:f>
        <x:v>0.08253568867997974</x:v>
      </x:c>
      <x:c r="F147" s="87" t="n">
        <x:f>IF('Datos_fuente'!E147="","",LN('Datos_fuente'!E147))</x:f>
        <x:v>8.62129191134455</x:v>
      </x:c>
      <x:c r="G147" s="87" t="n">
        <x:f>IF(OR(F147="",F146=""),"",F147-F146)</x:f>
        <x:v>0.008197805551109383</x:v>
      </x:c>
      <x:c r="H147" s="55" t="n">
        <x:f>'Datos_fuente'!H147</x:f>
        <x:v>4.1</x:v>
      </x:c>
      <x:c r="I147" s="55" t="n">
        <x:f>IF(OR(H147="",H146=""),"",H147-H146)</x:f>
        <x:v>-0.2400000000000002</x:v>
      </x:c>
      <x:c r="J147" s="55" t="n">
        <x:f>'Datos_fuente'!J147</x:f>
        <x:v>3.417510452</x:v>
      </x:c>
      <x:c r="K147" s="55" t="n">
        <x:f>IF(OR(J147="",J146=""),"",J147-J146)</x:f>
        <x:v>-0.22713449000000008</x:v>
      </x:c>
      <x:c r="L147" s="87" t="n">
        <x:f>IF('Datos_fuente'!K147="","",LN('Datos_fuente'!K147))</x:f>
        <x:v>4.690009785542087</x:v>
      </x:c>
      <x:c r="M147" s="87" t="n">
        <x:f>IF(OR(L147="",L146=""),"",L147-L146)</x:f>
        <x:v>-0.00961440383588208</x:v>
      </x:c>
      <x:c r="N147" s="87" t="n">
        <x:f>IF('Datos_fuente'!L147="","",LN('Datos_fuente'!L147))</x:f>
        <x:v>2.3454529932212216</x:v>
      </x:c>
      <x:c r="O147" s="87" t="n">
        <x:f>IF(OR(N147="",N146=""),"",N147-N146)</x:f>
        <x:v>-0.137422609553147</x:v>
      </x:c>
      <x:c r="P147" s="82" t="n">
        <x:f>'Datos_fuente'!N147</x:f>
        <x:v>0</x:v>
      </x:c>
      <x:c r="Q147" s="1"/>
      <x:c r="R147" s="1"/>
      <x:c r="S147" s="1"/>
      <x:c r="T147" s="1"/>
      <x:c r="U147" s="1"/>
      <x:c r="V147" s="1"/>
      <x:c r="W147" s="1"/>
      <x:c r="X147" s="1"/>
      <x:c r="Y147" s="1"/>
      <x:c r="Z147" s="1"/>
    </x:row>
    <x:row r="148">
      <x:c r="A148" s="1" t="str">
        <x:f>'Datos_fuente'!A148</x:f>
        <x:v>2017-10</x:v>
      </x:c>
      <x:c r="B148" s="87" t="n">
        <x:f>IF('Datos_fuente'!B148="","",LN('Datos_fuente'!B148))</x:f>
        <x:v>7.990832794136088</x:v>
      </x:c>
      <x:c r="C148" s="87" t="n">
        <x:f>IF(OR(B148="",B147=""),"",B148-B147)</x:f>
        <x:v>0.012492685166002993</x:v>
      </x:c>
      <x:c r="D148" s="87" t="n">
        <x:f>IF('Datos_fuente'!C148="","",LN('Datos_fuente'!C148))</x:f>
        <x:v>4.051919326078488</x:v>
      </x:c>
      <x:c r="E148" s="87" t="n">
        <x:f>IF(OR(D148="",D147=""),"",D148-D147)</x:f>
        <x:v>0.023841762128033572</x:v>
      </x:c>
      <x:c r="F148" s="87" t="n">
        <x:f>IF('Datos_fuente'!E148="","",LN('Datos_fuente'!E148))</x:f>
        <x:v>8.640072552052924</x:v>
      </x:c>
      <x:c r="G148" s="87" t="n">
        <x:f>IF(OR(F148="",F147=""),"",F148-F147)</x:f>
        <x:v>0.01878064070837482</x:v>
      </x:c>
      <x:c r="H148" s="55" t="n">
        <x:f>'Datos_fuente'!H148</x:f>
        <x:v>4.083870968</x:v>
      </x:c>
      <x:c r="I148" s="55" t="n">
        <x:f>IF(OR(H148="",H147=""),"",H148-H147)</x:f>
        <x:v>-0.016129031999999377</x:v>
      </x:c>
      <x:c r="J148" s="55" t="n">
        <x:f>'Datos_fuente'!J148</x:f>
        <x:v>3.21711332</x:v>
      </x:c>
      <x:c r="K148" s="55" t="n">
        <x:f>IF(OR(J148="",J147=""),"",J148-J147)</x:f>
        <x:v>-0.20039713199999998</x:v>
      </x:c>
      <x:c r="L148" s="87" t="n">
        <x:f>IF('Datos_fuente'!K148="","",LN('Datos_fuente'!K148))</x:f>
        <x:v>4.708531289953852</x:v>
      </x:c>
      <x:c r="M148" s="87" t="n">
        <x:f>IF(OR(L148="",L147=""),"",L148-L147)</x:f>
        <x:v>0.01852150441176459</x:v>
      </x:c>
      <x:c r="N148" s="87" t="n">
        <x:f>IF('Datos_fuente'!L148="","",LN('Datos_fuente'!L148))</x:f>
        <x:v>2.3150525058120657</x:v>
      </x:c>
      <x:c r="O148" s="87" t="n">
        <x:f>IF(OR(N148="",N147=""),"",N148-N147)</x:f>
        <x:v>-0.030400487409155907</x:v>
      </x:c>
      <x:c r="P148" s="82" t="n">
        <x:f>'Datos_fuente'!N148</x:f>
        <x:v>0</x:v>
      </x:c>
      <x:c r="Q148" s="1"/>
      <x:c r="R148" s="1"/>
      <x:c r="S148" s="1"/>
      <x:c r="T148" s="1"/>
      <x:c r="U148" s="1"/>
      <x:c r="V148" s="1"/>
      <x:c r="W148" s="1"/>
      <x:c r="X148" s="1"/>
      <x:c r="Y148" s="1"/>
      <x:c r="Z148" s="1"/>
    </x:row>
    <x:row r="149">
      <x:c r="A149" s="1" t="str">
        <x:f>'Datos_fuente'!A149</x:f>
        <x:v>2017-11</x:v>
      </x:c>
      <x:c r="B149" s="87" t="n">
        <x:f>IF('Datos_fuente'!B149="","",LN('Datos_fuente'!B149))</x:f>
        <x:v>8.010846411637432</x:v>
      </x:c>
      <x:c r="C149" s="87" t="n">
        <x:f>IF(OR(B149="",B148=""),"",B149-B148)</x:f>
        <x:v>0.020013617501344783</x:v>
      </x:c>
      <x:c r="D149" s="87" t="n">
        <x:f>IF('Datos_fuente'!C149="","",LN('Datos_fuente'!C149))</x:f>
        <x:v>4.138586157796355</x:v>
      </x:c>
      <x:c r="E149" s="87" t="n">
        <x:f>IF(OR(D149="",D148=""),"",D149-D148)</x:f>
        <x:v>0.08666683171786715</x:v>
      </x:c>
      <x:c r="F149" s="87" t="n">
        <x:f>IF('Datos_fuente'!E149="","",LN('Datos_fuente'!E149))</x:f>
        <x:v>8.648868612791148</x:v>
      </x:c>
      <x:c r="G149" s="87" t="n">
        <x:f>IF(OR(F149="",F148=""),"",F149-F148)</x:f>
        <x:v>0.008796060738223588</x:v>
      </x:c>
      <x:c r="H149" s="55" t="n">
        <x:f>'Datos_fuente'!H149</x:f>
        <x:v>3.806666667</x:v>
      </x:c>
      <x:c r="I149" s="55" t="n">
        <x:f>IF(OR(H149="",H148=""),"",H149-H148)</x:f>
        <x:v>-0.27720430100000026</x:v>
      </x:c>
      <x:c r="J149" s="55" t="n">
        <x:f>'Datos_fuente'!J149</x:f>
        <x:v>3.399337069</x:v>
      </x:c>
      <x:c r="K149" s="55" t="n">
        <x:f>IF(OR(J149="",J148=""),"",J149-J148)</x:f>
        <x:v>0.18222374899999982</x:v>
      </x:c>
      <x:c r="L149" s="87" t="n">
        <x:f>IF('Datos_fuente'!K149="","",LN('Datos_fuente'!K149))</x:f>
        <x:v>4.711002315418658</x:v>
      </x:c>
      <x:c r="M149" s="87" t="n">
        <x:f>IF(OR(L149="",L148=""),"",L149-L148)</x:f>
        <x:v>0.0024710254648061536</x:v>
      </x:c>
      <x:c r="N149" s="87" t="n">
        <x:f>IF('Datos_fuente'!L149="","",LN('Datos_fuente'!L149))</x:f>
        <x:v>2.35522272140955</x:v>
      </x:c>
      <x:c r="O149" s="87" t="n">
        <x:f>IF(OR(N149="",N148=""),"",N149-N148)</x:f>
        <x:v>0.04017021559748413</x:v>
      </x:c>
      <x:c r="P149" s="82" t="n">
        <x:f>'Datos_fuente'!N149</x:f>
        <x:v>0</x:v>
      </x:c>
      <x:c r="Q149" s="1"/>
      <x:c r="R149" s="1"/>
      <x:c r="S149" s="1"/>
      <x:c r="T149" s="1"/>
      <x:c r="U149" s="1"/>
      <x:c r="V149" s="1"/>
      <x:c r="W149" s="1"/>
      <x:c r="X149" s="1"/>
      <x:c r="Y149" s="1"/>
      <x:c r="Z149" s="1"/>
    </x:row>
    <x:row r="150">
      <x:c r="A150" s="1" t="str">
        <x:f>'Datos_fuente'!A150</x:f>
        <x:v>2017-12</x:v>
      </x:c>
      <x:c r="B150" s="87" t="n">
        <x:f>IF('Datos_fuente'!B150="","",LN('Datos_fuente'!B150))</x:f>
        <x:v>8.003617768749587</x:v>
      </x:c>
      <x:c r="C150" s="87" t="n">
        <x:f>IF(OR(B150="",B149=""),"",B150-B149)</x:f>
        <x:v>-0.007228642887845638</x:v>
      </x:c>
      <x:c r="D150" s="87" t="n">
        <x:f>IF('Datos_fuente'!C150="","",LN('Datos_fuente'!C150))</x:f>
        <x:v>4.164704919318701</x:v>
      </x:c>
      <x:c r="E150" s="87" t="n">
        <x:f>IF(OR(D150="",D149=""),"",D150-D149)</x:f>
        <x:v>0.026118761522345935</x:v>
      </x:c>
      <x:c r="F150" s="87" t="n">
        <x:f>IF('Datos_fuente'!E150="","",LN('Datos_fuente'!E150))</x:f>
        <x:v>8.662800624269046</x:v>
      </x:c>
      <x:c r="G150" s="87" t="n">
        <x:f>IF(OR(F150="",F149=""),"",F150-F149)</x:f>
        <x:v>0.013932011477898243</x:v>
      </x:c>
      <x:c r="H150" s="55" t="n">
        <x:f>'Datos_fuente'!H150</x:f>
        <x:v>3.45</x:v>
      </x:c>
      <x:c r="I150" s="55" t="n">
        <x:f>IF(OR(H150="",H149=""),"",H150-H149)</x:f>
        <x:v>-0.3566666669999998</x:v>
      </x:c>
      <x:c r="J150" s="55" t="n">
        <x:f>'Datos_fuente'!J150</x:f>
        <x:v>3.654192719</x:v>
      </x:c>
      <x:c r="K150" s="55" t="n">
        <x:f>IF(OR(J150="",J149=""),"",J150-J149)</x:f>
        <x:v>0.2548556500000001</x:v>
      </x:c>
      <x:c r="L150" s="87" t="n">
        <x:f>IF('Datos_fuente'!K150="","",LN('Datos_fuente'!K150))</x:f>
        <x:v>4.7084107461272975</x:v>
      </x:c>
      <x:c r="M150" s="87" t="n">
        <x:f>IF(OR(L150="",L149=""),"",L150-L149)</x:f>
        <x:v>-0.002591569291360507</x:v>
      </x:c>
      <x:c r="N150" s="87" t="n">
        <x:f>IF('Datos_fuente'!L150="","",LN('Datos_fuente'!L150))</x:f>
        <x:v>2.328691340078525</x:v>
      </x:c>
      <x:c r="O150" s="87" t="n">
        <x:f>IF(OR(N150="",N149=""),"",N150-N149)</x:f>
        <x:v>-0.02653138133102484</x:v>
      </x:c>
      <x:c r="P150" s="82" t="n">
        <x:f>'Datos_fuente'!N150</x:f>
        <x:v>0</x:v>
      </x:c>
      <x:c r="Q150" s="1"/>
      <x:c r="R150" s="1"/>
      <x:c r="S150" s="1"/>
      <x:c r="T150" s="1"/>
      <x:c r="U150" s="1"/>
      <x:c r="V150" s="1"/>
      <x:c r="W150" s="1"/>
      <x:c r="X150" s="1"/>
      <x:c r="Y150" s="1"/>
      <x:c r="Z150" s="1"/>
    </x:row>
    <x:row r="151">
      <x:c r="A151" s="1" t="str">
        <x:f>'Datos_fuente'!A151</x:f>
        <x:v>2018-01</x:v>
      </x:c>
      <x:c r="B151" s="87" t="n">
        <x:f>IF('Datos_fuente'!B151="","",LN('Datos_fuente'!B151))</x:f>
        <x:v>7.961569713893737</x:v>
      </x:c>
      <x:c r="C151" s="87" t="n">
        <x:f>IF(OR(B151="",B150=""),"",B151-B150)</x:f>
        <x:v>-0.04204805485584995</x:v>
      </x:c>
      <x:c r="D151" s="87" t="n">
        <x:f>IF('Datos_fuente'!C151="","",LN('Datos_fuente'!C151))</x:f>
        <x:v>4.235225772620725</x:v>
      </x:c>
      <x:c r="E151" s="87" t="n">
        <x:f>IF(OR(D151="",D150=""),"",D151-D150)</x:f>
        <x:v>0.07052085330202473</x:v>
      </x:c>
      <x:c r="F151" s="87" t="n">
        <x:f>IF('Datos_fuente'!E151="","",LN('Datos_fuente'!E151))</x:f>
        <x:v>8.679041596162527</x:v>
      </x:c>
      <x:c r="G151" s="87" t="n">
        <x:f>IF(OR(F151="",F150=""),"",F151-F150)</x:f>
        <x:v>0.01624097189348106</x:v>
      </x:c>
      <x:c r="H151" s="55" t="n">
        <x:f>'Datos_fuente'!H151</x:f>
        <x:v>3.323870968</x:v>
      </x:c>
      <x:c r="I151" s="55" t="n">
        <x:f>IF(OR(H151="",H150=""),"",H151-H150)</x:f>
        <x:v>-0.12612903200000014</x:v>
      </x:c>
      <x:c r="J151" s="55" t="n">
        <x:f>'Datos_fuente'!J151</x:f>
        <x:v>2.85513929</x:v>
      </x:c>
      <x:c r="K151" s="55" t="n">
        <x:f>IF(OR(J151="",J150=""),"",J151-J150)</x:f>
        <x:v>-0.7990534290000002</x:v>
      </x:c>
      <x:c r="L151" s="87" t="n">
        <x:f>IF('Datos_fuente'!K151="","",LN('Datos_fuente'!K151))</x:f>
        <x:v>4.685429265943765</x:v>
      </x:c>
      <x:c r="M151" s="87" t="n">
        <x:f>IF(OR(L151="",L150=""),"",L151-L150)</x:f>
        <x:v>-0.022981480183532632</x:v>
      </x:c>
      <x:c r="N151" s="87" t="n">
        <x:f>IF('Datos_fuente'!L151="","",LN('Datos_fuente'!L151))</x:f>
        <x:v>2.403550248694221</x:v>
      </x:c>
      <x:c r="O151" s="87" t="n">
        <x:f>IF(OR(N151="",N150=""),"",N151-N150)</x:f>
        <x:v>0.07485890861569588</x:v>
      </x:c>
      <x:c r="P151" s="82" t="n">
        <x:f>'Datos_fuente'!N151</x:f>
        <x:v>0</x:v>
      </x:c>
      <x:c r="Q151" s="1"/>
      <x:c r="R151" s="1"/>
      <x:c r="S151" s="1"/>
      <x:c r="T151" s="1"/>
      <x:c r="U151" s="1"/>
      <x:c r="V151" s="1"/>
      <x:c r="W151" s="1"/>
      <x:c r="X151" s="1"/>
      <x:c r="Y151" s="1"/>
      <x:c r="Z151" s="1"/>
    </x:row>
    <x:row r="152">
      <x:c r="A152" s="1" t="str">
        <x:f>'Datos_fuente'!A152</x:f>
        <x:v>2018-02</x:v>
      </x:c>
      <x:c r="B152" s="87" t="n">
        <x:f>IF('Datos_fuente'!B152="","",LN('Datos_fuente'!B152))</x:f>
        <x:v>7.95866531144429</x:v>
      </x:c>
      <x:c r="C152" s="87" t="n">
        <x:f>IF(OR(B152="",B151=""),"",B152-B151)</x:f>
        <x:v>-0.002904402449447119</x:v>
      </x:c>
      <x:c r="D152" s="87" t="n">
        <x:f>IF('Datos_fuente'!C152="","",LN('Datos_fuente'!C152))</x:f>
        <x:v>4.179259994252868</x:v>
      </x:c>
      <x:c r="E152" s="87" t="n">
        <x:f>IF(OR(D152="",D151=""),"",D152-D151)</x:f>
        <x:v>-0.055965778367857766</x:v>
      </x:c>
      <x:c r="F152" s="87" t="n">
        <x:f>IF('Datos_fuente'!E152="","",LN('Datos_fuente'!E152))</x:f>
        <x:v>8.69257237225472</x:v>
      </x:c>
      <x:c r="G152" s="87" t="n">
        <x:f>IF(OR(F152="",F151=""),"",F152-F151)</x:f>
        <x:v>0.013530776092192554</x:v>
      </x:c>
      <x:c r="H152" s="55" t="n">
        <x:f>'Datos_fuente'!H152</x:f>
        <x:v>3.08</x:v>
      </x:c>
      <x:c r="I152" s="55" t="n">
        <x:f>IF(OR(H152="",H151=""),"",H152-H151)</x:f>
        <x:v>-0.24387096799999997</x:v>
      </x:c>
      <x:c r="J152" s="55" t="n">
        <x:f>'Datos_fuente'!J152</x:f>
        <x:v>2.815829311</x:v>
      </x:c>
      <x:c r="K152" s="55" t="n">
        <x:f>IF(OR(J152="",J151=""),"",J152-J151)</x:f>
        <x:v>-0.039309978999999995</x:v>
      </x:c>
      <x:c r="L152" s="87" t="n">
        <x:f>IF('Datos_fuente'!K152="","",LN('Datos_fuente'!K152))</x:f>
        <x:v>4.678886103512726</x:v>
      </x:c>
      <x:c r="M152" s="87" t="n">
        <x:f>IF(OR(L152="",L151=""),"",L152-L151)</x:f>
        <x:v>-0.006543162431039029</x:v>
      </x:c>
      <x:c r="N152" s="87" t="n">
        <x:f>IF('Datos_fuente'!L152="","",LN('Datos_fuente'!L152))</x:f>
        <x:v>3.111946828231388</x:v>
      </x:c>
      <x:c r="O152" s="87" t="n">
        <x:f>IF(OR(N152="",N151=""),"",N152-N151)</x:f>
        <x:v>0.7083965795371672</x:v>
      </x:c>
      <x:c r="P152" s="82" t="n">
        <x:f>'Datos_fuente'!N152</x:f>
        <x:v>0</x:v>
      </x:c>
      <x:c r="Q152" s="1"/>
      <x:c r="R152" s="1"/>
      <x:c r="S152" s="1"/>
      <x:c r="T152" s="1"/>
      <x:c r="U152" s="1"/>
      <x:c r="V152" s="1"/>
      <x:c r="W152" s="1"/>
      <x:c r="X152" s="1"/>
      <x:c r="Y152" s="1"/>
      <x:c r="Z152" s="1"/>
    </x:row>
    <x:row r="153">
      <x:c r="A153" s="1" t="str">
        <x:f>'Datos_fuente'!A153</x:f>
        <x:v>2018-03</x:v>
      </x:c>
      <x:c r="B153" s="87" t="n">
        <x:f>IF('Datos_fuente'!B153="","",LN('Datos_fuente'!B153))</x:f>
        <x:v>7.954347920058381</x:v>
      </x:c>
      <x:c r="C153" s="87" t="n">
        <x:f>IF(OR(B153="",B152=""),"",B153-B152)</x:f>
        <x:v>-0.00431739138590892</x:v>
      </x:c>
      <x:c r="D153" s="87" t="n">
        <x:f>IF('Datos_fuente'!C153="","",LN('Datos_fuente'!C153))</x:f>
        <x:v>4.189907235450308</x:v>
      </x:c>
      <x:c r="E153" s="87" t="n">
        <x:f>IF(OR(D153="",D152=""),"",D153-D152)</x:f>
        <x:v>0.010647241197440316</x:v>
      </x:c>
      <x:c r="F153" s="87" t="n">
        <x:f>IF('Datos_fuente'!E153="","",LN('Datos_fuente'!E153))</x:f>
        <x:v>8.696021988955298</x:v>
      </x:c>
      <x:c r="G153" s="87" t="n">
        <x:f>IF(OR(F153="",F152=""),"",F153-F152)</x:f>
        <x:v>0.0034496167005784173</x:v>
      </x:c>
      <x:c r="H153" s="55" t="n">
        <x:f>'Datos_fuente'!H153</x:f>
        <x:v>2.99</x:v>
      </x:c>
      <x:c r="I153" s="55" t="n">
        <x:f>IF(OR(H153="",H152=""),"",H153-H152)</x:f>
        <x:v>-0.08999999999999986</x:v>
      </x:c>
      <x:c r="J153" s="55" t="n">
        <x:f>'Datos_fuente'!J153</x:f>
        <x:v>2.844060995</x:v>
      </x:c>
      <x:c r="K153" s="55" t="n">
        <x:f>IF(OR(J153="",J152=""),"",J153-J152)</x:f>
        <x:v>0.02823168400000009</x:v>
      </x:c>
      <x:c r="L153" s="87" t="n">
        <x:f>IF('Datos_fuente'!K153="","",LN('Datos_fuente'!K153))</x:f>
        <x:v>4.681641987095461</x:v>
      </x:c>
      <x:c r="M153" s="87" t="n">
        <x:f>IF(OR(L153="",L152=""),"",L153-L152)</x:f>
        <x:v>0.0027558835827354855</x:v>
      </x:c>
      <x:c r="N153" s="87" t="n">
        <x:f>IF('Datos_fuente'!L153="","",LN('Datos_fuente'!L153))</x:f>
        <x:v>2.945691327282656</x:v>
      </x:c>
      <x:c r="O153" s="87" t="n">
        <x:f>IF(OR(N153="",N152=""),"",N153-N152)</x:f>
        <x:v>-0.16625550094873187</x:v>
      </x:c>
      <x:c r="P153" s="82" t="n">
        <x:f>'Datos_fuente'!N153</x:f>
        <x:v>0</x:v>
      </x:c>
      <x:c r="Q153" s="1"/>
      <x:c r="R153" s="1"/>
      <x:c r="S153" s="1"/>
      <x:c r="T153" s="1"/>
      <x:c r="U153" s="1"/>
      <x:c r="V153" s="1"/>
      <x:c r="W153" s="1"/>
      <x:c r="X153" s="1"/>
      <x:c r="Y153" s="1"/>
      <x:c r="Z153" s="1"/>
    </x:row>
    <x:row r="154">
      <x:c r="A154" s="1" t="str">
        <x:f>'Datos_fuente'!A154</x:f>
        <x:v>2018-04</x:v>
      </x:c>
      <x:c r="B154" s="87" t="n">
        <x:f>IF('Datos_fuente'!B154="","",LN('Datos_fuente'!B154))</x:f>
        <x:v>7.925260543793125</x:v>
      </x:c>
      <x:c r="C154" s="87" t="n">
        <x:f>IF(OR(B154="",B153=""),"",B154-B153)</x:f>
        <x:v>-0.029087376265255926</x:v>
      </x:c>
      <x:c r="D154" s="87" t="n">
        <x:f>IF('Datos_fuente'!C154="","",LN('Datos_fuente'!C154))</x:f>
        <x:v>4.278137258581618</x:v>
      </x:c>
      <x:c r="E154" s="87" t="n">
        <x:f>IF(OR(D154="",D153=""),"",D154-D153)</x:f>
        <x:v>0.08823002313131045</x:v>
      </x:c>
      <x:c r="F154" s="87" t="n">
        <x:f>IF('Datos_fuente'!E154="","",LN('Datos_fuente'!E154))</x:f>
        <x:v>8.718182745128603</x:v>
      </x:c>
      <x:c r="G154" s="87" t="n">
        <x:f>IF(OR(F154="",F153=""),"",F154-F153)</x:f>
        <x:v>0.02216075617330482</x:v>
      </x:c>
      <x:c r="H154" s="55" t="n">
        <x:f>'Datos_fuente'!H154</x:f>
        <x:v>2.801666667</x:v>
      </x:c>
      <x:c r="I154" s="55" t="n">
        <x:f>IF(OR(H154="",H153=""),"",H154-H153)</x:f>
        <x:v>-0.1883333330000001</x:v>
      </x:c>
      <x:c r="J154" s="55" t="n">
        <x:f>'Datos_fuente'!J154</x:f>
        <x:v>3.178393375</x:v>
      </x:c>
      <x:c r="K154" s="55" t="n">
        <x:f>IF(OR(J154="",J153=""),"",J154-J153)</x:f>
        <x:v>0.3343323800000002</x:v>
      </x:c>
      <x:c r="L154" s="87" t="n">
        <x:f>IF('Datos_fuente'!K154="","",LN('Datos_fuente'!K154))</x:f>
        <x:v>4.6816066182447456</x:v>
      </x:c>
      <x:c r="M154" s="87" t="n">
        <x:f>IF(OR(L154="",L153=""),"",L154-L153)</x:f>
        <x:v>-0.000035368850715755684</x:v>
      </x:c>
      <x:c r="N154" s="87" t="n">
        <x:f>IF('Datos_fuente'!L154="","",LN('Datos_fuente'!L154))</x:f>
        <x:v>2.905130041700456</x:v>
      </x:c>
      <x:c r="O154" s="87" t="n">
        <x:f>IF(OR(N154="",N153=""),"",N154-N153)</x:f>
        <x:v>-0.04056128558219996</x:v>
      </x:c>
      <x:c r="P154" s="82" t="n">
        <x:f>'Datos_fuente'!N154</x:f>
        <x:v>0</x:v>
      </x:c>
      <x:c r="Q154" s="1"/>
      <x:c r="R154" s="1"/>
      <x:c r="S154" s="1"/>
      <x:c r="T154" s="1"/>
      <x:c r="U154" s="1"/>
      <x:c r="V154" s="1"/>
      <x:c r="W154" s="1"/>
      <x:c r="X154" s="1"/>
      <x:c r="Y154" s="1"/>
      <x:c r="Z154" s="1"/>
    </x:row>
    <x:row r="155">
      <x:c r="A155" s="1" t="str">
        <x:f>'Datos_fuente'!A155</x:f>
        <x:v>2018-05</x:v>
      </x:c>
      <x:c r="B155" s="87" t="n">
        <x:f>IF('Datos_fuente'!B155="","",LN('Datos_fuente'!B155))</x:f>
        <x:v>7.959215093833613</x:v>
      </x:c>
      <x:c r="C155" s="87" t="n">
        <x:f>IF(OR(B155="",B154=""),"",B155-B154)</x:f>
        <x:v>0.03395455004048831</x:v>
      </x:c>
      <x:c r="D155" s="87" t="n">
        <x:f>IF('Datos_fuente'!C155="","",LN('Datos_fuente'!C155))</x:f>
        <x:v>4.3434837870178615</x:v>
      </x:c>
      <x:c r="E155" s="87" t="n">
        <x:f>IF(OR(D155="",D154=""),"",D155-D154)</x:f>
        <x:v>0.06534652843624311</x:v>
      </x:c>
      <x:c r="F155" s="87" t="n">
        <x:f>IF('Datos_fuente'!E155="","",LN('Datos_fuente'!E155))</x:f>
        <x:v>8.726820204512132</x:v>
      </x:c>
      <x:c r="G155" s="87" t="n">
        <x:f>IF(OR(F155="",F154=""),"",F155-F154)</x:f>
        <x:v>0.008637459383528778</x:v>
      </x:c>
      <x:c r="H155" s="55" t="n">
        <x:f>'Datos_fuente'!H155</x:f>
        <x:v>2.55</x:v>
      </x:c>
      <x:c r="I155" s="55" t="n">
        <x:f>IF(OR(H155="",H154=""),"",H155-H154)</x:f>
        <x:v>-0.2516666670000003</x:v>
      </x:c>
      <x:c r="J155" s="55" t="n">
        <x:f>'Datos_fuente'!J155</x:f>
        <x:v>3.254779019</x:v>
      </x:c>
      <x:c r="K155" s="55" t="n">
        <x:f>IF(OR(J155="",J154=""),"",J155-J154)</x:f>
        <x:v>0.0763856439999997</x:v>
      </x:c>
      <x:c r="L155" s="87" t="n">
        <x:f>IF('Datos_fuente'!K155="","",LN('Datos_fuente'!K155))</x:f>
        <x:v>4.709953903429805</x:v>
      </x:c>
      <x:c r="M155" s="87" t="n">
        <x:f>IF(OR(L155="",L154=""),"",L155-L154)</x:f>
        <x:v>0.02834728518505969</x:v>
      </x:c>
      <x:c r="N155" s="87" t="n">
        <x:f>IF('Datos_fuente'!L155="","",LN('Datos_fuente'!L155))</x:f>
        <x:v>2.647914095983727</x:v>
      </x:c>
      <x:c r="O155" s="87" t="n">
        <x:f>IF(OR(N155="",N154=""),"",N155-N154)</x:f>
        <x:v>-0.25721594571672934</x:v>
      </x:c>
      <x:c r="P155" s="82" t="n">
        <x:f>'Datos_fuente'!N155</x:f>
        <x:v>0</x:v>
      </x:c>
      <x:c r="Q155" s="1"/>
      <x:c r="R155" s="1"/>
      <x:c r="S155" s="1"/>
      <x:c r="T155" s="1"/>
      <x:c r="U155" s="1"/>
      <x:c r="V155" s="1"/>
      <x:c r="W155" s="1"/>
      <x:c r="X155" s="1"/>
      <x:c r="Y155" s="1"/>
      <x:c r="Z155" s="1"/>
    </x:row>
    <x:row r="156">
      <x:c r="A156" s="1" t="str">
        <x:f>'Datos_fuente'!A156</x:f>
        <x:v>2018-06</x:v>
      </x:c>
      <x:c r="B156" s="87" t="n">
        <x:f>IF('Datos_fuente'!B156="","",LN('Datos_fuente'!B156))</x:f>
        <x:v>7.968904162859094</x:v>
      </x:c>
      <x:c r="C156" s="87" t="n">
        <x:f>IF(OR(B156="",B155=""),"",B156-B155)</x:f>
        <x:v>0.009689069025481167</x:v>
      </x:c>
      <x:c r="D156" s="87" t="n">
        <x:f>IF('Datos_fuente'!C156="","",LN('Datos_fuente'!C156))</x:f>
        <x:v>4.309519943823133</x:v>
      </x:c>
      <x:c r="E156" s="87" t="n">
        <x:f>IF(OR(D156="",D155=""),"",D156-D155)</x:f>
        <x:v>-0.03396384319472823</x:v>
      </x:c>
      <x:c r="F156" s="87" t="n">
        <x:f>IF('Datos_fuente'!E156="","",LN('Datos_fuente'!E156))</x:f>
        <x:v>8.728733686879412</x:v>
      </x:c>
      <x:c r="G156" s="87" t="n">
        <x:f>IF(OR(F156="",F155=""),"",F156-F155)</x:f>
        <x:v>0.0019134823672803947</x:v>
      </x:c>
      <x:c r="H156" s="55" t="n">
        <x:f>'Datos_fuente'!H156</x:f>
        <x:v>2.43</x:v>
      </x:c>
      <x:c r="I156" s="55" t="n">
        <x:f>IF(OR(H156="",H155=""),"",H156-H155)</x:f>
        <x:v>-0.11999999999999966</x:v>
      </x:c>
      <x:c r="J156" s="55" t="n">
        <x:f>'Datos_fuente'!J156</x:f>
        <x:v>3.251444614</x:v>
      </x:c>
      <x:c r="K156" s="55" t="n">
        <x:f>IF(OR(J156="",J155=""),"",J156-J155)</x:f>
        <x:v>-0.0033344049999999292</x:v>
      </x:c>
      <x:c r="L156" s="87" t="n">
        <x:f>IF('Datos_fuente'!K156="","",LN('Datos_fuente'!K156))</x:f>
        <x:v>4.726010047011805</x:v>
      </x:c>
      <x:c r="M156" s="87" t="n">
        <x:f>IF(OR(L156="",L155=""),"",L156-L155)</x:f>
        <x:v>0.01605614358199947</x:v>
      </x:c>
      <x:c r="N156" s="87" t="n">
        <x:f>IF('Datos_fuente'!L156="","",LN('Datos_fuente'!L156))</x:f>
        <x:v>2.61579566565795</x:v>
      </x:c>
      <x:c r="O156" s="87" t="n">
        <x:f>IF(OR(N156="",N155=""),"",N156-N155)</x:f>
        <x:v>-0.03211843032577688</x:v>
      </x:c>
      <x:c r="P156" s="82" t="n">
        <x:f>'Datos_fuente'!N156</x:f>
        <x:v>0</x:v>
      </x:c>
      <x:c r="Q156" s="1"/>
      <x:c r="R156" s="1"/>
      <x:c r="S156" s="1"/>
      <x:c r="T156" s="1"/>
      <x:c r="U156" s="1"/>
      <x:c r="V156" s="1"/>
      <x:c r="W156" s="1"/>
      <x:c r="X156" s="1"/>
      <x:c r="Y156" s="1"/>
      <x:c r="Z156" s="1"/>
    </x:row>
    <x:row r="157">
      <x:c r="A157" s="1" t="str">
        <x:f>'Datos_fuente'!A157</x:f>
        <x:v>2018-07</x:v>
      </x:c>
      <x:c r="B157" s="87" t="n">
        <x:f>IF('Datos_fuente'!B157="","",LN('Datos_fuente'!B157))</x:f>
        <x:v>7.967391761971348</x:v>
      </x:c>
      <x:c r="C157" s="87" t="n">
        <x:f>IF(OR(B157="",B156=""),"",B157-B156)</x:f>
        <x:v>-0.0015124008877460682</x:v>
      </x:c>
      <x:c r="D157" s="87" t="n">
        <x:f>IF('Datos_fuente'!C157="","",LN('Datos_fuente'!C157))</x:f>
        <x:v>4.307492872596033</x:v>
      </x:c>
      <x:c r="E157" s="87" t="n">
        <x:f>IF(OR(D157="",D156=""),"",D157-D156)</x:f>
        <x:v>-0.002027071227100663</x:v>
      </x:c>
      <x:c r="F157" s="87" t="n">
        <x:f>IF('Datos_fuente'!E157="","",LN('Datos_fuente'!E157))</x:f>
        <x:v>8.735832212550651</x:v>
      </x:c>
      <x:c r="G157" s="87" t="n">
        <x:f>IF(OR(F157="",F156=""),"",F157-F156)</x:f>
        <x:v>0.007098525671239031</x:v>
      </x:c>
      <x:c r="H157" s="55" t="n">
        <x:f>'Datos_fuente'!H157</x:f>
        <x:v>2.34</x:v>
      </x:c>
      <x:c r="I157" s="55" t="n">
        <x:f>IF(OR(H157="",H156=""),"",H157-H156)</x:f>
        <x:v>-0.0900000000000003</x:v>
      </x:c>
      <x:c r="J157" s="55" t="n">
        <x:f>'Datos_fuente'!J157</x:f>
        <x:v>3.408170597</x:v>
      </x:c>
      <x:c r="K157" s="55" t="n">
        <x:f>IF(OR(J157="",J156=""),"",J157-J156)</x:f>
        <x:v>0.15672598299999985</x:v>
      </x:c>
      <x:c r="L157" s="87" t="n">
        <x:f>IF('Datos_fuente'!K157="","",LN('Datos_fuente'!K157))</x:f>
        <x:v>4.727914523341933</x:v>
      </x:c>
      <x:c r="M157" s="87" t="n">
        <x:f>IF(OR(L157="",L156=""),"",L157-L156)</x:f>
        <x:v>0.0019044763301279133</x:v>
      </x:c>
      <x:c r="N157" s="87" t="n">
        <x:f>IF('Datos_fuente'!L157="","",LN('Datos_fuente'!L157))</x:f>
        <x:v>2.5762406813937795</x:v>
      </x:c>
      <x:c r="O157" s="87" t="n">
        <x:f>IF(OR(N157="",N156=""),"",N157-N156)</x:f>
        <x:v>-0.03955498426417048</x:v>
      </x:c>
      <x:c r="P157" s="82" t="n">
        <x:f>'Datos_fuente'!N157</x:f>
        <x:v>0</x:v>
      </x:c>
      <x:c r="Q157" s="1"/>
      <x:c r="R157" s="1"/>
      <x:c r="S157" s="1"/>
      <x:c r="T157" s="1"/>
      <x:c r="U157" s="1"/>
      <x:c r="V157" s="1"/>
      <x:c r="W157" s="1"/>
      <x:c r="X157" s="1"/>
      <x:c r="Y157" s="1"/>
      <x:c r="Z157" s="1"/>
    </x:row>
    <x:row r="158">
      <x:c r="A158" s="1" t="str">
        <x:f>'Datos_fuente'!A158</x:f>
        <x:v>2018-08</x:v>
      </x:c>
      <x:c r="B158" s="87" t="n">
        <x:f>IF('Datos_fuente'!B158="","",LN('Datos_fuente'!B158))</x:f>
        <x:v>7.992494031661977</x:v>
      </x:c>
      <x:c r="C158" s="87" t="n">
        <x:f>IF(OR(B158="",B157=""),"",B158-B157)</x:f>
        <x:v>0.025102269690628454</x:v>
      </x:c>
      <x:c r="D158" s="87" t="n">
        <x:f>IF('Datos_fuente'!C158="","",LN('Datos_fuente'!C158))</x:f>
        <x:v>4.283976291009806</x:v>
      </x:c>
      <x:c r="E158" s="87" t="n">
        <x:f>IF(OR(D158="",D157=""),"",D158-D157)</x:f>
        <x:v>-0.023516581586227048</x:v>
      </x:c>
      <x:c r="F158" s="87" t="n">
        <x:f>IF('Datos_fuente'!E158="","",LN('Datos_fuente'!E158))</x:f>
        <x:v>8.7522431789634</x:v>
      </x:c>
      <x:c r="G158" s="87" t="n">
        <x:f>IF(OR(F158="",F157=""),"",F158-F157)</x:f>
        <x:v>0.016410966412749417</x:v>
      </x:c>
      <x:c r="H158" s="55" t="n">
        <x:f>'Datos_fuente'!H158</x:f>
        <x:v>2.34</x:v>
      </x:c>
      <x:c r="I158" s="55" t="n">
        <x:f>IF(OR(H158="",H157=""),"",H158-H157)</x:f>
        <x:v>0</x:v>
      </x:c>
      <x:c r="J158" s="55" t="n">
        <x:f>'Datos_fuente'!J158</x:f>
        <x:v>3.888627123</x:v>
      </x:c>
      <x:c r="K158" s="55" t="n">
        <x:f>IF(OR(J158="",J157=""),"",J158-J157)</x:f>
        <x:v>0.4804565260000002</x:v>
      </x:c>
      <x:c r="L158" s="87" t="n">
        <x:f>IF('Datos_fuente'!K158="","",LN('Datos_fuente'!K158))</x:f>
        <x:v>4.7347204303479655</x:v>
      </x:c>
      <x:c r="M158" s="87" t="n">
        <x:f>IF(OR(L158="",L157=""),"",L158-L157)</x:f>
        <x:v>0.006805907006032896</x:v>
      </x:c>
      <x:c r="N158" s="87" t="n">
        <x:f>IF('Datos_fuente'!L158="","",LN('Datos_fuente'!L158))</x:f>
        <x:v>2.52947812780135</x:v>
      </x:c>
      <x:c r="O158" s="87" t="n">
        <x:f>IF(OR(N158="",N157=""),"",N158-N157)</x:f>
        <x:v>-0.04676255359242942</x:v>
      </x:c>
      <x:c r="P158" s="82" t="n">
        <x:f>'Datos_fuente'!N158</x:f>
        <x:v>0</x:v>
      </x:c>
      <x:c r="Q158" s="1"/>
      <x:c r="R158" s="1"/>
      <x:c r="S158" s="1"/>
      <x:c r="T158" s="1"/>
      <x:c r="U158" s="1"/>
      <x:c r="V158" s="1"/>
      <x:c r="W158" s="1"/>
      <x:c r="X158" s="1"/>
      <x:c r="Y158" s="1"/>
      <x:c r="Z158" s="1"/>
    </x:row>
    <x:row r="159">
      <x:c r="A159" s="1" t="str">
        <x:f>'Datos_fuente'!A159</x:f>
        <x:v>2018-09</x:v>
      </x:c>
      <x:c r="B159" s="87" t="n">
        <x:f>IF('Datos_fuente'!B159="","",LN('Datos_fuente'!B159))</x:f>
        <x:v>8.017560690274136</x:v>
      </x:c>
      <x:c r="C159" s="87" t="n">
        <x:f>IF(OR(B159="",B158=""),"",B159-B158)</x:f>
        <x:v>0.025066658612159287</x:v>
      </x:c>
      <x:c r="D159" s="87" t="n">
        <x:f>IF('Datos_fuente'!C159="","",LN('Datos_fuente'!C159))</x:f>
        <x:v>4.368067152904465</x:v>
      </x:c>
      <x:c r="E159" s="87" t="n">
        <x:f>IF(OR(D159="",D158=""),"",D159-D158)</x:f>
        <x:v>0.08409086189465942</x:v>
      </x:c>
      <x:c r="F159" s="87" t="n">
        <x:f>IF('Datos_fuente'!E159="","",LN('Datos_fuente'!E159))</x:f>
        <x:v>8.76659378949187</x:v>
      </x:c>
      <x:c r="G159" s="87" t="n">
        <x:f>IF(OR(F159="",F158=""),"",F159-F158)</x:f>
        <x:v>0.014350610528468977</x:v>
      </x:c>
      <x:c r="H159" s="55" t="n">
        <x:f>'Datos_fuente'!H159</x:f>
        <x:v>2.3</x:v>
      </x:c>
      <x:c r="I159" s="55" t="n">
        <x:f>IF(OR(H159="",H158=""),"",H159-H158)</x:f>
        <x:v>-0.040000000000000036</x:v>
      </x:c>
      <x:c r="J159" s="55" t="n">
        <x:f>'Datos_fuente'!J159</x:f>
        <x:v>3.978275332</x:v>
      </x:c>
      <x:c r="K159" s="55" t="n">
        <x:f>IF(OR(J159="",J158=""),"",J159-J158)</x:f>
        <x:v>0.08964820899999992</x:v>
      </x:c>
      <x:c r="L159" s="87" t="n">
        <x:f>IF('Datos_fuente'!K159="","",LN('Datos_fuente'!K159))</x:f>
        <x:v>4.736888238504762</x:v>
      </x:c>
      <x:c r="M159" s="87" t="n">
        <x:f>IF(OR(L159="",L158=""),"",L159-L158)</x:f>
        <x:v>0.0021678081567966245</x:v>
      </x:c>
      <x:c r="N159" s="87" t="n">
        <x:f>IF('Datos_fuente'!L159="","",LN('Datos_fuente'!L159))</x:f>
        <x:v>2.5580429724241345</x:v>
      </x:c>
      <x:c r="O159" s="87" t="n">
        <x:f>IF(OR(N159="",N158=""),"",N159-N158)</x:f>
        <x:v>0.028564844622784413</x:v>
      </x:c>
      <x:c r="P159" s="82" t="n">
        <x:f>'Datos_fuente'!N159</x:f>
        <x:v>0</x:v>
      </x:c>
      <x:c r="Q159" s="1"/>
      <x:c r="R159" s="1"/>
      <x:c r="S159" s="1"/>
      <x:c r="T159" s="1"/>
      <x:c r="U159" s="1"/>
      <x:c r="V159" s="1"/>
      <x:c r="W159" s="1"/>
      <x:c r="X159" s="1"/>
      <x:c r="Y159" s="1"/>
      <x:c r="Z159" s="1"/>
    </x:row>
    <x:row r="160">
      <x:c r="A160" s="1" t="str">
        <x:f>'Datos_fuente'!A160</x:f>
        <x:v>2018-10</x:v>
      </x:c>
      <x:c r="B160" s="87" t="n">
        <x:f>IF('Datos_fuente'!B160="","",LN('Datos_fuente'!B160))</x:f>
        <x:v>8.034252143266253</x:v>
      </x:c>
      <x:c r="C160" s="87" t="n">
        <x:f>IF(OR(B160="",B159=""),"",B160-B159)</x:f>
        <x:v>0.016691452992116496</x:v>
      </x:c>
      <x:c r="D160" s="87" t="n">
        <x:f>IF('Datos_fuente'!C160="","",LN('Datos_fuente'!C160))</x:f>
        <x:v>4.3948462845713525</x:v>
      </x:c>
      <x:c r="E160" s="87" t="n">
        <x:f>IF(OR(D160="",D159=""),"",D160-D159)</x:f>
        <x:v>0.0267791316668875</x:v>
      </x:c>
      <x:c r="F160" s="87" t="n">
        <x:f>IF('Datos_fuente'!E160="","",LN('Datos_fuente'!E160))</x:f>
        <x:v>8.780409400568084</x:v>
      </x:c>
      <x:c r="G160" s="87" t="n">
        <x:f>IF(OR(F160="",F159=""),"",F160-F159)</x:f>
        <x:v>0.013815611076214651</x:v>
      </x:c>
      <x:c r="H160" s="55" t="n">
        <x:f>'Datos_fuente'!H160</x:f>
        <x:v>2.06</x:v>
      </x:c>
      <x:c r="I160" s="55" t="n">
        <x:f>IF(OR(H160="",H159=""),"",H160-H159)</x:f>
        <x:v>-0.23999999999999977</x:v>
      </x:c>
      <x:c r="J160" s="55" t="n">
        <x:f>'Datos_fuente'!J160</x:f>
        <x:v>4.023956931</x:v>
      </x:c>
      <x:c r="K160" s="55" t="n">
        <x:f>IF(OR(J160="",J159=""),"",J160-J159)</x:f>
        <x:v>0.045681598999999906</x:v>
      </x:c>
      <x:c r="L160" s="87" t="n">
        <x:f>IF('Datos_fuente'!K160="","",LN('Datos_fuente'!K160))</x:f>
        <x:v>4.7434637386326255</x:v>
      </x:c>
      <x:c r="M160" s="87" t="n">
        <x:f>IF(OR(L160="",L159=""),"",L160-L159)</x:f>
        <x:v>0.006575500127863343</x:v>
      </x:c>
      <x:c r="N160" s="87" t="n">
        <x:f>IF('Datos_fuente'!L160="","",LN('Datos_fuente'!L160))</x:f>
        <x:v>2.962804759935391</x:v>
      </x:c>
      <x:c r="O160" s="87" t="n">
        <x:f>IF(OR(N160="",N159=""),"",N160-N159)</x:f>
        <x:v>0.40476178751125635</x:v>
      </x:c>
      <x:c r="P160" s="82" t="n">
        <x:f>'Datos_fuente'!N160</x:f>
        <x:v>0</x:v>
      </x:c>
      <x:c r="Q160" s="1"/>
      <x:c r="R160" s="1"/>
      <x:c r="S160" s="1"/>
      <x:c r="T160" s="1"/>
      <x:c r="U160" s="1"/>
      <x:c r="V160" s="1"/>
      <x:c r="W160" s="1"/>
      <x:c r="X160" s="1"/>
      <x:c r="Y160" s="1"/>
      <x:c r="Z160" s="1"/>
    </x:row>
    <x:row r="161">
      <x:c r="A161" s="1" t="str">
        <x:f>'Datos_fuente'!A161</x:f>
        <x:v>2018-11</x:v>
      </x:c>
      <x:c r="B161" s="87" t="n">
        <x:f>IF('Datos_fuente'!B161="","",LN('Datos_fuente'!B161))</x:f>
        <x:v>8.069040077934467</x:v>
      </x:c>
      <x:c r="C161" s="87" t="n">
        <x:f>IF(OR(B161="",B160=""),"",B161-B160)</x:f>
        <x:v>0.034787934668214504</x:v>
      </x:c>
      <x:c r="D161" s="87" t="n">
        <x:f>IF('Datos_fuente'!C161="","",LN('Datos_fuente'!C161))</x:f>
        <x:v>4.170505620185397</x:v>
      </x:c>
      <x:c r="E161" s="87" t="n">
        <x:f>IF(OR(D161="",D160=""),"",D161-D160)</x:f>
        <x:v>-0.2243406643859558</x:v>
      </x:c>
      <x:c r="F161" s="87" t="n">
        <x:f>IF('Datos_fuente'!E161="","",LN('Datos_fuente'!E161))</x:f>
        <x:v>8.78961136096163</x:v>
      </x:c>
      <x:c r="G161" s="87" t="n">
        <x:f>IF(OR(F161="",F160=""),"",F161-F160)</x:f>
        <x:v>0.00920196039354515</x:v>
      </x:c>
      <x:c r="H161" s="55" t="n">
        <x:f>'Datos_fuente'!H161</x:f>
        <x:v>2.05</x:v>
      </x:c>
      <x:c r="I161" s="55" t="n">
        <x:f>IF(OR(H161="",H160=""),"",H161-H160)</x:f>
        <x:v>-0.010000000000000231</x:v>
      </x:c>
      <x:c r="J161" s="55" t="n">
        <x:f>'Datos_fuente'!J161</x:f>
        <x:v>3.73955471</x:v>
      </x:c>
      <x:c r="K161" s="55" t="n">
        <x:f>IF(OR(J161="",J160=""),"",J161-J160)</x:f>
        <x:v>-0.2844022209999997</x:v>
      </x:c>
      <x:c r="L161" s="87" t="n">
        <x:f>IF('Datos_fuente'!K161="","",LN('Datos_fuente'!K161))</x:f>
        <x:v>4.755046414780566</x:v>
      </x:c>
      <x:c r="M161" s="87" t="n">
        <x:f>IF(OR(L161="",L160=""),"",L161-L160)</x:f>
        <x:v>0.011582676147940951</x:v>
      </x:c>
      <x:c r="N161" s="87" t="n">
        <x:f>IF('Datos_fuente'!L161="","",LN('Datos_fuente'!L161))</x:f>
        <x:v>2.9647083509776224</x:v>
      </x:c>
      <x:c r="O161" s="87" t="n">
        <x:f>IF(OR(N161="",N160=""),"",N161-N160)</x:f>
        <x:v>0.0019035910422315894</x:v>
      </x:c>
      <x:c r="P161" s="82" t="n">
        <x:f>'Datos_fuente'!N161</x:f>
        <x:v>0</x:v>
      </x:c>
      <x:c r="Q161" s="1"/>
      <x:c r="R161" s="1"/>
      <x:c r="S161" s="1"/>
      <x:c r="T161" s="1"/>
      <x:c r="U161" s="1"/>
      <x:c r="V161" s="1"/>
      <x:c r="W161" s="1"/>
      <x:c r="X161" s="1"/>
      <x:c r="Y161" s="1"/>
      <x:c r="Z161" s="1"/>
    </x:row>
    <x:row r="162">
      <x:c r="A162" s="1" t="str">
        <x:f>'Datos_fuente'!A162</x:f>
        <x:v>2018-12</x:v>
      </x:c>
      <x:c r="B162" s="87" t="n">
        <x:f>IF('Datos_fuente'!B162="","",LN('Datos_fuente'!B162))</x:f>
        <x:v>8.076686527315706</x:v>
      </x:c>
      <x:c r="C162" s="87" t="n">
        <x:f>IF(OR(B162="",B161=""),"",B162-B161)</x:f>
        <x:v>0.007646449381239151</x:v>
      </x:c>
      <x:c r="D162" s="87" t="n">
        <x:f>IF('Datos_fuente'!C162="","",LN('Datos_fuente'!C162))</x:f>
        <x:v>4.049388216021871</x:v>
      </x:c>
      <x:c r="E162" s="87" t="n">
        <x:f>IF(OR(D162="",D161=""),"",D162-D161)</x:f>
        <x:v>-0.12111740416352568</x:v>
      </x:c>
      <x:c r="F162" s="87" t="n">
        <x:f>IF('Datos_fuente'!E162="","",LN('Datos_fuente'!E162))</x:f>
        <x:v>8.800293282606303</x:v>
      </x:c>
      <x:c r="G162" s="87" t="n">
        <x:f>IF(OR(F162="",F161=""),"",F162-F161)</x:f>
        <x:v>0.010681921644673409</x:v>
      </x:c>
      <x:c r="H162" s="55" t="n">
        <x:f>'Datos_fuente'!H162</x:f>
        <x:v>1.98</x:v>
      </x:c>
      <x:c r="I162" s="55" t="n">
        <x:f>IF(OR(H162="",H161=""),"",H162-H161)</x:f>
        <x:v>-0.06999999999999984</x:v>
      </x:c>
      <x:c r="J162" s="55" t="n">
        <x:f>'Datos_fuente'!J162</x:f>
        <x:v>3.069053995</x:v>
      </x:c>
      <x:c r="K162" s="55" t="n">
        <x:f>IF(OR(J162="",J161=""),"",J162-J161)</x:f>
        <x:v>-0.6705007150000002</x:v>
      </x:c>
      <x:c r="L162" s="87" t="n">
        <x:f>IF('Datos_fuente'!K162="","",LN('Datos_fuente'!K162))</x:f>
        <x:v>4.7554144339217945</x:v>
      </x:c>
      <x:c r="M162" s="87" t="n">
        <x:f>IF(OR(L162="",L161=""),"",L162-L161)</x:f>
        <x:v>0.000368019141228082</x:v>
      </x:c>
      <x:c r="N162" s="87" t="n">
        <x:f>IF('Datos_fuente'!L162="","",LN('Datos_fuente'!L162))</x:f>
        <x:v>3.217000382925856</x:v>
      </x:c>
      <x:c r="O162" s="87" t="n">
        <x:f>IF(OR(N162="",N161=""),"",N162-N161)</x:f>
        <x:v>0.2522920319482336</x:v>
      </x:c>
      <x:c r="P162" s="82" t="n">
        <x:f>'Datos_fuente'!N162</x:f>
        <x:v>0</x:v>
      </x:c>
      <x:c r="Q162" s="1"/>
      <x:c r="R162" s="1"/>
      <x:c r="S162" s="1"/>
      <x:c r="T162" s="1"/>
      <x:c r="U162" s="1"/>
      <x:c r="V162" s="1"/>
      <x:c r="W162" s="1"/>
      <x:c r="X162" s="1"/>
      <x:c r="Y162" s="1"/>
      <x:c r="Z162" s="1"/>
    </x:row>
    <x:row r="163">
      <x:c r="A163" s="1" t="str">
        <x:f>'Datos_fuente'!A163</x:f>
        <x:v>2019-01</x:v>
      </x:c>
      <x:c r="B163" s="87" t="n">
        <x:f>IF('Datos_fuente'!B163="","",LN('Datos_fuente'!B163))</x:f>
        <x:v>8.059967753034135</x:v>
      </x:c>
      <x:c r="C163" s="87" t="n">
        <x:f>IF(OR(B163="",B162=""),"",B163-B162)</x:f>
        <x:v>-0.016718774281571314</x:v>
      </x:c>
      <x:c r="D163" s="87" t="n">
        <x:f>IF('Datos_fuente'!C163="","",LN('Datos_fuente'!C163))</x:f>
        <x:v>4.084454911269537</x:v>
      </x:c>
      <x:c r="E163" s="87" t="n">
        <x:f>IF(OR(D163="",D162=""),"",D163-D162)</x:f>
        <x:v>0.035066695247666146</x:v>
      </x:c>
      <x:c r="F163" s="87" t="n">
        <x:f>IF('Datos_fuente'!E163="","",LN('Datos_fuente'!E163))</x:f>
        <x:v>8.806492954700357</x:v>
      </x:c>
      <x:c r="G163" s="87" t="n">
        <x:f>IF(OR(F163="",F162=""),"",F163-F162)</x:f>
        <x:v>0.00619967209405381</x:v>
      </x:c>
      <x:c r="H163" s="55" t="n">
        <x:f>'Datos_fuente'!H163</x:f>
        <x:v>1.85</x:v>
      </x:c>
      <x:c r="I163" s="55" t="n">
        <x:f>IF(OR(H163="",H162=""),"",H163-H162)</x:f>
        <x:v>-0.1299999999999999</x:v>
      </x:c>
      <x:c r="J163" s="55" t="n">
        <x:f>'Datos_fuente'!J163</x:f>
        <x:v>2.966804535</x:v>
      </x:c>
      <x:c r="K163" s="55" t="n">
        <x:f>IF(OR(J163="",J162=""),"",J163-J162)</x:f>
        <x:v>-0.1022494599999999</x:v>
      </x:c>
      <x:c r="L163" s="87" t="n">
        <x:f>IF('Datos_fuente'!K163="","",LN('Datos_fuente'!K163))</x:f>
        <x:v>4.740072426071734</x:v>
      </x:c>
      <x:c r="M163" s="87" t="n">
        <x:f>IF(OR(L163="",L162=""),"",L163-L162)</x:f>
        <x:v>-0.015342007850060568</x:v>
      </x:c>
      <x:c r="N163" s="87" t="n">
        <x:f>IF('Datos_fuente'!L163="","",LN('Datos_fuente'!L163))</x:f>
        <x:v>2.9741194372677024</x:v>
      </x:c>
      <x:c r="O163" s="87" t="n">
        <x:f>IF(OR(N163="",N162=""),"",N163-N162)</x:f>
        <x:v>-0.24288094565815355</x:v>
      </x:c>
      <x:c r="P163" s="82" t="n">
        <x:f>'Datos_fuente'!N163</x:f>
        <x:v>0</x:v>
      </x:c>
      <x:c r="Q163" s="1"/>
      <x:c r="R163" s="1"/>
      <x:c r="S163" s="1"/>
      <x:c r="T163" s="1"/>
      <x:c r="U163" s="1"/>
      <x:c r="V163" s="1"/>
      <x:c r="W163" s="1"/>
      <x:c r="X163" s="1"/>
      <x:c r="Y163" s="1"/>
      <x:c r="Z163" s="1"/>
    </x:row>
    <x:row r="164">
      <x:c r="A164" s="1" t="str">
        <x:f>'Datos_fuente'!A164</x:f>
        <x:v>2019-02</x:v>
      </x:c>
      <x:c r="B164" s="87" t="n">
        <x:f>IF('Datos_fuente'!B164="","",LN('Datos_fuente'!B164))</x:f>
        <x:v>8.044253599165966</x:v>
      </x:c>
      <x:c r="C164" s="87" t="n">
        <x:f>IF(OR(B164="",B163=""),"",B164-B163)</x:f>
        <x:v>-0.01571415386816888</x:v>
      </x:c>
      <x:c r="D164" s="87" t="n">
        <x:f>IF('Datos_fuente'!C164="","",LN('Datos_fuente'!C164))</x:f>
        <x:v>4.158265705321064</x:v>
      </x:c>
      <x:c r="E164" s="87" t="n">
        <x:f>IF(OR(D164="",D163=""),"",D164-D163)</x:f>
        <x:v>0.07381079405152668</x:v>
      </x:c>
      <x:c r="F164" s="87" t="n">
        <x:f>IF('Datos_fuente'!E164="","",LN('Datos_fuente'!E164))</x:f>
        <x:v>8.812359685577645</x:v>
      </x:c>
      <x:c r="G164" s="87" t="n">
        <x:f>IF(OR(F164="",F163=""),"",F164-F163)</x:f>
        <x:v>0.005866730877288617</x:v>
      </x:c>
      <x:c r="H164" s="55" t="n">
        <x:f>'Datos_fuente'!H164</x:f>
        <x:v>1.85</x:v>
      </x:c>
      <x:c r="I164" s="55" t="n">
        <x:f>IF(OR(H164="",H163=""),"",H164-H163)</x:f>
        <x:v>0</x:v>
      </x:c>
      <x:c r="J164" s="55" t="n">
        <x:f>'Datos_fuente'!J164</x:f>
        <x:v>3.111433419</x:v>
      </x:c>
      <x:c r="K164" s="55" t="n">
        <x:f>IF(OR(J164="",J163=""),"",J164-J163)</x:f>
        <x:v>0.14462888399999985</x:v>
      </x:c>
      <x:c r="L164" s="87" t="n">
        <x:f>IF('Datos_fuente'!K164="","",LN('Datos_fuente'!K164))</x:f>
        <x:v>4.7398147577986975</x:v>
      </x:c>
      <x:c r="M164" s="87" t="n">
        <x:f>IF(OR(L164="",L163=""),"",L164-L163)</x:f>
        <x:v>-0.0002576682730364155</x:v>
      </x:c>
      <x:c r="N164" s="87" t="n">
        <x:f>IF('Datos_fuente'!L164="","",LN('Datos_fuente'!L164))</x:f>
        <x:v>2.7235781389048297</x:v>
      </x:c>
      <x:c r="O164" s="87" t="n">
        <x:f>IF(OR(N164="",N163=""),"",N164-N163)</x:f>
        <x:v>-0.25054129836287276</x:v>
      </x:c>
      <x:c r="P164" s="82" t="n">
        <x:f>'Datos_fuente'!N164</x:f>
        <x:v>0</x:v>
      </x:c>
      <x:c r="Q164" s="1"/>
      <x:c r="R164" s="1"/>
      <x:c r="S164" s="1"/>
      <x:c r="T164" s="1"/>
      <x:c r="U164" s="1"/>
      <x:c r="V164" s="1"/>
      <x:c r="W164" s="1"/>
      <x:c r="X164" s="1"/>
      <x:c r="Y164" s="1"/>
      <x:c r="Z164" s="1"/>
    </x:row>
    <x:row r="165">
      <x:c r="A165" s="1" t="str">
        <x:f>'Datos_fuente'!A165</x:f>
        <x:v>2019-03</x:v>
      </x:c>
      <x:c r="B165" s="87" t="n">
        <x:f>IF('Datos_fuente'!B165="","",LN('Datos_fuente'!B165))</x:f>
        <x:v>8.048367809844011</x:v>
      </x:c>
      <x:c r="C165" s="87" t="n">
        <x:f>IF(OR(B165="",B164=""),"",B165-B164)</x:f>
        <x:v>0.004114210678045183</x:v>
      </x:c>
      <x:c r="D165" s="87" t="n">
        <x:f>IF('Datos_fuente'!C165="","",LN('Datos_fuente'!C165))</x:f>
        <x:v>4.191752108136831</x:v>
      </x:c>
      <x:c r="E165" s="87" t="n">
        <x:f>IF(OR(D165="",D164=""),"",D165-D164)</x:f>
        <x:v>0.03348640281576731</x:v>
      </x:c>
      <x:c r="F165" s="87" t="n">
        <x:f>IF('Datos_fuente'!E165="","",LN('Datos_fuente'!E165))</x:f>
        <x:v>8.821307511929325</x:v>
      </x:c>
      <x:c r="G165" s="87" t="n">
        <x:f>IF(OR(F165="",F164=""),"",F165-F164)</x:f>
        <x:v>0.008947826351679566</x:v>
      </x:c>
      <x:c r="H165" s="55" t="n">
        <x:f>'Datos_fuente'!H165</x:f>
        <x:v>1.84</x:v>
      </x:c>
      <x:c r="I165" s="55" t="n">
        <x:f>IF(OR(H165="",H164=""),"",H165-H164)</x:f>
        <x:v>-0.010000000000000009</x:v>
      </x:c>
      <x:c r="J165" s="55" t="n">
        <x:f>'Datos_fuente'!J165</x:f>
        <x:v>2.964295513</x:v>
      </x:c>
      <x:c r="K165" s="55" t="n">
        <x:f>IF(OR(J165="",J164=""),"",J165-J164)</x:f>
        <x:v>-0.14713790599999976</x:v>
      </x:c>
      <x:c r="L165" s="87" t="n">
        <x:f>IF('Datos_fuente'!K165="","",LN('Datos_fuente'!K165))</x:f>
        <x:v>4.743047910861582</x:v>
      </x:c>
      <x:c r="M165" s="87" t="n">
        <x:f>IF(OR(L165="",L164=""),"",L165-L164)</x:f>
        <x:v>0.0032331530628848526</x:v>
      </x:c>
      <x:c r="N165" s="87" t="n">
        <x:f>IF('Datos_fuente'!L165="","",LN('Datos_fuente'!L165))</x:f>
        <x:v>2.6731300687803827</x:v>
      </x:c>
      <x:c r="O165" s="87" t="n">
        <x:f>IF(OR(N165="",N164=""),"",N165-N164)</x:f>
        <x:v>-0.050448070124446964</x:v>
      </x:c>
      <x:c r="P165" s="82" t="n">
        <x:f>'Datos_fuente'!N165</x:f>
        <x:v>0</x:v>
      </x:c>
      <x:c r="Q165" s="1"/>
      <x:c r="R165" s="1"/>
      <x:c r="S165" s="1"/>
      <x:c r="T165" s="1"/>
      <x:c r="U165" s="1"/>
      <x:c r="V165" s="1"/>
      <x:c r="W165" s="1"/>
      <x:c r="X165" s="1"/>
      <x:c r="Y165" s="1"/>
      <x:c r="Z165" s="1"/>
    </x:row>
    <x:row r="166">
      <x:c r="A166" s="1" t="str">
        <x:f>'Datos_fuente'!A166</x:f>
        <x:v>2019-04</x:v>
      </x:c>
      <x:c r="B166" s="87" t="n">
        <x:f>IF('Datos_fuente'!B166="","",LN('Datos_fuente'!B166))</x:f>
        <x:v>8.056986217849909</x:v>
      </x:c>
      <x:c r="C166" s="87" t="n">
        <x:f>IF(OR(B166="",B165=""),"",B166-B165)</x:f>
        <x:v>0.008618408005897749</x:v>
      </x:c>
      <x:c r="D166" s="87" t="n">
        <x:f>IF('Datos_fuente'!C166="","",LN('Datos_fuente'!C166))</x:f>
        <x:v>4.265960873610197</x:v>
      </x:c>
      <x:c r="E166" s="87" t="n">
        <x:f>IF(OR(D166="",D165=""),"",D166-D165)</x:f>
        <x:v>0.07420876547336608</x:v>
      </x:c>
      <x:c r="F166" s="87" t="n">
        <x:f>IF('Datos_fuente'!E166="","",LN('Datos_fuente'!E166))</x:f>
        <x:v>8.830254957437356</x:v>
      </x:c>
      <x:c r="G166" s="87" t="n">
        <x:f>IF(OR(F166="",F165=""),"",F166-F165)</x:f>
        <x:v>0.008947445508031393</x:v>
      </x:c>
      <x:c r="H166" s="55" t="n">
        <x:f>'Datos_fuente'!H166</x:f>
        <x:v>1.83</x:v>
      </x:c>
      <x:c r="I166" s="55" t="n">
        <x:f>IF(OR(H166="",H165=""),"",H166-H165)</x:f>
        <x:v>-0.010000000000000009</x:v>
      </x:c>
      <x:c r="J166" s="55" t="n">
        <x:f>'Datos_fuente'!J166</x:f>
        <x:v>2.704744298</x:v>
      </x:c>
      <x:c r="K166" s="55" t="n">
        <x:f>IF(OR(J166="",J165=""),"",J166-J165)</x:f>
        <x:v>-0.2595512150000001</x:v>
      </x:c>
      <x:c r="L166" s="87" t="n">
        <x:f>IF('Datos_fuente'!K166="","",LN('Datos_fuente'!K166))</x:f>
        <x:v>4.744094860561062</x:v>
      </x:c>
      <x:c r="M166" s="87" t="n">
        <x:f>IF(OR(L166="",L165=""),"",L166-L165)</x:f>
        <x:v>0.0010469496994796046</x:v>
      </x:c>
      <x:c r="N166" s="87" t="n">
        <x:f>IF('Datos_fuente'!L166="","",LN('Datos_fuente'!L166))</x:f>
        <x:v>2.5610222425839955</x:v>
      </x:c>
      <x:c r="O166" s="87" t="n">
        <x:f>IF(OR(N166="",N165=""),"",N166-N165)</x:f>
        <x:v>-0.11210782619638726</x:v>
      </x:c>
      <x:c r="P166" s="82" t="n">
        <x:f>'Datos_fuente'!N166</x:f>
        <x:v>0</x:v>
      </x:c>
      <x:c r="Q166" s="1"/>
      <x:c r="R166" s="1"/>
      <x:c r="S166" s="1"/>
      <x:c r="T166" s="1"/>
      <x:c r="U166" s="1"/>
      <x:c r="V166" s="1"/>
      <x:c r="W166" s="1"/>
      <x:c r="X166" s="1"/>
      <x:c r="Y166" s="1"/>
      <x:c r="Z166" s="1"/>
    </x:row>
    <x:row r="167">
      <x:c r="A167" s="1" t="str">
        <x:f>'Datos_fuente'!A167</x:f>
        <x:v>2019-05</x:v>
      </x:c>
      <x:c r="B167" s="87" t="n">
        <x:f>IF('Datos_fuente'!B167="","",LN('Datos_fuente'!B167))</x:f>
        <x:v>8.103038795353978</x:v>
      </x:c>
      <x:c r="C167" s="87" t="n">
        <x:f>IF(OR(B167="",B166=""),"",B167-B166)</x:f>
        <x:v>0.04605257750406899</x:v>
      </x:c>
      <x:c r="D167" s="87" t="n">
        <x:f>IF('Datos_fuente'!C167="","",LN('Datos_fuente'!C167))</x:f>
        <x:v>4.267144925829868</x:v>
      </x:c>
      <x:c r="E167" s="87" t="n">
        <x:f>IF(OR(D167="",D166=""),"",D167-D166)</x:f>
        <x:v>0.0011840522196706615</x:v>
      </x:c>
      <x:c r="F167" s="87" t="n">
        <x:f>IF('Datos_fuente'!E167="","",LN('Datos_fuente'!E167))</x:f>
        <x:v>8.844790447359404</x:v>
      </x:c>
      <x:c r="G167" s="87" t="n">
        <x:f>IF(OR(F167="",F166=""),"",F167-F166)</x:f>
        <x:v>0.014535489922048228</x:v>
      </x:c>
      <x:c r="H167" s="55" t="n">
        <x:f>'Datos_fuente'!H167</x:f>
        <x:v>1.86</x:v>
      </x:c>
      <x:c r="I167" s="55" t="n">
        <x:f>IF(OR(H167="",H166=""),"",H167-H166)</x:f>
        <x:v>0.030000000000000027</x:v>
      </x:c>
      <x:c r="J167" s="55" t="n">
        <x:f>'Datos_fuente'!J167</x:f>
        <x:v>2.636824315</x:v>
      </x:c>
      <x:c r="K167" s="55" t="n">
        <x:f>IF(OR(J167="",J166=""),"",J167-J166)</x:f>
        <x:v>-0.0679199829999999</x:v>
      </x:c>
      <x:c r="L167" s="87" t="n">
        <x:f>IF('Datos_fuente'!K167="","",LN('Datos_fuente'!K167))</x:f>
        <x:v>4.753222725323221</x:v>
      </x:c>
      <x:c r="M167" s="87" t="n">
        <x:f>IF(OR(L167="",L166=""),"",L167-L166)</x:f>
        <x:v>0.0091278647621591</x:v>
      </x:c>
      <x:c r="N167" s="87" t="n">
        <x:f>IF('Datos_fuente'!L167="","",LN('Datos_fuente'!L167))</x:f>
        <x:v>2.81671434456745</x:v>
      </x:c>
      <x:c r="O167" s="87" t="n">
        <x:f>IF(OR(N167="",N166=""),"",N167-N166)</x:f>
        <x:v>0.2556921019834544</x:v>
      </x:c>
      <x:c r="P167" s="82" t="n">
        <x:f>'Datos_fuente'!N167</x:f>
        <x:v>0</x:v>
      </x:c>
      <x:c r="Q167" s="1"/>
      <x:c r="R167" s="1"/>
      <x:c r="S167" s="1"/>
      <x:c r="T167" s="1"/>
      <x:c r="U167" s="1"/>
      <x:c r="V167" s="1"/>
      <x:c r="W167" s="1"/>
      <x:c r="X167" s="1"/>
      <x:c r="Y167" s="1"/>
      <x:c r="Z167" s="1"/>
    </x:row>
    <x:row r="168">
      <x:c r="A168" s="1" t="str">
        <x:f>'Datos_fuente'!A168</x:f>
        <x:v>2019-06</x:v>
      </x:c>
      <x:c r="B168" s="87" t="n">
        <x:f>IF('Datos_fuente'!B168="","",LN('Datos_fuente'!B168))</x:f>
        <x:v>8.089641050743909</x:v>
      </x:c>
      <x:c r="C168" s="87" t="n">
        <x:f>IF(OR(B168="",B167=""),"",B168-B167)</x:f>
        <x:v>-0.01339774461006904</x:v>
      </x:c>
      <x:c r="D168" s="87" t="n">
        <x:f>IF('Datos_fuente'!C168="","",LN('Datos_fuente'!C168))</x:f>
        <x:v>4.16232247436759</x:v>
      </x:c>
      <x:c r="E168" s="87" t="n">
        <x:f>IF(OR(D168="",D167=""),"",D168-D167)</x:f>
        <x:v>-0.10482245146227775</x:v>
      </x:c>
      <x:c r="F168" s="87" t="n">
        <x:f>IF('Datos_fuente'!E168="","",LN('Datos_fuente'!E168))</x:f>
        <x:v>8.846885352325076</x:v>
      </x:c>
      <x:c r="G168" s="87" t="n">
        <x:f>IF(OR(F168="",F167=""),"",F168-F167)</x:f>
        <x:v>0.0020949049656717733</x:v>
      </x:c>
      <x:c r="H168" s="55" t="n">
        <x:f>'Datos_fuente'!H168</x:f>
        <x:v>1.87</x:v>
      </x:c>
      <x:c r="I168" s="55" t="n">
        <x:f>IF(OR(H168="",H167=""),"",H168-H167)</x:f>
        <x:v>0.010000000000000009</x:v>
      </x:c>
      <x:c r="J168" s="55" t="n">
        <x:f>'Datos_fuente'!J168</x:f>
        <x:v>2.284106697</x:v>
      </x:c>
      <x:c r="K168" s="55" t="n">
        <x:f>IF(OR(J168="",J167=""),"",J168-J167)</x:f>
        <x:v>-0.35271761800000023</x:v>
      </x:c>
      <x:c r="L168" s="87" t="n">
        <x:f>IF('Datos_fuente'!K168="","",LN('Datos_fuente'!K168))</x:f>
        <x:v>4.7486389019554425</x:v>
      </x:c>
      <x:c r="M168" s="87" t="n">
        <x:f>IF(OR(L168="",L167=""),"",L168-L167)</x:f>
        <x:v>-0.004583823367778628</x:v>
      </x:c>
      <x:c r="N168" s="87" t="n">
        <x:f>IF('Datos_fuente'!L168="","",LN('Datos_fuente'!L168))</x:f>
        <x:v>2.762285829243884</x:v>
      </x:c>
      <x:c r="O168" s="87" t="n">
        <x:f>IF(OR(N168="",N167=""),"",N168-N167)</x:f>
        <x:v>-0.05442851532356574</x:v>
      </x:c>
      <x:c r="P168" s="82" t="n">
        <x:f>'Datos_fuente'!N168</x:f>
        <x:v>0</x:v>
      </x:c>
      <x:c r="Q168" s="1"/>
      <x:c r="R168" s="1"/>
      <x:c r="S168" s="1"/>
      <x:c r="T168" s="1"/>
      <x:c r="U168" s="1"/>
      <x:c r="V168" s="1"/>
      <x:c r="W168" s="1"/>
      <x:c r="X168" s="1"/>
      <x:c r="Y168" s="1"/>
      <x:c r="Z168" s="1"/>
    </x:row>
    <x:row r="169">
      <x:c r="A169" s="1" t="str">
        <x:f>'Datos_fuente'!A169</x:f>
        <x:v>2019-07</x:v>
      </x:c>
      <x:c r="B169" s="87" t="n">
        <x:f>IF('Datos_fuente'!B169="","",LN('Datos_fuente'!B169))</x:f>
        <x:v>8.072966565484476</x:v>
      </x:c>
      <x:c r="C169" s="87" t="n">
        <x:f>IF(OR(B169="",B168=""),"",B169-B168)</x:f>
        <x:v>-0.016674485259432714</x:v>
      </x:c>
      <x:c r="D169" s="87" t="n">
        <x:f>IF('Datos_fuente'!C169="","",LN('Datos_fuente'!C169))</x:f>
        <x:v>4.157618697329188</x:v>
      </x:c>
      <x:c r="E169" s="87" t="n">
        <x:f>IF(OR(D169="",D168=""),"",D169-D168)</x:f>
        <x:v>-0.004703777038401746</x:v>
      </x:c>
      <x:c r="F169" s="87" t="n">
        <x:f>IF('Datos_fuente'!E169="","",LN('Datos_fuente'!E169))</x:f>
        <x:v>8.854526485792226</x:v>
      </x:c>
      <x:c r="G169" s="87" t="n">
        <x:f>IF(OR(F169="",F168=""),"",F169-F168)</x:f>
        <x:v>0.0076411334671497855</x:v>
      </x:c>
      <x:c r="H169" s="55" t="n">
        <x:f>'Datos_fuente'!H169</x:f>
        <x:v>1.85</x:v>
      </x:c>
      <x:c r="I169" s="55" t="n">
        <x:f>IF(OR(H169="",H168=""),"",H169-H168)</x:f>
        <x:v>-0.020000000000000018</x:v>
      </x:c>
      <x:c r="J169" s="55" t="n">
        <x:f>'Datos_fuente'!J169</x:f>
        <x:v>2.035827815</x:v>
      </x:c>
      <x:c r="K169" s="55" t="n">
        <x:f>IF(OR(J169="",J168=""),"",J169-J168)</x:f>
        <x:v>-0.2482788819999997</x:v>
      </x:c>
      <x:c r="L169" s="87" t="n">
        <x:f>IF('Datos_fuente'!K169="","",LN('Datos_fuente'!K169))</x:f>
        <x:v>4.7456066043314475</x:v>
      </x:c>
      <x:c r="M169" s="87" t="n">
        <x:f>IF(OR(L169="",L168=""),"",L169-L168)</x:f>
        <x:v>-0.0030322976239949284</x:v>
      </x:c>
      <x:c r="N169" s="87" t="n">
        <x:f>IF('Datos_fuente'!L169="","",LN('Datos_fuente'!L169))</x:f>
        <x:v>2.5882082290402306</x:v>
      </x:c>
      <x:c r="O169" s="87" t="n">
        <x:f>IF(OR(N169="",N168=""),"",N169-N168)</x:f>
        <x:v>-0.17407760020365348</x:v>
      </x:c>
      <x:c r="P169" s="82" t="n">
        <x:f>'Datos_fuente'!N169</x:f>
        <x:v>0</x:v>
      </x:c>
      <x:c r="Q169" s="1"/>
      <x:c r="R169" s="1"/>
      <x:c r="S169" s="1"/>
      <x:c r="T169" s="1"/>
      <x:c r="U169" s="1"/>
      <x:c r="V169" s="1"/>
      <x:c r="W169" s="1"/>
      <x:c r="X169" s="1"/>
      <x:c r="Y169" s="1"/>
      <x:c r="Z169" s="1"/>
    </x:row>
    <x:row r="170">
      <x:c r="A170" s="1" t="str">
        <x:f>'Datos_fuente'!A170</x:f>
        <x:v>2019-08</x:v>
      </x:c>
      <x:c r="B170" s="87" t="n">
        <x:f>IF('Datos_fuente'!B170="","",LN('Datos_fuente'!B170))</x:f>
        <x:v>8.134681339802595</x:v>
      </x:c>
      <x:c r="C170" s="87" t="n">
        <x:f>IF(OR(B170="",B169=""),"",B170-B169)</x:f>
        <x:v>0.061714774318119225</x:v>
      </x:c>
      <x:c r="D170" s="87" t="n">
        <x:f>IF('Datos_fuente'!C170="","",LN('Datos_fuente'!C170))</x:f>
        <x:v>4.078245975549746</x:v>
      </x:c>
      <x:c r="E170" s="87" t="n">
        <x:f>IF(OR(D170="",D169=""),"",D170-D169)</x:f>
        <x:v>-0.07937272177944266</x:v>
      </x:c>
      <x:c r="F170" s="87" t="n">
        <x:f>IF('Datos_fuente'!E170="","",LN('Datos_fuente'!E170))</x:f>
        <x:v>8.864981162935774</x:v>
      </x:c>
      <x:c r="G170" s="87" t="n">
        <x:f>IF(OR(F170="",F169=""),"",F170-F169)</x:f>
        <x:v>0.010454677143547642</x:v>
      </x:c>
      <x:c r="H170" s="55" t="n">
        <x:f>'Datos_fuente'!H170</x:f>
        <x:v>2.12</x:v>
      </x:c>
      <x:c r="I170" s="55" t="n">
        <x:f>IF(OR(H170="",H169=""),"",H170-H169)</x:f>
        <x:v>0.27</x:v>
      </x:c>
      <x:c r="J170" s="55" t="n">
        <x:f>'Datos_fuente'!J170</x:f>
        <x:v>2.009210978</x:v>
      </x:c>
      <x:c r="K170" s="55" t="n">
        <x:f>IF(OR(J170="",J169=""),"",J170-J169)</x:f>
        <x:v>-0.02661683700000017</x:v>
      </x:c>
      <x:c r="L170" s="87" t="n">
        <x:f>IF('Datos_fuente'!K170="","",LN('Datos_fuente'!K170))</x:f>
        <x:v>4.7630315703420365</x:v>
      </x:c>
      <x:c r="M170" s="87" t="n">
        <x:f>IF(OR(L170="",L169=""),"",L170-L169)</x:f>
        <x:v>0.01742496601058896</x:v>
      </x:c>
      <x:c r="N170" s="87" t="n">
        <x:f>IF('Datos_fuente'!L170="","",LN('Datos_fuente'!L170))</x:f>
        <x:v>2.9433378947743973</x:v>
      </x:c>
      <x:c r="O170" s="87" t="n">
        <x:f>IF(OR(N170="",N169=""),"",N170-N169)</x:f>
        <x:v>0.3551296657341667</x:v>
      </x:c>
      <x:c r="P170" s="82" t="n">
        <x:f>'Datos_fuente'!N170</x:f>
        <x:v>0</x:v>
      </x:c>
      <x:c r="Q170" s="1"/>
      <x:c r="R170" s="1"/>
      <x:c r="S170" s="1"/>
      <x:c r="T170" s="1"/>
      <x:c r="U170" s="1"/>
      <x:c r="V170" s="1"/>
      <x:c r="W170" s="1"/>
      <x:c r="X170" s="1"/>
      <x:c r="Y170" s="1"/>
      <x:c r="Z170" s="1"/>
    </x:row>
    <x:row r="171">
      <x:c r="A171" s="1" t="str">
        <x:f>'Datos_fuente'!A171</x:f>
        <x:v>2019-09</x:v>
      </x:c>
      <x:c r="B171" s="87" t="n">
        <x:f>IF('Datos_fuente'!B171="","",LN('Datos_fuente'!B171))</x:f>
        <x:v>8.131370991967557</x:v>
      </x:c>
      <x:c r="C171" s="87" t="n">
        <x:f>IF(OR(B171="",B170=""),"",B171-B170)</x:f>
        <x:v>-0.00331034783503803</x:v>
      </x:c>
      <x:c r="D171" s="87" t="n">
        <x:f>IF('Datos_fuente'!C171="","",LN('Datos_fuente'!C171))</x:f>
        <x:v>4.140379611848168</x:v>
      </x:c>
      <x:c r="E171" s="87" t="n">
        <x:f>IF(OR(D171="",D170=""),"",D171-D170)</x:f>
        <x:v>0.06213363629842217</x:v>
      </x:c>
      <x:c r="F171" s="87" t="n">
        <x:f>IF('Datos_fuente'!E171="","",LN('Datos_fuente'!E171))</x:f>
        <x:v>8.869513467537121</x:v>
      </x:c>
      <x:c r="G171" s="87" t="n">
        <x:f>IF(OR(F171="",F170=""),"",F171-F170)</x:f>
        <x:v>0.004532304601347903</x:v>
      </x:c>
      <x:c r="H171" s="55" t="n">
        <x:f>'Datos_fuente'!H171</x:f>
        <x:v>2.21</x:v>
      </x:c>
      <x:c r="I171" s="55" t="n">
        <x:f>IF(OR(H171="",H170=""),"",H171-H170)</x:f>
        <x:v>0.08999999999999986</x:v>
      </x:c>
      <x:c r="J171" s="55" t="n">
        <x:f>'Datos_fuente'!J171</x:f>
        <x:v>1.762752869</x:v>
      </x:c>
      <x:c r="K171" s="55" t="n">
        <x:f>IF(OR(J171="",J170=""),"",J171-J170)</x:f>
        <x:v>-0.24645810899999998</x:v>
      </x:c>
      <x:c r="L171" s="87" t="n">
        <x:f>IF('Datos_fuente'!K171="","",LN('Datos_fuente'!K171))</x:f>
        <x:v>4.76493865643888</x:v>
      </x:c>
      <x:c r="M171" s="87" t="n">
        <x:f>IF(OR(L171="",L170=""),"",L171-L170)</x:f>
        <x:v>0.0019070860968435355</x:v>
      </x:c>
      <x:c r="N171" s="87" t="n">
        <x:f>IF('Datos_fuente'!L171="","",LN('Datos_fuente'!L171))</x:f>
        <x:v>2.7446392493328258</x:v>
      </x:c>
      <x:c r="O171" s="87" t="n">
        <x:f>IF(OR(N171="",N170=""),"",N171-N170)</x:f>
        <x:v>-0.19869864544157156</x:v>
      </x:c>
      <x:c r="P171" s="82" t="n">
        <x:f>'Datos_fuente'!N171</x:f>
        <x:v>0</x:v>
      </x:c>
      <x:c r="Q171" s="1"/>
      <x:c r="R171" s="1"/>
      <x:c r="S171" s="1"/>
      <x:c r="T171" s="1"/>
      <x:c r="U171" s="1"/>
      <x:c r="V171" s="1"/>
      <x:c r="W171" s="1"/>
      <x:c r="X171" s="1"/>
      <x:c r="Y171" s="1"/>
      <x:c r="Z171" s="1"/>
    </x:row>
    <x:row r="172">
      <x:c r="A172" s="1" t="str">
        <x:f>'Datos_fuente'!A172</x:f>
        <x:v>2019-10</x:v>
      </x:c>
      <x:c r="B172" s="87" t="n">
        <x:f>IF('Datos_fuente'!B172="","",LN('Datos_fuente'!B172))</x:f>
        <x:v>8.141280559218927</x:v>
      </x:c>
      <x:c r="C172" s="87" t="n">
        <x:f>IF(OR(B172="",B171=""),"",B172-B171)</x:f>
        <x:v>0.009909567251369822</x:v>
      </x:c>
      <x:c r="D172" s="87" t="n">
        <x:f>IF('Datos_fuente'!C172="","",LN('Datos_fuente'!C172))</x:f>
        <x:v>4.089550480286551</x:v>
      </x:c>
      <x:c r="E172" s="87" t="n">
        <x:f>IF(OR(D172="",D171=""),"",D172-D171)</x:f>
        <x:v>-0.05082913156161695</x:v>
      </x:c>
      <x:c r="F172" s="87" t="n">
        <x:f>IF('Datos_fuente'!E172="","",LN('Datos_fuente'!E172))</x:f>
        <x:v>8.86676214752021</x:v>
      </x:c>
      <x:c r="G172" s="87" t="n">
        <x:f>IF(OR(F172="",F171=""),"",F172-F171)</x:f>
        <x:v>-0.0027513200169106966</x:v>
      </x:c>
      <x:c r="H172" s="55" t="n">
        <x:f>'Datos_fuente'!H172</x:f>
        <x:v>2.42</x:v>
      </x:c>
      <x:c r="I172" s="55" t="n">
        <x:f>IF(OR(H172="",H171=""),"",H172-H171)</x:f>
        <x:v>0.20999999999999996</x:v>
      </x:c>
      <x:c r="J172" s="55" t="n">
        <x:f>'Datos_fuente'!J172</x:f>
        <x:v>2.044472782</x:v>
      </x:c>
      <x:c r="K172" s="55" t="n">
        <x:f>IF(OR(J172="",J171=""),"",J172-J171)</x:f>
        <x:v>0.2817199130000001</x:v>
      </x:c>
      <x:c r="L172" s="87" t="n">
        <x:f>IF('Datos_fuente'!K172="","",LN('Datos_fuente'!K172))</x:f>
        <x:v>4.760002854065631</x:v>
      </x:c>
      <x:c r="M172" s="87" t="n">
        <x:f>IF(OR(L172="",L171=""),"",L172-L171)</x:f>
        <x:v>-0.0049358023732493095</x:v>
      </x:c>
      <x:c r="N172" s="87" t="n">
        <x:f>IF('Datos_fuente'!L172="","",LN('Datos_fuente'!L172))</x:f>
        <x:v>2.738677800261578</x:v>
      </x:c>
      <x:c r="O172" s="87" t="n">
        <x:f>IF(OR(N172="",N171=""),"",N172-N171)</x:f>
        <x:v>-0.0059614490712478485</x:v>
      </x:c>
      <x:c r="P172" s="82" t="n">
        <x:f>'Datos_fuente'!N172</x:f>
        <x:v>0</x:v>
      </x:c>
      <x:c r="Q172" s="1"/>
      <x:c r="R172" s="1"/>
      <x:c r="S172" s="1"/>
      <x:c r="T172" s="1"/>
      <x:c r="U172" s="1"/>
      <x:c r="V172" s="1"/>
      <x:c r="W172" s="1"/>
      <x:c r="X172" s="1"/>
      <x:c r="Y172" s="1"/>
      <x:c r="Z172" s="1"/>
    </x:row>
    <x:row r="173">
      <x:c r="A173" s="1" t="str">
        <x:f>'Datos_fuente'!A173</x:f>
        <x:v>2019-11</x:v>
      </x:c>
      <x:c r="B173" s="87" t="n">
        <x:f>IF('Datos_fuente'!B173="","",LN('Datos_fuente'!B173))</x:f>
        <x:v>8.131963852079057</x:v>
      </x:c>
      <x:c r="C173" s="87" t="n">
        <x:f>IF(OR(B173="",B172=""),"",B173-B172)</x:f>
        <x:v>-0.009316707139870317</x:v>
      </x:c>
      <x:c r="D173" s="87" t="n">
        <x:f>IF('Datos_fuente'!C173="","",LN('Datos_fuente'!C173))</x:f>
        <x:v>4.146492649869774</x:v>
      </x:c>
      <x:c r="E173" s="87" t="n">
        <x:f>IF(OR(D173="",D172=""),"",D173-D172)</x:f>
        <x:v>0.05694216958322329</x:v>
      </x:c>
      <x:c r="F173" s="87" t="n">
        <x:f>IF('Datos_fuente'!E173="","",LN('Datos_fuente'!E173))</x:f>
        <x:v>8.860331730216636</x:v>
      </x:c>
      <x:c r="G173" s="87" t="n">
        <x:f>IF(OR(F173="",F172=""),"",F173-F172)</x:f>
        <x:v>-0.0064304173035747425</x:v>
      </x:c>
      <x:c r="H173" s="55" t="n">
        <x:f>'Datos_fuente'!H173</x:f>
        <x:v>2.7</x:v>
      </x:c>
      <x:c r="I173" s="55" t="n">
        <x:f>IF(OR(H173="",H172=""),"",H173-H172)</x:f>
        <x:v>0.28000000000000025</x:v>
      </x:c>
      <x:c r="J173" s="55" t="n">
        <x:f>'Datos_fuente'!J173</x:f>
        <x:v>2.11895512</x:v>
      </x:c>
      <x:c r="K173" s="55" t="n">
        <x:f>IF(OR(J173="",J172=""),"",J173-J172)</x:f>
        <x:v>0.0744823379999997</x:v>
      </x:c>
      <x:c r="L173" s="87" t="n">
        <x:f>IF('Datos_fuente'!K173="","",LN('Datos_fuente'!K173))</x:f>
        <x:v>4.7584016011353</x:v>
      </x:c>
      <x:c r="M173" s="87" t="n">
        <x:f>IF(OR(L173="",L172=""),"",L173-L172)</x:f>
        <x:v>-0.0016012529303308654</x:v>
      </x:c>
      <x:c r="N173" s="87" t="n">
        <x:f>IF('Datos_fuente'!L173="","",LN('Datos_fuente'!L173))</x:f>
        <x:v>2.527606879320028</x:v>
      </x:c>
      <x:c r="O173" s="87" t="n">
        <x:f>IF(OR(N173="",N172=""),"",N173-N172)</x:f>
        <x:v>-0.21107092094155</x:v>
      </x:c>
      <x:c r="P173" s="82" t="n">
        <x:f>'Datos_fuente'!N173</x:f>
        <x:v>0</x:v>
      </x:c>
      <x:c r="Q173" s="1"/>
      <x:c r="R173" s="1"/>
      <x:c r="S173" s="1"/>
      <x:c r="T173" s="1"/>
      <x:c r="U173" s="1"/>
      <x:c r="V173" s="1"/>
      <x:c r="W173" s="1"/>
      <x:c r="X173" s="1"/>
      <x:c r="Y173" s="1"/>
      <x:c r="Z173" s="1"/>
    </x:row>
    <x:row r="174">
      <x:c r="A174" s="1" t="str">
        <x:f>'Datos_fuente'!A174</x:f>
        <x:v>2019-12</x:v>
      </x:c>
      <x:c r="B174" s="87" t="n">
        <x:f>IF('Datos_fuente'!B174="","",LN('Datos_fuente'!B174))</x:f>
        <x:v>8.125054089854528</x:v>
      </x:c>
      <x:c r="C174" s="87" t="n">
        <x:f>IF(OR(B174="",B173=""),"",B174-B173)</x:f>
        <x:v>-0.0069097622245291035</x:v>
      </x:c>
      <x:c r="D174" s="87" t="n">
        <x:f>IF('Datos_fuente'!C174="","",LN('Datos_fuente'!C174))</x:f>
        <x:v>4.207928317079434</x:v>
      </x:c>
      <x:c r="E174" s="87" t="n">
        <x:f>IF(OR(D174="",D173=""),"",D174-D173)</x:f>
        <x:v>0.06143566720965943</x:v>
      </x:c>
      <x:c r="F174" s="87" t="n">
        <x:f>IF('Datos_fuente'!E174="","",LN('Datos_fuente'!E174))</x:f>
        <x:v>8.865951077999537</x:v>
      </x:c>
      <x:c r="G174" s="87" t="n">
        <x:f>IF(OR(F174="",F173=""),"",F174-F173)</x:f>
        <x:v>0.005619347782900519</x:v>
      </x:c>
      <x:c r="H174" s="55" t="n">
        <x:f>'Datos_fuente'!H174</x:f>
        <x:v>2.7</x:v>
      </x:c>
      <x:c r="I174" s="55" t="n">
        <x:f>IF(OR(H174="",H173=""),"",H174-H173)</x:f>
        <x:v>0</x:v>
      </x:c>
      <x:c r="J174" s="55" t="n">
        <x:f>'Datos_fuente'!J174</x:f>
        <x:v>2.457251638</x:v>
      </x:c>
      <x:c r="K174" s="55" t="n">
        <x:f>IF(OR(J174="",J173=""),"",J174-J173)</x:f>
        <x:v>0.33829651799999994</x:v>
      </x:c>
      <x:c r="L174" s="87" t="n">
        <x:f>IF('Datos_fuente'!K174="","",LN('Datos_fuente'!K174))</x:f>
        <x:v>4.7528106632155005</x:v>
      </x:c>
      <x:c r="M174" s="87" t="n">
        <x:f>IF(OR(L174="",L173=""),"",L174-L173)</x:f>
        <x:v>-0.005590937919799366</x:v>
      </x:c>
      <x:c r="N174" s="87" t="n">
        <x:f>IF('Datos_fuente'!L174="","",LN('Datos_fuente'!L174))</x:f>
        <x:v>2.6215235553386873</x:v>
      </x:c>
      <x:c r="O174" s="87" t="n">
        <x:f>IF(OR(N174="",N173=""),"",N174-N173)</x:f>
        <x:v>0.09391667601865938</x:v>
      </x:c>
      <x:c r="P174" s="82" t="n">
        <x:f>'Datos_fuente'!N174</x:f>
        <x:v>0</x:v>
      </x:c>
      <x:c r="Q174" s="1"/>
      <x:c r="R174" s="1"/>
      <x:c r="S174" s="1"/>
      <x:c r="T174" s="1"/>
      <x:c r="U174" s="1"/>
      <x:c r="V174" s="1"/>
      <x:c r="W174" s="1"/>
      <x:c r="X174" s="1"/>
      <x:c r="Y174" s="1"/>
      <x:c r="Z174" s="1"/>
    </x:row>
    <x:row r="175">
      <x:c r="A175" s="1" t="str">
        <x:f>'Datos_fuente'!A175</x:f>
        <x:v>2020-01</x:v>
      </x:c>
      <x:c r="B175" s="87" t="n">
        <x:f>IF('Datos_fuente'!B175="","",LN('Datos_fuente'!B175))</x:f>
        <x:v>8.105062725582775</x:v>
      </x:c>
      <x:c r="C175" s="87" t="n">
        <x:f>IF(OR(B175="",B174=""),"",B175-B174)</x:f>
        <x:v>-0.019991364271753298</x:v>
      </x:c>
      <x:c r="D175" s="87" t="n">
        <x:f>IF('Datos_fuente'!C175="","",LN('Datos_fuente'!C175))</x:f>
        <x:v>4.1533279092562</x:v>
      </x:c>
      <x:c r="E175" s="87" t="n">
        <x:f>IF(OR(D175="",D174=""),"",D175-D174)</x:f>
        <x:v>-0.05460040782323361</x:v>
      </x:c>
      <x:c r="F175" s="87" t="n">
        <x:f>IF('Datos_fuente'!E175="","",LN('Datos_fuente'!E175))</x:f>
        <x:v>8.86106087135193</x:v>
      </x:c>
      <x:c r="G175" s="87" t="n">
        <x:f>IF(OR(F175="",F174=""),"",F175-F174)</x:f>
        <x:v>-0.004890206647607087</x:v>
      </x:c>
      <x:c r="H175" s="55" t="n">
        <x:f>'Datos_fuente'!H175</x:f>
        <x:v>2.7</x:v>
      </x:c>
      <x:c r="I175" s="55" t="n">
        <x:f>IF(OR(H175="",H174=""),"",H175-H174)</x:f>
        <x:v>0</x:v>
      </x:c>
      <x:c r="J175" s="55" t="n">
        <x:f>'Datos_fuente'!J175</x:f>
        <x:v>2.72996169</x:v>
      </x:c>
      <x:c r="K175" s="55" t="n">
        <x:f>IF(OR(J175="",J174=""),"",J175-J174)</x:f>
        <x:v>0.2727100520000003</x:v>
      </x:c>
      <x:c r="L175" s="87" t="n">
        <x:f>IF('Datos_fuente'!K175="","",LN('Datos_fuente'!K175))</x:f>
        <x:v>4.747358622912322</x:v>
      </x:c>
      <x:c r="M175" s="87" t="n">
        <x:f>IF(OR(L175="",L174=""),"",L175-L174)</x:f>
        <x:v>-0.005452040303178585</x:v>
      </x:c>
      <x:c r="N175" s="87" t="n">
        <x:f>IF('Datos_fuente'!L175="","",LN('Datos_fuente'!L175))</x:f>
        <x:v>2.634830722941288</x:v>
      </x:c>
      <x:c r="O175" s="87" t="n">
        <x:f>IF(OR(N175="",N174=""),"",N175-N174)</x:f>
        <x:v>0.013307167602600867</x:v>
      </x:c>
      <x:c r="P175" s="82" t="n">
        <x:f>'Datos_fuente'!N175</x:f>
        <x:v>0</x:v>
      </x:c>
      <x:c r="Q175" s="1"/>
      <x:c r="R175" s="1"/>
      <x:c r="S175" s="1"/>
      <x:c r="T175" s="1"/>
      <x:c r="U175" s="1"/>
      <x:c r="V175" s="1"/>
      <x:c r="W175" s="1"/>
      <x:c r="X175" s="1"/>
      <x:c r="Y175" s="1"/>
      <x:c r="Z175" s="1"/>
    </x:row>
    <x:row r="176">
      <x:c r="A176" s="1" t="str">
        <x:f>'Datos_fuente'!A176</x:f>
        <x:v>2020-02</x:v>
      </x:c>
      <x:c r="B176" s="87" t="n">
        <x:f>IF('Datos_fuente'!B176="","",LN('Datos_fuente'!B176))</x:f>
        <x:v>8.134776249610667</x:v>
      </x:c>
      <x:c r="C176" s="87" t="n">
        <x:f>IF(OR(B176="",B175=""),"",B176-B175)</x:f>
        <x:v>0.02971352402789229</x:v>
      </x:c>
      <x:c r="D176" s="87" t="n">
        <x:f>IF('Datos_fuente'!C176="","",LN('Datos_fuente'!C176))</x:f>
        <x:v>4.01920785597466</x:v>
      </x:c>
      <x:c r="E176" s="87" t="n">
        <x:f>IF(OR(D176="",D175=""),"",D176-D175)</x:f>
        <x:v>-0.1341200532815403</x:v>
      </x:c>
      <x:c r="F176" s="87" t="n">
        <x:f>IF('Datos_fuente'!E176="","",LN('Datos_fuente'!E176))</x:f>
        <x:v>8.8644767742491</x:v>
      </x:c>
      <x:c r="G176" s="87" t="n">
        <x:f>IF(OR(F176="",F175=""),"",F176-F175)</x:f>
        <x:v>0.003415902897170753</x:v>
      </x:c>
      <x:c r="H176" s="55" t="n">
        <x:f>'Datos_fuente'!H176</x:f>
        <x:v>2.67</x:v>
      </x:c>
      <x:c r="I176" s="55" t="n">
        <x:f>IF(OR(H176="",H175=""),"",H176-H175)</x:f>
        <x:v>-0.03000000000000025</x:v>
      </x:c>
      <x:c r="J176" s="55" t="n">
        <x:f>'Datos_fuente'!J176</x:f>
        <x:v>2.376308178</x:v>
      </x:c>
      <x:c r="K176" s="55" t="n">
        <x:f>IF(OR(J176="",J175=""),"",J176-J175)</x:f>
        <x:v>-0.35365351200000017</x:v>
      </x:c>
      <x:c r="L176" s="87" t="n">
        <x:f>IF('Datos_fuente'!K176="","",LN('Datos_fuente'!K176))</x:f>
        <x:v>4.759696870259675</x:v>
      </x:c>
      <x:c r="M176" s="87" t="n">
        <x:f>IF(OR(L176="",L175=""),"",L176-L175)</x:f>
        <x:v>0.012338247347353004</x:v>
      </x:c>
      <x:c r="N176" s="87" t="n">
        <x:f>IF('Datos_fuente'!L176="","",LN('Datos_fuente'!L176))</x:f>
        <x:v>2.9770053833151713</x:v>
      </x:c>
      <x:c r="O176" s="87" t="n">
        <x:f>IF(OR(N176="",N175=""),"",N176-N175)</x:f>
        <x:v>0.3421746603738831</x:v>
      </x:c>
      <x:c r="P176" s="82" t="n">
        <x:f>'Datos_fuente'!N176</x:f>
        <x:v>0</x:v>
      </x:c>
      <x:c r="Q176" s="1"/>
      <x:c r="R176" s="1"/>
      <x:c r="S176" s="1"/>
      <x:c r="T176" s="1"/>
      <x:c r="U176" s="1"/>
      <x:c r="V176" s="1"/>
      <x:c r="W176" s="1"/>
      <x:c r="X176" s="1"/>
      <x:c r="Y176" s="1"/>
      <x:c r="Z176" s="1"/>
    </x:row>
    <x:row r="177">
      <x:c r="A177" s="1" t="str">
        <x:f>'Datos_fuente'!A177</x:f>
        <x:v>2020-03</x:v>
      </x:c>
      <x:c r="B177" s="87" t="n">
        <x:f>IF('Datos_fuente'!B177="","",LN('Datos_fuente'!B177))</x:f>
        <x:v>8.262829418119228</x:v>
      </x:c>
      <x:c r="C177" s="87" t="n">
        <x:f>IF(OR(B177="",B176=""),"",B177-B176)</x:f>
        <x:v>0.1280531685085613</x:v>
      </x:c>
      <x:c r="D177" s="87" t="n">
        <x:f>IF('Datos_fuente'!C177="","",LN('Datos_fuente'!C177))</x:f>
        <x:v>3.4660909535117623</x:v>
      </x:c>
      <x:c r="E177" s="87" t="n">
        <x:f>IF(OR(D177="",D176=""),"",D177-D176)</x:f>
        <x:v>-0.5531169024628975</x:v>
      </x:c>
      <x:c r="F177" s="87" t="n">
        <x:f>IF('Datos_fuente'!E177="","",LN('Datos_fuente'!E177))</x:f>
        <x:v>8.886652466435212</x:v>
      </x:c>
      <x:c r="G177" s="87" t="n">
        <x:f>IF(OR(F177="",F176=""),"",F177-F176)</x:f>
        <x:v>0.022175692186111817</x:v>
      </x:c>
      <x:c r="H177" s="55" t="n">
        <x:f>'Datos_fuente'!H177</x:f>
        <x:v>3.567741935</x:v>
      </x:c>
      <x:c r="I177" s="55" t="n">
        <x:f>IF(OR(H177="",H176=""),"",H177-H176)</x:f>
        <x:v>0.897741935</x:v>
      </x:c>
      <x:c r="J177" s="55" t="n">
        <x:f>'Datos_fuente'!J177</x:f>
        <x:v>2.225878777</x:v>
      </x:c>
      <x:c r="K177" s="55" t="n">
        <x:f>IF(OR(J177="",J176=""),"",J177-J176)</x:f>
        <x:v>-0.1504294009999998</x:v>
      </x:c>
      <x:c r="L177" s="87" t="n">
        <x:f>IF('Datos_fuente'!K177="","",LN('Datos_fuente'!K177))</x:f>
        <x:v>4.795978469260297</x:v>
      </x:c>
      <x:c r="M177" s="87" t="n">
        <x:f>IF(OR(L177="",L176=""),"",L177-L176)</x:f>
        <x:v>0.03628159900062222</x:v>
      </x:c>
      <x:c r="N177" s="87" t="n">
        <x:f>IF('Datos_fuente'!L177="","",LN('Datos_fuente'!L177))</x:f>
        <x:v>4.055895066724019</x:v>
      </x:c>
      <x:c r="O177" s="87" t="n">
        <x:f>IF(OR(N177="",N176=""),"",N177-N176)</x:f>
        <x:v>1.0788896834088475</x:v>
      </x:c>
      <x:c r="P177" s="82" t="n">
        <x:f>'Datos_fuente'!N177</x:f>
        <x:v>1</x:v>
      </x:c>
      <x:c r="Q177" s="1"/>
      <x:c r="R177" s="1"/>
      <x:c r="S177" s="1"/>
      <x:c r="T177" s="1"/>
      <x:c r="U177" s="1"/>
      <x:c r="V177" s="1"/>
      <x:c r="W177" s="1"/>
      <x:c r="X177" s="1"/>
      <x:c r="Y177" s="1"/>
      <x:c r="Z177" s="1"/>
    </x:row>
    <x:row r="178">
      <x:c r="A178" s="1" t="str">
        <x:f>'Datos_fuente'!A178</x:f>
        <x:v>2020-04</x:v>
      </x:c>
      <x:c r="B178" s="87" t="n">
        <x:f>IF('Datos_fuente'!B178="","",LN('Datos_fuente'!B178))</x:f>
        <x:v>8.28838194225335</x:v>
      </x:c>
      <x:c r="C178" s="87" t="n">
        <x:f>IF(OR(B178="",B177=""),"",B178-B177)</x:f>
        <x:v>0.025552524134122123</x:v>
      </x:c>
      <x:c r="D178" s="87" t="n">
        <x:f>IF('Datos_fuente'!C178="","",LN('Datos_fuente'!C178))</x:f>
        <x:v>2.91118150315109</x:v>
      </x:c>
      <x:c r="E178" s="87" t="n">
        <x:f>IF(OR(D178="",D177=""),"",D178-D177)</x:f>
        <x:v>-0.5549094503606722</x:v>
      </x:c>
      <x:c r="F178" s="87" t="n">
        <x:f>IF('Datos_fuente'!E178="","",LN('Datos_fuente'!E178))</x:f>
        <x:v>8.851913894998644</x:v>
      </x:c>
      <x:c r="G178" s="87" t="n">
        <x:f>IF(OR(F178="",F177=""),"",F178-F177)</x:f>
        <x:v>-0.03473857143656822</x:v>
      </x:c>
      <x:c r="H178" s="55" t="n">
        <x:f>'Datos_fuente'!H178</x:f>
        <x:v>3.7</x:v>
      </x:c>
      <x:c r="I178" s="55" t="n">
        <x:f>IF(OR(H178="",H177=""),"",H178-H177)</x:f>
        <x:v>0.13225806500000026</x:v>
      </x:c>
      <x:c r="J178" s="55" t="n">
        <x:f>'Datos_fuente'!J178</x:f>
        <x:v>3.178987191</x:v>
      </x:c>
      <x:c r="K178" s="55" t="n">
        <x:f>IF(OR(J178="",J177=""),"",J178-J177)</x:f>
        <x:v>0.9531084139999999</x:v>
      </x:c>
      <x:c r="L178" s="87" t="n">
        <x:f>IF('Datos_fuente'!K178="","",LN('Datos_fuente'!K178))</x:f>
        <x:v>4.8144609935712035</x:v>
      </x:c>
      <x:c r="M178" s="87" t="n">
        <x:f>IF(OR(L178="",L177=""),"",L178-L177)</x:f>
        <x:v>0.018482524310906356</x:v>
      </x:c>
      <x:c r="N178" s="87" t="n">
        <x:f>IF('Datos_fuente'!L178="","",LN('Datos_fuente'!L178))</x:f>
        <x:v>3.724579783751415</x:v>
      </x:c>
      <x:c r="O178" s="87" t="n">
        <x:f>IF(OR(N178="",N177=""),"",N178-N177)</x:f>
        <x:v>-0.3313152829726036</x:v>
      </x:c>
      <x:c r="P178" s="82" t="n">
        <x:f>'Datos_fuente'!N178</x:f>
        <x:v>1</x:v>
      </x:c>
      <x:c r="Q178" s="1"/>
      <x:c r="R178" s="1"/>
      <x:c r="S178" s="1"/>
      <x:c r="T178" s="1"/>
      <x:c r="U178" s="1"/>
      <x:c r="V178" s="1"/>
      <x:c r="W178" s="1"/>
      <x:c r="X178" s="1"/>
      <x:c r="Y178" s="1"/>
      <x:c r="Z178" s="1"/>
    </x:row>
    <x:row r="179">
      <x:c r="A179" s="1" t="str">
        <x:f>'Datos_fuente'!A179</x:f>
        <x:v>2020-05</x:v>
      </x:c>
      <x:c r="B179" s="87" t="n">
        <x:f>IF('Datos_fuente'!B179="","",LN('Datos_fuente'!B179))</x:f>
        <x:v>8.257953858639803</x:v>
      </x:c>
      <x:c r="C179" s="87" t="n">
        <x:f>IF(OR(B179="",B178=""),"",B179-B178)</x:f>
        <x:v>-0.030428083613546875</x:v>
      </x:c>
      <x:c r="D179" s="87" t="n">
        <x:f>IF('Datos_fuente'!C179="","",LN('Datos_fuente'!C179))</x:f>
        <x:v>3.3802783419895253</x:v>
      </x:c>
      <x:c r="E179" s="87" t="n">
        <x:f>IF(OR(D179="",D178=""),"",D179-D178)</x:f>
        <x:v>0.4690968388384351</x:v>
      </x:c>
      <x:c r="F179" s="87" t="n">
        <x:f>IF('Datos_fuente'!E179="","",LN('Datos_fuente'!E179))</x:f>
        <x:v>8.822335443893174</x:v>
      </x:c>
      <x:c r="G179" s="87" t="n">
        <x:f>IF(OR(F179="",F178=""),"",F179-F178)</x:f>
        <x:v>-0.029578451105470194</x:v>
      </x:c>
      <x:c r="H179" s="55" t="n">
        <x:f>'Datos_fuente'!H179</x:f>
        <x:v>3.248387097</x:v>
      </x:c>
      <x:c r="I179" s="55" t="n">
        <x:f>IF(OR(H179="",H178=""),"",H179-H178)</x:f>
        <x:v>-0.451612903</x:v>
      </x:c>
      <x:c r="J179" s="55" t="n">
        <x:f>'Datos_fuente'!J179</x:f>
        <x:v>3.909812532</x:v>
      </x:c>
      <x:c r="K179" s="55" t="n">
        <x:f>IF(OR(J179="",J178=""),"",J179-J178)</x:f>
        <x:v>0.7308253410000001</x:v>
      </x:c>
      <x:c r="L179" s="87" t="n">
        <x:f>IF('Datos_fuente'!K179="","",LN('Datos_fuente'!K179))</x:f>
        <x:v>4.80904944667693</x:v>
      </x:c>
      <x:c r="M179" s="87" t="n">
        <x:f>IF(OR(L179="",L178=""),"",L179-L178)</x:f>
        <x:v>-0.005411546894273478</x:v>
      </x:c>
      <x:c r="N179" s="87" t="n">
        <x:f>IF('Datos_fuente'!L179="","",LN('Datos_fuente'!L179))</x:f>
        <x:v>3.4306590918117745</x:v>
      </x:c>
      <x:c r="O179" s="87" t="n">
        <x:f>IF(OR(N179="",N178=""),"",N179-N178)</x:f>
        <x:v>-0.29392069193964065</x:v>
      </x:c>
      <x:c r="P179" s="82" t="n">
        <x:f>'Datos_fuente'!N179</x:f>
        <x:v>1</x:v>
      </x:c>
      <x:c r="Q179" s="1"/>
      <x:c r="R179" s="1"/>
      <x:c r="S179" s="1"/>
      <x:c r="T179" s="1"/>
      <x:c r="U179" s="1"/>
      <x:c r="V179" s="1"/>
      <x:c r="W179" s="1"/>
      <x:c r="X179" s="1"/>
      <x:c r="Y179" s="1"/>
      <x:c r="Z179" s="1"/>
    </x:row>
    <x:row r="180">
      <x:c r="A180" s="1" t="str">
        <x:f>'Datos_fuente'!A180</x:f>
        <x:v>2020-06</x:v>
      </x:c>
      <x:c r="B180" s="87" t="n">
        <x:f>IF('Datos_fuente'!B180="","",LN('Datos_fuente'!B180))</x:f>
        <x:v>8.21652160816699</x:v>
      </x:c>
      <x:c r="C180" s="87" t="n">
        <x:f>IF(OR(B180="",B179=""),"",B180-B179)</x:f>
        <x:v>-0.041432250472812626</x:v>
      </x:c>
      <x:c r="D180" s="87" t="n">
        <x:f>IF('Datos_fuente'!C180="","",LN('Datos_fuente'!C180))</x:f>
        <x:v>3.6955277595738703</x:v>
      </x:c>
      <x:c r="E180" s="87" t="n">
        <x:f>IF(OR(D180="",D179=""),"",D180-D179)</x:f>
        <x:v>0.315249417584345</x:v>
      </x:c>
      <x:c r="F180" s="87" t="n">
        <x:f>IF('Datos_fuente'!E180="","",LN('Datos_fuente'!E180))</x:f>
        <x:v>8.822434199498923</x:v>
      </x:c>
      <x:c r="G180" s="87" t="n">
        <x:f>IF(OR(F180="",F179=""),"",F180-F179)</x:f>
        <x:v>0.00009875560574990061</x:v>
      </x:c>
      <x:c r="H180" s="55" t="n">
        <x:f>'Datos_fuente'!H180</x:f>
        <x:v>2.67</x:v>
      </x:c>
      <x:c r="I180" s="55" t="n">
        <x:f>IF(OR(H180="",H179=""),"",H180-H179)</x:f>
        <x:v>-0.5783870970000002</x:v>
      </x:c>
      <x:c r="J180" s="55" t="n">
        <x:f>'Datos_fuente'!J180</x:f>
        <x:v>5.17609732</x:v>
      </x:c>
      <x:c r="K180" s="55" t="n">
        <x:f>IF(OR(J180="",J179=""),"",J180-J179)</x:f>
        <x:v>1.266284788</x:v>
      </x:c>
      <x:c r="L180" s="87" t="n">
        <x:f>IF('Datos_fuente'!K180="","",LN('Datos_fuente'!K180))</x:f>
        <x:v>4.784793142333047</x:v>
      </x:c>
      <x:c r="M180" s="87" t="n">
        <x:f>IF(OR(L180="",L179=""),"",L180-L179)</x:f>
        <x:v>-0.024256304343882817</x:v>
      </x:c>
      <x:c r="N180" s="87" t="n">
        <x:f>IF('Datos_fuente'!L180="","",LN('Datos_fuente'!L180))</x:f>
        <x:v>3.437836092841049</x:v>
      </x:c>
      <x:c r="O180" s="87" t="n">
        <x:f>IF(OR(N180="",N179=""),"",N180-N179)</x:f>
        <x:v>0.007177001029274432</x:v>
      </x:c>
      <x:c r="P180" s="82" t="n">
        <x:f>'Datos_fuente'!N180</x:f>
        <x:v>0</x:v>
      </x:c>
      <x:c r="Q180" s="1"/>
      <x:c r="R180" s="1"/>
      <x:c r="S180" s="1"/>
      <x:c r="T180" s="1"/>
      <x:c r="U180" s="1"/>
      <x:c r="V180" s="1"/>
      <x:c r="W180" s="1"/>
      <x:c r="X180" s="1"/>
      <x:c r="Y180" s="1"/>
      <x:c r="Z180" s="1"/>
    </x:row>
    <x:row r="181">
      <x:c r="A181" s="1" t="str">
        <x:f>'Datos_fuente'!A181</x:f>
        <x:v>2020-07</x:v>
      </x:c>
      <x:c r="B181" s="87" t="n">
        <x:f>IF('Datos_fuente'!B181="","",LN('Datos_fuente'!B181))</x:f>
        <x:v>8.204635407839238</x:v>
      </x:c>
      <x:c r="C181" s="87" t="n">
        <x:f>IF(OR(B181="",B180=""),"",B181-B180)</x:f>
        <x:v>-0.011886200327753116</x:v>
      </x:c>
      <x:c r="D181" s="87" t="n">
        <x:f>IF('Datos_fuente'!C181="","",LN('Datos_fuente'!C181))</x:f>
        <x:v>3.766816266946648</x:v>
      </x:c>
      <x:c r="E181" s="87" t="n">
        <x:f>IF(OR(D181="",D180=""),"",D181-D180)</x:f>
        <x:v>0.07128850737277759</x:v>
      </x:c>
      <x:c r="F181" s="87" t="n">
        <x:f>IF('Datos_fuente'!E181="","",LN('Datos_fuente'!E181))</x:f>
        <x:v>8.819150880636501</x:v>
      </x:c>
      <x:c r="G181" s="87" t="n">
        <x:f>IF(OR(F181="",F180=""),"",F181-F180)</x:f>
        <x:v>-0.003283318862422391</x:v>
      </x:c>
      <x:c r="H181" s="55" t="n">
        <x:f>'Datos_fuente'!H181</x:f>
        <x:v>2.41</x:v>
      </x:c>
      <x:c r="I181" s="55" t="n">
        <x:f>IF(OR(H181="",H180=""),"",H181-H180)</x:f>
        <x:v>-0.2599999999999998</x:v>
      </x:c>
      <x:c r="J181" s="55" t="n">
        <x:f>'Datos_fuente'!J181</x:f>
        <x:v>5.791065909</x:v>
      </x:c>
      <x:c r="K181" s="55" t="n">
        <x:f>IF(OR(J181="",J180=""),"",J181-J180)</x:f>
        <x:v>0.6149685890000001</x:v>
      </x:c>
      <x:c r="L181" s="87" t="n">
        <x:f>IF('Datos_fuente'!K181="","",LN('Datos_fuente'!K181))</x:f>
        <x:v>4.776515473333807</x:v>
      </x:c>
      <x:c r="M181" s="87" t="n">
        <x:f>IF(OR(L181="",L180=""),"",L181-L180)</x:f>
        <x:v>-0.00827766899924054</x:v>
      </x:c>
      <x:c r="N181" s="87" t="n">
        <x:f>IF('Datos_fuente'!L181="","",LN('Datos_fuente'!L181))</x:f>
        <x:v>3.2899102475040407</x:v>
      </x:c>
      <x:c r="O181" s="87" t="n">
        <x:f>IF(OR(N181="",N180=""),"",N181-N180)</x:f>
        <x:v>-0.14792584533700825</x:v>
      </x:c>
      <x:c r="P181" s="82" t="n">
        <x:f>'Datos_fuente'!N181</x:f>
        <x:v>0</x:v>
      </x:c>
      <x:c r="Q181" s="1"/>
      <x:c r="R181" s="1"/>
      <x:c r="S181" s="1"/>
      <x:c r="T181" s="1"/>
      <x:c r="U181" s="1"/>
      <x:c r="V181" s="1"/>
      <x:c r="W181" s="1"/>
      <x:c r="X181" s="1"/>
      <x:c r="Y181" s="1"/>
      <x:c r="Z181" s="1"/>
    </x:row>
    <x:row r="182">
      <x:c r="A182" s="1" t="str">
        <x:f>'Datos_fuente'!A182</x:f>
        <x:v>2020-08</x:v>
      </x:c>
      <x:c r="B182" s="87" t="n">
        <x:f>IF('Datos_fuente'!B182="","",LN('Datos_fuente'!B182))</x:f>
        <x:v>8.238279446179945</x:v>
      </x:c>
      <x:c r="C182" s="87" t="n">
        <x:f>IF(OR(B182="",B181=""),"",B182-B181)</x:f>
        <x:v>0.03364403834070728</x:v>
      </x:c>
      <x:c r="D182" s="87" t="n">
        <x:f>IF('Datos_fuente'!C182="","",LN('Datos_fuente'!C182))</x:f>
        <x:v>3.800778546611345</x:v>
      </x:c>
      <x:c r="E182" s="87" t="n">
        <x:f>IF(OR(D182="",D181=""),"",D182-D181)</x:f>
        <x:v>0.033962279664697004</x:v>
      </x:c>
      <x:c r="F182" s="87" t="n">
        <x:f>IF('Datos_fuente'!E182="","",LN('Datos_fuente'!E182))</x:f>
        <x:v>8.812560655444006</x:v>
      </x:c>
      <x:c r="G182" s="87" t="n">
        <x:f>IF(OR(F182="",F181=""),"",F182-F181)</x:f>
        <x:v>-0.0065902251924949695</x:v>
      </x:c>
      <x:c r="H182" s="55" t="n">
        <x:f>'Datos_fuente'!H182</x:f>
        <x:v>2.166129032</x:v>
      </x:c>
      <x:c r="I182" s="55" t="n">
        <x:f>IF(OR(H182="",H181=""),"",H182-H181)</x:f>
        <x:v>-0.24387096799999997</x:v>
      </x:c>
      <x:c r="J182" s="55" t="n">
        <x:f>'Datos_fuente'!J182</x:f>
        <x:v>6.324605304</x:v>
      </x:c>
      <x:c r="K182" s="55" t="n">
        <x:f>IF(OR(J182="",J181=""),"",J182-J181)</x:f>
        <x:v>0.533539395</x:v>
      </x:c>
      <x:c r="L182" s="87" t="n">
        <x:f>IF('Datos_fuente'!K182="","",LN('Datos_fuente'!K182))</x:f>
        <x:v>4.761706711135863</x:v>
      </x:c>
      <x:c r="M182" s="87" t="n">
        <x:f>IF(OR(L182="",L181=""),"",L182-L181)</x:f>
        <x:v>-0.01480876219794336</x:v>
      </x:c>
      <x:c r="N182" s="87" t="n">
        <x:f>IF('Datos_fuente'!L182="","",LN('Datos_fuente'!L182))</x:f>
        <x:v>3.13067933034048</x:v>
      </x:c>
      <x:c r="O182" s="87" t="n">
        <x:f>IF(OR(N182="",N181=""),"",N182-N181)</x:f>
        <x:v>-0.15923091716356064</x:v>
      </x:c>
      <x:c r="P182" s="82" t="n">
        <x:f>'Datos_fuente'!N182</x:f>
        <x:v>0</x:v>
      </x:c>
      <x:c r="Q182" s="1"/>
      <x:c r="R182" s="1"/>
      <x:c r="S182" s="1"/>
      <x:c r="T182" s="1"/>
      <x:c r="U182" s="1"/>
      <x:c r="V182" s="1"/>
      <x:c r="W182" s="1"/>
      <x:c r="X182" s="1"/>
      <x:c r="Y182" s="1"/>
      <x:c r="Z182" s="1"/>
    </x:row>
    <x:row r="183">
      <x:c r="A183" s="1" t="str">
        <x:f>'Datos_fuente'!A183</x:f>
        <x:v>2020-09</x:v>
      </x:c>
      <x:c r="B183" s="87" t="n">
        <x:f>IF('Datos_fuente'!B183="","",LN('Datos_fuente'!B183))</x:f>
        <x:v>8.229568539449202</x:v>
      </x:c>
      <x:c r="C183" s="87" t="n">
        <x:f>IF(OR(B183="",B182=""),"",B183-B182)</x:f>
        <x:v>-0.008710906730742707</x:v>
      </x:c>
      <x:c r="D183" s="87" t="n">
        <x:f>IF('Datos_fuente'!C183="","",LN('Datos_fuente'!C183))</x:f>
        <x:v>3.7113634209042683</x:v>
      </x:c>
      <x:c r="E183" s="87" t="n">
        <x:f>IF(OR(D183="",D182=""),"",D183-D182)</x:f>
        <x:v>-0.08941512570707655</x:v>
      </x:c>
      <x:c r="F183" s="87" t="n">
        <x:f>IF('Datos_fuente'!E183="","",LN('Datos_fuente'!E183))</x:f>
        <x:v>8.823025055395167</x:v>
      </x:c>
      <x:c r="G183" s="87" t="n">
        <x:f>IF(OR(F183="",F182=""),"",F183-F182)</x:f>
        <x:v>0.010464399951160885</x:v>
      </x:c>
      <x:c r="H183" s="55" t="n">
        <x:f>'Datos_fuente'!H183</x:f>
        <x:v>1.885</x:v>
      </x:c>
      <x:c r="I183" s="55" t="n">
        <x:f>IF(OR(H183="",H182=""),"",H183-H182)</x:f>
        <x:v>-0.28112903200000017</x:v>
      </x:c>
      <x:c r="J183" s="55" t="n">
        <x:f>'Datos_fuente'!J183</x:f>
        <x:v>7.363909642</x:v>
      </x:c>
      <x:c r="K183" s="55" t="n">
        <x:f>IF(OR(J183="",J182=""),"",J183-J182)</x:f>
        <x:v>1.039304338</x:v>
      </x:c>
      <x:c r="L183" s="87" t="n">
        <x:f>IF('Datos_fuente'!K183="","",LN('Datos_fuente'!K183))</x:f>
        <x:v>4.75654387038744</x:v>
      </x:c>
      <x:c r="M183" s="87" t="n">
        <x:f>IF(OR(L183="",L182=""),"",L183-L182)</x:f>
        <x:v>-0.005162840748423214</x:v>
      </x:c>
      <x:c r="N183" s="87" t="n">
        <x:f>IF('Datos_fuente'!L183="","",LN('Datos_fuente'!L183))</x:f>
        <x:v>3.3195396139532245</x:v>
      </x:c>
      <x:c r="O183" s="87" t="n">
        <x:f>IF(OR(N183="",N182=""),"",N183-N182)</x:f>
        <x:v>0.18886028361274443</x:v>
      </x:c>
      <x:c r="P183" s="82" t="n">
        <x:f>'Datos_fuente'!N183</x:f>
        <x:v>0</x:v>
      </x:c>
      <x:c r="Q183" s="1"/>
      <x:c r="R183" s="1"/>
      <x:c r="S183" s="1"/>
      <x:c r="T183" s="1"/>
      <x:c r="U183" s="1"/>
      <x:c r="V183" s="1"/>
      <x:c r="W183" s="1"/>
      <x:c r="X183" s="1"/>
      <x:c r="Y183" s="1"/>
      <x:c r="Z183" s="1"/>
    </x:row>
    <x:row r="184">
      <x:c r="A184" s="1" t="str">
        <x:f>'Datos_fuente'!A184</x:f>
        <x:v>2020-10</x:v>
      </x:c>
      <x:c r="B184" s="87" t="n">
        <x:f>IF('Datos_fuente'!B184="","",LN('Datos_fuente'!B184))</x:f>
        <x:v>8.251608728289973</x:v>
      </x:c>
      <x:c r="C184" s="87" t="n">
        <x:f>IF(OR(B184="",B183=""),"",B184-B183)</x:f>
        <x:v>0.02204018884077108</x:v>
      </x:c>
      <x:c r="D184" s="87" t="n">
        <x:f>IF('Datos_fuente'!C184="","",LN('Datos_fuente'!C184))</x:f>
        <x:v>3.6936068983697807</x:v>
      </x:c>
      <x:c r="E184" s="87" t="n">
        <x:f>IF(OR(D184="",D183=""),"",D184-D183)</x:f>
        <x:v>-0.017756522534487562</x:v>
      </x:c>
      <x:c r="F184" s="87" t="n">
        <x:f>IF('Datos_fuente'!E184="","",LN('Datos_fuente'!E184))</x:f>
        <x:v>8.830254957437356</x:v>
      </x:c>
      <x:c r="G184" s="87" t="n">
        <x:f>IF(OR(F184="",F183=""),"",F184-F183)</x:f>
        <x:v>0.007229902042189096</x:v>
      </x:c>
      <x:c r="H184" s="55" t="n">
        <x:f>'Datos_fuente'!H184</x:f>
        <x:v>1.66</x:v>
      </x:c>
      <x:c r="I184" s="55" t="n">
        <x:f>IF(OR(H184="",H183=""),"",H184-H183)</x:f>
        <x:v>-0.2250000000000001</x:v>
      </x:c>
      <x:c r="J184" s="55" t="n">
        <x:f>'Datos_fuente'!J184</x:f>
        <x:v>6.480396271</x:v>
      </x:c>
      <x:c r="K184" s="55" t="n">
        <x:f>IF(OR(J184="",J183=""),"",J184-J183)</x:f>
        <x:v>-0.8835133710000003</x:v>
      </x:c>
      <x:c r="L184" s="87" t="n">
        <x:f>IF('Datos_fuente'!K184="","",LN('Datos_fuente'!K184))</x:f>
        <x:v>4.751690234745617</x:v>
      </x:c>
      <x:c r="M184" s="87" t="n">
        <x:f>IF(OR(L184="",L183=""),"",L184-L183)</x:f>
        <x:v>-0.004853635641823395</x:v>
      </x:c>
      <x:c r="N184" s="87" t="n">
        <x:f>IF('Datos_fuente'!L184="","",LN('Datos_fuente'!L184))</x:f>
        <x:v>3.3823079734944255</x:v>
      </x:c>
      <x:c r="O184" s="87" t="n">
        <x:f>IF(OR(N184="",N183=""),"",N184-N183)</x:f>
        <x:v>0.06276835954120097</x:v>
      </x:c>
      <x:c r="P184" s="82" t="n">
        <x:f>'Datos_fuente'!N184</x:f>
        <x:v>0</x:v>
      </x:c>
      <x:c r="Q184" s="1"/>
      <x:c r="R184" s="1"/>
      <x:c r="S184" s="1"/>
      <x:c r="T184" s="1"/>
      <x:c r="U184" s="1"/>
      <x:c r="V184" s="1"/>
      <x:c r="W184" s="1"/>
      <x:c r="X184" s="1"/>
      <x:c r="Y184" s="1"/>
      <x:c r="Z184" s="1"/>
    </x:row>
    <x:row r="185">
      <x:c r="A185" s="1" t="str">
        <x:f>'Datos_fuente'!A185</x:f>
        <x:v>2020-11</x:v>
      </x:c>
      <x:c r="B185" s="87" t="n">
        <x:f>IF('Datos_fuente'!B185="","",LN('Datos_fuente'!B185))</x:f>
        <x:v>8.212195849052446</x:v>
      </x:c>
      <x:c r="C185" s="87" t="n">
        <x:f>IF(OR(B185="",B184=""),"",B185-B184)</x:f>
        <x:v>-0.039412879237527676</x:v>
      </x:c>
      <x:c r="D185" s="87" t="n">
        <x:f>IF('Datos_fuente'!C185="","",LN('Datos_fuente'!C185))</x:f>
        <x:v>3.7540204722293717</x:v>
      </x:c>
      <x:c r="E185" s="87" t="n">
        <x:f>IF(OR(D185="",D184=""),"",D185-D184)</x:f>
        <x:v>0.06041357385959101</x:v>
      </x:c>
      <x:c r="F185" s="87" t="n">
        <x:f>IF('Datos_fuente'!E185="","",LN('Datos_fuente'!E185))</x:f>
        <x:v>8.83894040216268</x:v>
      </x:c>
      <x:c r="G185" s="87" t="n">
        <x:f>IF(OR(F185="",F184=""),"",F185-F184)</x:f>
        <x:v>0.008685444725323066</x:v>
      </x:c>
      <x:c r="H185" s="55" t="n">
        <x:f>'Datos_fuente'!H185</x:f>
        <x:v>1.66</x:v>
      </x:c>
      <x:c r="I185" s="55" t="n">
        <x:f>IF(OR(H185="",H184=""),"",H185-H184)</x:f>
        <x:v>0</x:v>
      </x:c>
      <x:c r="J185" s="55" t="n">
        <x:f>'Datos_fuente'!J185</x:f>
        <x:v>6.895144794</x:v>
      </x:c>
      <x:c r="K185" s="55" t="n">
        <x:f>IF(OR(J185="",J184=""),"",J185-J184)</x:f>
        <x:v>0.4147485230000001</x:v>
      </x:c>
      <x:c r="L185" s="87" t="n">
        <x:f>IF('Datos_fuente'!K185="","",LN('Datos_fuente'!K185))</x:f>
        <x:v>4.737061233982681</x:v>
      </x:c>
      <x:c r="M185" s="87" t="n">
        <x:f>IF(OR(L185="",L184=""),"",L185-L184)</x:f>
        <x:v>-0.014629000762935718</x:v>
      </x:c>
      <x:c r="N185" s="87" t="n">
        <x:f>IF('Datos_fuente'!L185="","",LN('Datos_fuente'!L185))</x:f>
        <x:v>3.2186958086662565</x:v>
      </x:c>
      <x:c r="O185" s="87" t="n">
        <x:f>IF(OR(N185="",N184=""),"",N185-N184)</x:f>
        <x:v>-0.16361216482816898</x:v>
      </x:c>
      <x:c r="P185" s="82" t="n">
        <x:f>'Datos_fuente'!N185</x:f>
        <x:v>0</x:v>
      </x:c>
      <x:c r="Q185" s="1"/>
      <x:c r="R185" s="1"/>
      <x:c r="S185" s="1"/>
      <x:c r="T185" s="1"/>
      <x:c r="U185" s="1"/>
      <x:c r="V185" s="1"/>
      <x:c r="W185" s="1"/>
      <x:c r="X185" s="1"/>
      <x:c r="Y185" s="1"/>
      <x:c r="Z185" s="1"/>
    </x:row>
    <x:row r="186">
      <x:c r="A186" s="1" t="str">
        <x:f>'Datos_fuente'!A186</x:f>
        <x:v>2020-12</x:v>
      </x:c>
      <x:c r="B186" s="87" t="n">
        <x:f>IF('Datos_fuente'!B186="","",LN('Datos_fuente'!B186))</x:f>
        <x:v>8.150793139251245</x:v>
      </x:c>
      <x:c r="C186" s="87" t="n">
        <x:f>IF(OR(B186="",B185=""),"",B186-B185)</x:f>
        <x:v>-0.06140270980120022</x:v>
      </x:c>
      <x:c r="D186" s="87" t="n">
        <x:f>IF('Datos_fuente'!C186="","",LN('Datos_fuente'!C186))</x:f>
        <x:v>3.911895724528276</x:v>
      </x:c>
      <x:c r="E186" s="87" t="n">
        <x:f>IF(OR(D186="",D185=""),"",D186-D185)</x:f>
        <x:v>0.1578752522989042</x:v>
      </x:c>
      <x:c r="F186" s="87" t="n">
        <x:f>IF('Datos_fuente'!E186="","",LN('Datos_fuente'!E186))</x:f>
        <x:v>8.84055703002119</x:v>
      </x:c>
      <x:c r="G186" s="87" t="n">
        <x:f>IF(OR(F186="",F185=""),"",F186-F185)</x:f>
        <x:v>0.0016166278585103555</x:v>
      </x:c>
      <x:c r="H186" s="55" t="n">
        <x:f>'Datos_fuente'!H186</x:f>
        <x:v>1.66</x:v>
      </x:c>
      <x:c r="I186" s="55" t="n">
        <x:f>IF(OR(H186="",H185=""),"",H186-H185)</x:f>
        <x:v>0</x:v>
      </x:c>
      <x:c r="J186" s="55" t="n">
        <x:f>'Datos_fuente'!J186</x:f>
        <x:v>7.788250635</x:v>
      </x:c>
      <x:c r="K186" s="55" t="n">
        <x:f>IF(OR(J186="",J185=""),"",J186-J185)</x:f>
        <x:v>0.8931058409999997</x:v>
      </x:c>
      <x:c r="L186" s="87" t="n">
        <x:f>IF('Datos_fuente'!K186="","",LN('Datos_fuente'!K186))</x:f>
        <x:v>4.717598593845508</x:v>
      </x:c>
      <x:c r="M186" s="87" t="n">
        <x:f>IF(OR(L186="",L185=""),"",L186-L185)</x:f>
        <x:v>-0.01946264013717336</x:v>
      </x:c>
      <x:c r="N186" s="87" t="n">
        <x:f>IF('Datos_fuente'!L186="","",LN('Datos_fuente'!L186))</x:f>
        <x:v>3.107903633614839</x:v>
      </x:c>
      <x:c r="O186" s="87" t="n">
        <x:f>IF(OR(N186="",N185=""),"",N186-N185)</x:f>
        <x:v>-0.11079217505141736</x:v>
      </x:c>
      <x:c r="P186" s="82" t="n">
        <x:f>'Datos_fuente'!N186</x:f>
        <x:v>0</x:v>
      </x:c>
      <x:c r="Q186" s="1"/>
      <x:c r="R186" s="1"/>
      <x:c r="S186" s="1"/>
      <x:c r="T186" s="1"/>
      <x:c r="U186" s="1"/>
      <x:c r="V186" s="1"/>
      <x:c r="W186" s="1"/>
      <x:c r="X186" s="1"/>
      <x:c r="Y186" s="1"/>
      <x:c r="Z186" s="1"/>
    </x:row>
    <x:row r="187">
      <x:c r="A187" s="1" t="str">
        <x:f>'Datos_fuente'!A187</x:f>
        <x:v>2021-01</x:v>
      </x:c>
      <x:c r="B187" s="87" t="n">
        <x:f>IF('Datos_fuente'!B187="","",LN('Datos_fuente'!B187))</x:f>
        <x:v>8.158035629186502</x:v>
      </x:c>
      <x:c r="C187" s="87" t="n">
        <x:f>IF(OR(B187="",B186=""),"",B187-B186)</x:f>
        <x:v>0.0072424899352565575</x:v>
      </x:c>
      <x:c r="D187" s="87" t="n">
        <x:f>IF('Datos_fuente'!C187="","",LN('Datos_fuente'!C187))</x:f>
        <x:v>4.003215628810999</x:v>
      </x:c>
      <x:c r="E187" s="87" t="n">
        <x:f>IF(OR(D187="",D186=""),"",D187-D186)</x:f>
        <x:v>0.09131990428272285</x:v>
      </x:c>
      <x:c r="F187" s="87" t="n">
        <x:f>IF('Datos_fuente'!E187="","",LN('Datos_fuente'!E187))</x:f>
        <x:v>8.841961489083397</x:v>
      </x:c>
      <x:c r="G187" s="87" t="n">
        <x:f>IF(OR(F187="",F186=""),"",F187-F186)</x:f>
        <x:v>0.0014044590622077635</x:v>
      </x:c>
      <x:c r="H187" s="55" t="n">
        <x:f>'Datos_fuente'!H187</x:f>
        <x:v>1.66</x:v>
      </x:c>
      <x:c r="I187" s="55" t="n">
        <x:f>IF(OR(H187="",H186=""),"",H187-H186)</x:f>
        <x:v>0</x:v>
      </x:c>
      <x:c r="J187" s="55" t="n">
        <x:f>'Datos_fuente'!J187</x:f>
        <x:v>7.0911306</x:v>
      </x:c>
      <x:c r="K187" s="55" t="n">
        <x:f>IF(OR(J187="",J186=""),"",J187-J186)</x:f>
        <x:v>-0.6971200350000002</x:v>
      </x:c>
      <x:c r="L187" s="87" t="n">
        <x:f>IF('Datos_fuente'!K187="","",LN('Datos_fuente'!K187))</x:f>
        <x:v>4.713910433711844</x:v>
      </x:c>
      <x:c r="M187" s="87" t="n">
        <x:f>IF(OR(L187="",L186=""),"",L187-L186)</x:f>
        <x:v>-0.00368816013366402</x:v>
      </x:c>
      <x:c r="N187" s="87" t="n">
        <x:f>IF('Datos_fuente'!L187="","",LN('Datos_fuente'!L187))</x:f>
        <x:v>3.215269329274089</x:v>
      </x:c>
      <x:c r="O187" s="87" t="n">
        <x:f>IF(OR(N187="",N186=""),"",N187-N186)</x:f>
        <x:v>0.10736569565924992</x:v>
      </x:c>
      <x:c r="P187" s="82" t="n">
        <x:f>'Datos_fuente'!N187</x:f>
        <x:v>0</x:v>
      </x:c>
      <x:c r="Q187" s="1"/>
      <x:c r="R187" s="1"/>
      <x:c r="S187" s="1"/>
      <x:c r="T187" s="1"/>
      <x:c r="U187" s="1"/>
      <x:c r="V187" s="1"/>
      <x:c r="W187" s="1"/>
      <x:c r="X187" s="1"/>
      <x:c r="Y187" s="1"/>
      <x:c r="Z187" s="1"/>
    </x:row>
    <x:row r="188">
      <x:c r="A188" s="1" t="str">
        <x:f>'Datos_fuente'!A188</x:f>
        <x:v>2021-02</x:v>
      </x:c>
      <x:c r="B188" s="87" t="n">
        <x:f>IF('Datos_fuente'!B188="","",LN('Datos_fuente'!B188))</x:f>
        <x:v>8.175970891164281</x:v>
      </x:c>
      <x:c r="C188" s="87" t="n">
        <x:f>IF(OR(B188="",B187=""),"",B188-B187)</x:f>
        <x:v>0.017935261977779504</x:v>
      </x:c>
      <x:c r="D188" s="87" t="n">
        <x:f>IF('Datos_fuente'!C188="","",LN('Datos_fuente'!C188))</x:f>
        <x:v>4.131584147570328</x:v>
      </x:c>
      <x:c r="E188" s="87" t="n">
        <x:f>IF(OR(D188="",D187=""),"",D188-D187)</x:f>
        <x:v>0.12836851875932886</x:v>
      </x:c>
      <x:c r="F188" s="87" t="n">
        <x:f>IF('Datos_fuente'!E188="","",LN('Datos_fuente'!E188))</x:f>
        <x:v>8.851976860351979</x:v>
      </x:c>
      <x:c r="G188" s="87" t="n">
        <x:f>IF(OR(F188="",F187=""),"",F188-F187)</x:f>
        <x:v>0.010015371268581319</x:v>
      </x:c>
      <x:c r="H188" s="55" t="n">
        <x:f>'Datos_fuente'!H188</x:f>
        <x:v>1.67</x:v>
      </x:c>
      <x:c r="I188" s="55" t="n">
        <x:f>IF(OR(H188="",H187=""),"",H188-H187)</x:f>
        <x:v>0.010000000000000009</x:v>
      </x:c>
      <x:c r="J188" s="55" t="n">
        <x:f>'Datos_fuente'!J188</x:f>
        <x:v>7.68803314</x:v>
      </x:c>
      <x:c r="K188" s="55" t="n">
        <x:f>IF(OR(J188="",J187=""),"",J188-J187)</x:f>
        <x:v>0.5969025400000003</x:v>
      </x:c>
      <x:c r="L188" s="87" t="n">
        <x:f>IF('Datos_fuente'!K188="","",LN('Datos_fuente'!K188))</x:f>
        <x:v>4.718651115062567</x:v>
      </x:c>
      <x:c r="M188" s="87" t="n">
        <x:f>IF(OR(L188="",L187=""),"",L188-L187)</x:f>
        <x:v>0.004740681350723364</x:v>
      </x:c>
      <x:c r="N188" s="87" t="n">
        <x:f>IF('Datos_fuente'!L188="","",LN('Datos_fuente'!L188))</x:f>
        <x:v>3.141585466537117</x:v>
      </x:c>
      <x:c r="O188" s="87" t="n">
        <x:f>IF(OR(N188="",N187=""),"",N188-N187)</x:f>
        <x:v>-0.07368386273697203</x:v>
      </x:c>
      <x:c r="P188" s="82" t="n">
        <x:f>'Datos_fuente'!N188</x:f>
        <x:v>0</x:v>
      </x:c>
      <x:c r="Q188" s="1"/>
      <x:c r="R188" s="1"/>
      <x:c r="S188" s="1"/>
      <x:c r="T188" s="1"/>
      <x:c r="U188" s="1"/>
      <x:c r="V188" s="1"/>
      <x:c r="W188" s="1"/>
      <x:c r="X188" s="1"/>
      <x:c r="Y188" s="1"/>
      <x:c r="Z188" s="1"/>
    </x:row>
    <x:row r="189">
      <x:c r="A189" s="1" t="str">
        <x:f>'Datos_fuente'!A189</x:f>
        <x:v>2021-03</x:v>
      </x:c>
      <x:c r="B189" s="87" t="n">
        <x:f>IF('Datos_fuente'!B189="","",LN('Datos_fuente'!B189))</x:f>
        <x:v>8.192229623640266</x:v>
      </x:c>
      <x:c r="C189" s="87" t="n">
        <x:f>IF(OR(B189="",B188=""),"",B189-B188)</x:f>
        <x:v>0.016258732475984417</x:v>
      </x:c>
      <x:c r="D189" s="87" t="n">
        <x:f>IF('Datos_fuente'!C189="","",LN('Datos_fuente'!C189))</x:f>
        <x:v>4.180675151973121</x:v>
      </x:c>
      <x:c r="E189" s="87" t="n">
        <x:f>IF(OR(D189="",D188=""),"",D189-D188)</x:f>
        <x:v>0.04909100440279346</x:v>
      </x:c>
      <x:c r="F189" s="87" t="n">
        <x:f>IF('Datos_fuente'!E189="","",LN('Datos_fuente'!E189))</x:f>
        <x:v>8.862896971629182</x:v>
      </x:c>
      <x:c r="G189" s="87" t="n">
        <x:f>IF(OR(F189="",F188=""),"",F189-F188)</x:f>
        <x:v>0.010920111277203048</x:v>
      </x:c>
      <x:c r="H189" s="55" t="n">
        <x:f>'Datos_fuente'!H189</x:f>
        <x:v>1.68</x:v>
      </x:c>
      <x:c r="I189" s="55" t="n">
        <x:f>IF(OR(H189="",H188=""),"",H189-H188)</x:f>
        <x:v>0.010000000000000009</x:v>
      </x:c>
      <x:c r="J189" s="55" t="n">
        <x:f>'Datos_fuente'!J189</x:f>
        <x:v>7.560001257</x:v>
      </x:c>
      <x:c r="K189" s="55" t="n">
        <x:f>IF(OR(J189="",J188=""),"",J189-J188)</x:f>
        <x:v>-0.12803188300000024</x:v>
      </x:c>
      <x:c r="L189" s="87" t="n">
        <x:f>IF('Datos_fuente'!K189="","",LN('Datos_fuente'!K189))</x:f>
        <x:v>4.730362535868512</x:v>
      </x:c>
      <x:c r="M189" s="87" t="n">
        <x:f>IF(OR(L189="",L188=""),"",L189-L188)</x:f>
        <x:v>0.011711420805944783</x:v>
      </x:c>
      <x:c r="N189" s="87" t="n">
        <x:f>IF('Datos_fuente'!L189="","",LN('Datos_fuente'!L189))</x:f>
        <x:v>3.0838824946477637</x:v>
      </x:c>
      <x:c r="O189" s="87" t="n">
        <x:f>IF(OR(N189="",N188=""),"",N189-N188)</x:f>
        <x:v>-0.05770297188935336</x:v>
      </x:c>
      <x:c r="P189" s="82" t="n">
        <x:f>'Datos_fuente'!N189</x:f>
        <x:v>0</x:v>
      </x:c>
      <x:c r="Q189" s="1"/>
      <x:c r="R189" s="1"/>
      <x:c r="S189" s="1"/>
      <x:c r="T189" s="1"/>
      <x:c r="U189" s="1"/>
      <x:c r="V189" s="1"/>
      <x:c r="W189" s="1"/>
      <x:c r="X189" s="1"/>
      <x:c r="Y189" s="1"/>
      <x:c r="Z189" s="1"/>
    </x:row>
    <x:row r="190">
      <x:c r="A190" s="1" t="str">
        <x:f>'Datos_fuente'!A190</x:f>
        <x:v>2021-04</x:v>
      </x:c>
      <x:c r="B190" s="87" t="n">
        <x:f>IF('Datos_fuente'!B190="","",LN('Datos_fuente'!B190))</x:f>
        <x:v>8.202695026719503</x:v>
      </x:c>
      <x:c r="C190" s="87" t="n">
        <x:f>IF(OR(B190="",B189=""),"",B190-B189)</x:f>
        <x:v>0.01046540307923749</x:v>
      </x:c>
      <x:c r="D190" s="87" t="n">
        <x:f>IF('Datos_fuente'!C190="","",LN('Datos_fuente'!C190))</x:f>
        <x:v>4.171405906969629</x:v>
      </x:c>
      <x:c r="E190" s="87" t="n">
        <x:f>IF(OR(D190="",D189=""),"",D190-D189)</x:f>
        <x:v>-0.00926924500349191</x:v>
      </x:c>
      <x:c r="F190" s="87" t="n">
        <x:f>IF('Datos_fuente'!E190="","",LN('Datos_fuente'!E190))</x:f>
        <x:v>8.912548702655743</x:v>
      </x:c>
      <x:c r="G190" s="87" t="n">
        <x:f>IF(OR(F190="",F189=""),"",F190-F189)</x:f>
        <x:v>0.04965173102656095</x:v>
      </x:c>
      <x:c r="H190" s="55" t="n">
        <x:f>'Datos_fuente'!H190</x:f>
        <x:v>1.68</x:v>
      </x:c>
      <x:c r="I190" s="55" t="n">
        <x:f>IF(OR(H190="",H189=""),"",H190-H189)</x:f>
        <x:v>0</x:v>
      </x:c>
      <x:c r="J190" s="55" t="n">
        <x:f>'Datos_fuente'!J190</x:f>
        <x:v>7.325164892</x:v>
      </x:c>
      <x:c r="K190" s="55" t="n">
        <x:f>IF(OR(J190="",J189=""),"",J190-J189)</x:f>
        <x:v>-0.2348363649999996</x:v>
      </x:c>
      <x:c r="L190" s="87" t="n">
        <x:f>IF('Datos_fuente'!K190="","",LN('Datos_fuente'!K190))</x:f>
        <x:v>4.724128409951226</x:v>
      </x:c>
      <x:c r="M190" s="87" t="n">
        <x:f>IF(OR(L190="",L189=""),"",L190-L189)</x:f>
        <x:v>-0.00623412591728556</x:v>
      </x:c>
      <x:c r="N190" s="87" t="n">
        <x:f>IF('Datos_fuente'!L190="","",LN('Datos_fuente'!L190))</x:f>
        <x:v>2.8574002609417986</x:v>
      </x:c>
      <x:c r="O190" s="87" t="n">
        <x:f>IF(OR(N190="",N189=""),"",N190-N189)</x:f>
        <x:v>-0.2264822337059651</x:v>
      </x:c>
      <x:c r="P190" s="82" t="n">
        <x:f>'Datos_fuente'!N190</x:f>
        <x:v>0</x:v>
      </x:c>
      <x:c r="Q190" s="1"/>
      <x:c r="R190" s="1"/>
      <x:c r="S190" s="1"/>
      <x:c r="T190" s="1"/>
      <x:c r="U190" s="1"/>
      <x:c r="V190" s="1"/>
      <x:c r="W190" s="1"/>
      <x:c r="X190" s="1"/>
      <x:c r="Y190" s="1"/>
      <x:c r="Z190" s="1"/>
    </x:row>
    <x:row r="191">
      <x:c r="A191" s="1" t="str">
        <x:f>'Datos_fuente'!A191</x:f>
        <x:v>2021-05</x:v>
      </x:c>
      <x:c r="B191" s="87" t="n">
        <x:f>IF('Datos_fuente'!B191="","",LN('Datos_fuente'!B191))</x:f>
        <x:v>8.225681429456007</x:v>
      </x:c>
      <x:c r="C191" s="87" t="n">
        <x:f>IF(OR(B191="",B190=""),"",B191-B190)</x:f>
        <x:v>0.02298640273650321</x:v>
      </x:c>
      <x:c r="D191" s="87" t="n">
        <x:f>IF('Datos_fuente'!C191="","",LN('Datos_fuente'!C191))</x:f>
        <x:v>4.2273330443932435</x:v>
      </x:c>
      <x:c r="E191" s="87" t="n">
        <x:f>IF(OR(D191="",D190=""),"",D191-D190)</x:f>
        <x:v>0.055927137423614326</x:v>
      </x:c>
      <x:c r="F191" s="87" t="n">
        <x:f>IF('Datos_fuente'!E191="","",LN('Datos_fuente'!E191))</x:f>
        <x:v>8.953531447990386</x:v>
      </x:c>
      <x:c r="G191" s="87" t="n">
        <x:f>IF(OR(F191="",F190=""),"",F191-F190)</x:f>
        <x:v>0.04098274533464341</x:v>
      </x:c>
      <x:c r="H191" s="55" t="n">
        <x:f>'Datos_fuente'!H191</x:f>
        <x:v>1.69</x:v>
      </x:c>
      <x:c r="I191" s="55" t="n">
        <x:f>IF(OR(H191="",H190=""),"",H191-H190)</x:f>
        <x:v>0.010000000000000009</x:v>
      </x:c>
      <x:c r="J191" s="55" t="n">
        <x:f>'Datos_fuente'!J191</x:f>
        <x:v>7.053505991</x:v>
      </x:c>
      <x:c r="K191" s="55" t="n">
        <x:f>IF(OR(J191="",J190=""),"",J191-J190)</x:f>
        <x:v>-0.27165890100000034</x:v>
      </x:c>
      <x:c r="L191" s="87" t="n">
        <x:f>IF('Datos_fuente'!K191="","",LN('Datos_fuente'!K191))</x:f>
        <x:v>4.7114407174559005</x:v>
      </x:c>
      <x:c r="M191" s="87" t="n">
        <x:f>IF(OR(L191="",L190=""),"",L191-L190)</x:f>
        <x:v>-0.012687692495325642</x:v>
      </x:c>
      <x:c r="N191" s="87" t="n">
        <x:f>IF('Datos_fuente'!L191="","",LN('Datos_fuente'!L191))</x:f>
        <x:v>2.9836849956433147</x:v>
      </x:c>
      <x:c r="O191" s="87" t="n">
        <x:f>IF(OR(N191="",N190=""),"",N191-N190)</x:f>
        <x:v>0.12628473470151613</x:v>
      </x:c>
      <x:c r="P191" s="82" t="n">
        <x:f>'Datos_fuente'!N191</x:f>
        <x:v>0</x:v>
      </x:c>
      <x:c r="Q191" s="1"/>
      <x:c r="R191" s="1"/>
      <x:c r="S191" s="1"/>
      <x:c r="T191" s="1"/>
      <x:c r="U191" s="1"/>
      <x:c r="V191" s="1"/>
      <x:c r="W191" s="1"/>
      <x:c r="X191" s="1"/>
      <x:c r="Y191" s="1"/>
      <x:c r="Z191" s="1"/>
    </x:row>
    <x:row r="192">
      <x:c r="A192" s="1" t="str">
        <x:f>'Datos_fuente'!A192</x:f>
        <x:v>2021-06</x:v>
      </x:c>
      <x:c r="B192" s="87" t="n">
        <x:f>IF('Datos_fuente'!B192="","",LN('Datos_fuente'!B192))</x:f>
        <x:v>8.212037383118142</x:v>
      </x:c>
      <x:c r="C192" s="87" t="n">
        <x:f>IF(OR(B192="",B191=""),"",B192-B191)</x:f>
        <x:v>-0.013644046337864424</x:v>
      </x:c>
      <x:c r="D192" s="87" t="n">
        <x:f>IF('Datos_fuente'!C192="","",LN('Datos_fuente'!C192))</x:f>
        <x:v>4.292704739263889</x:v>
      </x:c>
      <x:c r="E192" s="87" t="n">
        <x:f>IF(OR(D192="",D191=""),"",D192-D191)</x:f>
        <x:v>0.06537169487064531</x:v>
      </x:c>
      <x:c r="F192" s="87" t="n">
        <x:f>IF('Datos_fuente'!E192="","",LN('Datos_fuente'!E192))</x:f>
        <x:v>8.975598570234895</x:v>
      </x:c>
      <x:c r="G192" s="87" t="n">
        <x:f>IF(OR(F192="",F191=""),"",F192-F191)</x:f>
        <x:v>0.022067122244509463</x:v>
      </x:c>
      <x:c r="H192" s="55" t="n">
        <x:f>'Datos_fuente'!H192</x:f>
        <x:v>1.67</x:v>
      </x:c>
      <x:c r="I192" s="55" t="n">
        <x:f>IF(OR(H192="",H191=""),"",H192-H191)</x:f>
        <x:v>-0.020000000000000018</x:v>
      </x:c>
      <x:c r="J192" s="55" t="n">
        <x:f>'Datos_fuente'!J192</x:f>
        <x:v>6.902005515</x:v>
      </x:c>
      <x:c r="K192" s="55" t="n">
        <x:f>IF(OR(J192="",J191=""),"",J192-J191)</x:f>
        <x:v>-0.15150047599999983</x:v>
      </x:c>
      <x:c r="L192" s="87" t="n">
        <x:f>IF('Datos_fuente'!K192="","",LN('Datos_fuente'!K192))</x:f>
        <x:v>4.714721168861206</x:v>
      </x:c>
      <x:c r="M192" s="87" t="n">
        <x:f>IF(OR(L192="",L191=""),"",L192-L191)</x:f>
        <x:v>0.003280451405305307</x:v>
      </x:c>
      <x:c r="N192" s="87" t="n">
        <x:f>IF('Datos_fuente'!L192="","",LN('Datos_fuente'!L192))</x:f>
        <x:v>2.8306700054519833</x:v>
      </x:c>
      <x:c r="O192" s="87" t="n">
        <x:f>IF(OR(N192="",N191=""),"",N192-N191)</x:f>
        <x:v>-0.15301499019133136</x:v>
      </x:c>
      <x:c r="P192" s="82" t="n">
        <x:f>'Datos_fuente'!N192</x:f>
        <x:v>0</x:v>
      </x:c>
      <x:c r="Q192" s="1"/>
      <x:c r="R192" s="1"/>
      <x:c r="S192" s="1"/>
      <x:c r="T192" s="1"/>
      <x:c r="U192" s="1"/>
      <x:c r="V192" s="1"/>
      <x:c r="W192" s="1"/>
      <x:c r="X192" s="1"/>
      <x:c r="Y192" s="1"/>
      <x:c r="Z192" s="1"/>
    </x:row>
    <x:row r="193">
      <x:c r="A193" s="1" t="str">
        <x:f>'Datos_fuente'!A193</x:f>
        <x:v>2021-07</x:v>
      </x:c>
      <x:c r="B193" s="87" t="n">
        <x:f>IF('Datos_fuente'!B193="","",LN('Datos_fuente'!B193))</x:f>
        <x:v>8.250468129377186</x:v>
      </x:c>
      <x:c r="C193" s="87" t="n">
        <x:f>IF(OR(B193="",B192=""),"",B193-B192)</x:f>
        <x:v>0.03843074625904386</x:v>
      </x:c>
      <x:c r="D193" s="87" t="n">
        <x:f>IF('Datos_fuente'!C193="","",LN('Datos_fuente'!C193))</x:f>
        <x:v>4.319697791598556</x:v>
      </x:c>
      <x:c r="E193" s="87" t="n">
        <x:f>IF(OR(D193="",D192=""),"",D193-D192)</x:f>
        <x:v>0.02699305233466731</x:v>
      </x:c>
      <x:c r="F193" s="87" t="n">
        <x:f>IF('Datos_fuente'!E193="","",LN('Datos_fuente'!E193))</x:f>
        <x:v>8.99525303207028</x:v>
      </x:c>
      <x:c r="G193" s="87" t="n">
        <x:f>IF(OR(F193="",F192=""),"",F193-F192)</x:f>
        <x:v>0.019654461835385106</x:v>
      </x:c>
      <x:c r="H193" s="55" t="n">
        <x:f>'Datos_fuente'!H193</x:f>
        <x:v>1.65</x:v>
      </x:c>
      <x:c r="I193" s="55" t="n">
        <x:f>IF(OR(H193="",H192=""),"",H193-H192)</x:f>
        <x:v>-0.020000000000000018</x:v>
      </x:c>
      <x:c r="J193" s="55" t="n">
        <x:f>'Datos_fuente'!J193</x:f>
        <x:v>6.627304432</x:v>
      </x:c>
      <x:c r="K193" s="55" t="n">
        <x:f>IF(OR(J193="",J192=""),"",J193-J192)</x:f>
        <x:v>-0.27470108300000007</x:v>
      </x:c>
      <x:c r="L193" s="87" t="n">
        <x:f>IF('Datos_fuente'!K193="","",LN('Datos_fuente'!K193))</x:f>
        <x:v>4.727948006910372</x:v>
      </x:c>
      <x:c r="M193" s="87" t="n">
        <x:f>IF(OR(L193="",L192=""),"",L193-L192)</x:f>
        <x:v>0.013226838049166467</x:v>
      </x:c>
      <x:c r="N193" s="87" t="n">
        <x:f>IF('Datos_fuente'!L193="","",LN('Datos_fuente'!L193))</x:f>
        <x:v>2.868088277861374</x:v>
      </x:c>
      <x:c r="O193" s="87" t="n">
        <x:f>IF(OR(N193="",N192=""),"",N193-N192)</x:f>
        <x:v>0.037418272409390774</x:v>
      </x:c>
      <x:c r="P193" s="82" t="n">
        <x:f>'Datos_fuente'!N193</x:f>
        <x:v>0</x:v>
      </x:c>
      <x:c r="Q193" s="1"/>
      <x:c r="R193" s="1"/>
      <x:c r="S193" s="1"/>
      <x:c r="T193" s="1"/>
      <x:c r="U193" s="1"/>
      <x:c r="V193" s="1"/>
      <x:c r="W193" s="1"/>
      <x:c r="X193" s="1"/>
      <x:c r="Y193" s="1"/>
      <x:c r="Z193" s="1"/>
    </x:row>
    <x:row r="194">
      <x:c r="A194" s="1" t="str">
        <x:f>'Datos_fuente'!A194</x:f>
        <x:v>2021-08</x:v>
      </x:c>
      <x:c r="B194" s="87" t="n">
        <x:f>IF('Datos_fuente'!B194="","",LN('Datos_fuente'!B194))</x:f>
        <x:v>8.263895424246973</x:v>
      </x:c>
      <x:c r="C194" s="87" t="n">
        <x:f>IF(OR(B194="",B193=""),"",B194-B193)</x:f>
        <x:v>0.013427294869787332</x:v>
      </x:c>
      <x:c r="D194" s="87" t="n">
        <x:f>IF('Datos_fuente'!C194="","",LN('Datos_fuente'!C194))</x:f>
        <x:v>4.259112152103667</x:v>
      </x:c>
      <x:c r="E194" s="87" t="n">
        <x:f>IF(OR(D194="",D193=""),"",D194-D193)</x:f>
        <x:v>-0.0605856394948896</x:v>
      </x:c>
      <x:c r="F194" s="87" t="n">
        <x:f>IF('Datos_fuente'!E194="","",LN('Datos_fuente'!E194))</x:f>
        <x:v>9.00862312907425</x:v>
      </x:c>
      <x:c r="G194" s="87" t="n">
        <x:f>IF(OR(F194="",F193=""),"",F194-F193)</x:f>
        <x:v>0.013370097003969406</x:v>
      </x:c>
      <x:c r="H194" s="55" t="n">
        <x:f>'Datos_fuente'!H194</x:f>
        <x:v>1.66</x:v>
      </x:c>
      <x:c r="I194" s="55" t="n">
        <x:f>IF(OR(H194="",H193=""),"",H194-H193)</x:f>
        <x:v>0.010000000000000009</x:v>
      </x:c>
      <x:c r="J194" s="55" t="n">
        <x:f>'Datos_fuente'!J194</x:f>
        <x:v>5.280166034</x:v>
      </x:c>
      <x:c r="K194" s="55" t="n">
        <x:f>IF(OR(J194="",J193=""),"",J194-J193)</x:f>
        <x:v>-1.3471383980000002</x:v>
      </x:c>
      <x:c r="L194" s="87" t="n">
        <x:f>IF('Datos_fuente'!K194="","",LN('Datos_fuente'!K194))</x:f>
        <x:v>4.730943757886551</x:v>
      </x:c>
      <x:c r="M194" s="87" t="n">
        <x:f>IF(OR(L194="",L193=""),"",L194-L193)</x:f>
        <x:v>0.002995750976178435</x:v>
      </x:c>
      <x:c r="N194" s="87" t="n">
        <x:f>IF('Datos_fuente'!L194="","",LN('Datos_fuente'!L194))</x:f>
        <x:v>2.8606412235817342</x:v>
      </x:c>
      <x:c r="O194" s="87" t="n">
        <x:f>IF(OR(N194="",N193=""),"",N194-N193)</x:f>
        <x:v>-0.007447054279639875</x:v>
      </x:c>
      <x:c r="P194" s="82" t="n">
        <x:f>'Datos_fuente'!N194</x:f>
        <x:v>0</x:v>
      </x:c>
      <x:c r="Q194" s="1"/>
      <x:c r="R194" s="1"/>
      <x:c r="S194" s="1"/>
      <x:c r="T194" s="1"/>
      <x:c r="U194" s="1"/>
      <x:c r="V194" s="1"/>
      <x:c r="W194" s="1"/>
      <x:c r="X194" s="1"/>
      <x:c r="Y194" s="1"/>
      <x:c r="Z194" s="1"/>
    </x:row>
    <x:row r="195">
      <x:c r="A195" s="1" t="str">
        <x:f>'Datos_fuente'!A195</x:f>
        <x:v>2021-09</x:v>
      </x:c>
      <x:c r="B195" s="87" t="n">
        <x:f>IF('Datos_fuente'!B195="","",LN('Datos_fuente'!B195))</x:f>
        <x:v>8.248408151235173</x:v>
      </x:c>
      <x:c r="C195" s="87" t="n">
        <x:f>IF(OR(B195="",B194=""),"",B195-B194)</x:f>
        <x:v>-0.015487273011800085</x:v>
      </x:c>
      <x:c r="D195" s="87" t="n">
        <x:f>IF('Datos_fuente'!C195="","",LN('Datos_fuente'!C195))</x:f>
        <x:v>4.310646581670776</x:v>
      </x:c>
      <x:c r="E195" s="87" t="n">
        <x:f>IF(OR(D195="",D194=""),"",D195-D194)</x:f>
        <x:v>0.051534429567109186</x:v>
      </x:c>
      <x:c r="F195" s="87" t="n">
        <x:f>IF('Datos_fuente'!E195="","",LN('Datos_fuente'!E195))</x:f>
        <x:v>9.012267410590397</x:v>
      </x:c>
      <x:c r="G195" s="87" t="n">
        <x:f>IF(OR(F195="",F194=""),"",F195-F194)</x:f>
        <x:v>0.003644281516146819</x:v>
      </x:c>
      <x:c r="H195" s="55" t="n">
        <x:f>'Datos_fuente'!H195</x:f>
        <x:v>1.67</x:v>
      </x:c>
      <x:c r="I195" s="55" t="n">
        <x:f>IF(OR(H195="",H194=""),"",H195-H194)</x:f>
        <x:v>0.010000000000000009</x:v>
      </x:c>
      <x:c r="J195" s="55" t="n">
        <x:f>'Datos_fuente'!J195</x:f>
        <x:v>4.840944881</x:v>
      </x:c>
      <x:c r="K195" s="55" t="n">
        <x:f>IF(OR(J195="",J194=""),"",J195-J194)</x:f>
        <x:v>-0.4392211529999992</x:v>
      </x:c>
      <x:c r="L195" s="87" t="n">
        <x:f>IF('Datos_fuente'!K195="","",LN('Datos_fuente'!K195))</x:f>
        <x:v>4.731307098204291</x:v>
      </x:c>
      <x:c r="M195" s="87" t="n">
        <x:f>IF(OR(L195="",L194=""),"",L195-L194)</x:f>
        <x:v>0.0003633403177403238</x:v>
      </x:c>
      <x:c r="N195" s="87" t="n">
        <x:f>IF('Datos_fuente'!L195="","",LN('Datos_fuente'!L195))</x:f>
        <x:v>2.9869317573605176</x:v>
      </x:c>
      <x:c r="O195" s="87" t="n">
        <x:f>IF(OR(N195="",N194=""),"",N195-N194)</x:f>
        <x:v>0.1262905337787834</x:v>
      </x:c>
      <x:c r="P195" s="82" t="n">
        <x:f>'Datos_fuente'!N195</x:f>
        <x:v>0</x:v>
      </x:c>
      <x:c r="Q195" s="1"/>
      <x:c r="R195" s="1"/>
      <x:c r="S195" s="1"/>
      <x:c r="T195" s="1"/>
      <x:c r="U195" s="1"/>
      <x:c r="V195" s="1"/>
      <x:c r="W195" s="1"/>
      <x:c r="X195" s="1"/>
      <x:c r="Y195" s="1"/>
      <x:c r="Z195" s="1"/>
    </x:row>
    <x:row r="196">
      <x:c r="A196" s="1" t="str">
        <x:f>'Datos_fuente'!A196</x:f>
        <x:v>2021-10</x:v>
      </x:c>
      <x:c r="B196" s="87" t="n">
        <x:f>IF('Datos_fuente'!B196="","",LN('Datos_fuente'!B196))</x:f>
        <x:v>8.235727541973489</x:v>
      </x:c>
      <x:c r="C196" s="87" t="n">
        <x:f>IF(OR(B196="",B195=""),"",B196-B195)</x:f>
        <x:v>-0.01268060926168424</x:v>
      </x:c>
      <x:c r="D196" s="87" t="n">
        <x:f>IF('Datos_fuente'!C196="","",LN('Datos_fuente'!C196))</x:f>
        <x:v>4.425302758234517</x:v>
      </x:c>
      <x:c r="E196" s="87" t="n">
        <x:f>IF(OR(D196="",D195=""),"",D196-D195)</x:f>
        <x:v>0.1146561765637415</x:v>
      </x:c>
      <x:c r="F196" s="87" t="n">
        <x:f>IF('Datos_fuente'!E196="","",LN('Datos_fuente'!E196))</x:f>
        <x:v>9.014389962857326</x:v>
      </x:c>
      <x:c r="G196" s="87" t="n">
        <x:f>IF(OR(F196="",F195=""),"",F196-F195)</x:f>
        <x:v>0.002122552266929034</x:v>
      </x:c>
      <x:c r="H196" s="55" t="n">
        <x:f>'Datos_fuente'!H196</x:f>
        <x:v>1.92</x:v>
      </x:c>
      <x:c r="I196" s="55" t="n">
        <x:f>IF(OR(H196="",H195=""),"",H196-H195)</x:f>
        <x:v>0.25</x:v>
      </x:c>
      <x:c r="J196" s="55" t="n">
        <x:f>'Datos_fuente'!J196</x:f>
        <x:v>6.25218226</x:v>
      </x:c>
      <x:c r="K196" s="55" t="n">
        <x:f>IF(OR(J196="",J195=""),"",J196-J195)</x:f>
        <x:v>1.4112373789999992</x:v>
      </x:c>
      <x:c r="L196" s="87" t="n">
        <x:f>IF('Datos_fuente'!K196="","",LN('Datos_fuente'!K196))</x:f>
        <x:v>4.736755179355963</x:v>
      </x:c>
      <x:c r="M196" s="87" t="n">
        <x:f>IF(OR(L196="",L195=""),"",L196-L195)</x:f>
        <x:v>0.005448081151671502</x:v>
      </x:c>
      <x:c r="N196" s="87" t="n">
        <x:f>IF('Datos_fuente'!L196="","",LN('Datos_fuente'!L196))</x:f>
        <x:v>2.883203268337616</x:v>
      </x:c>
      <x:c r="O196" s="87" t="n">
        <x:f>IF(OR(N196="",N195=""),"",N196-N195)</x:f>
        <x:v>-0.10372848902290155</x:v>
      </x:c>
      <x:c r="P196" s="82" t="n">
        <x:f>'Datos_fuente'!N196</x:f>
        <x:v>0</x:v>
      </x:c>
      <x:c r="Q196" s="1"/>
      <x:c r="R196" s="1"/>
      <x:c r="S196" s="1"/>
      <x:c r="T196" s="1"/>
      <x:c r="U196" s="1"/>
      <x:c r="V196" s="1"/>
      <x:c r="W196" s="1"/>
      <x:c r="X196" s="1"/>
      <x:c r="Y196" s="1"/>
      <x:c r="Z196" s="1"/>
    </x:row>
    <x:row r="197">
      <x:c r="A197" s="1" t="str">
        <x:f>'Datos_fuente'!A197</x:f>
        <x:v>2021-11</x:v>
      </x:c>
      <x:c r="B197" s="87" t="n">
        <x:f>IF('Datos_fuente'!B197="","",LN('Datos_fuente'!B197))</x:f>
        <x:v>8.269475401755148</x:v>
      </x:c>
      <x:c r="C197" s="87" t="n">
        <x:f>IF(OR(B197="",B196=""),"",B197-B196)</x:f>
        <x:v>0.03374785978165917</x:v>
      </x:c>
      <x:c r="D197" s="87" t="n">
        <x:f>IF('Datos_fuente'!C197="","",LN('Datos_fuente'!C197))</x:f>
        <x:v>4.395066248181685</x:v>
      </x:c>
      <x:c r="E197" s="87" t="n">
        <x:f>IF(OR(D197="",D196=""),"",D197-D196)</x:f>
        <x:v>-0.030236510052832344</x:v>
      </x:c>
      <x:c r="F197" s="87" t="n">
        <x:f>IF('Datos_fuente'!E197="","",LN('Datos_fuente'!E197))</x:f>
        <x:v>9.040160406835223</x:v>
      </x:c>
      <x:c r="G197" s="87" t="n">
        <x:f>IF(OR(F197="",F196=""),"",F197-F196)</x:f>
        <x:v>0.025770443977897628</x:v>
      </x:c>
      <x:c r="H197" s="55" t="n">
        <x:f>'Datos_fuente'!H197</x:f>
        <x:v>2.403333333</x:v>
      </x:c>
      <x:c r="I197" s="55" t="n">
        <x:f>IF(OR(H197="",H196=""),"",H197-H196)</x:f>
        <x:v>0.48333333300000003</x:v>
      </x:c>
      <x:c r="J197" s="55" t="n">
        <x:f>'Datos_fuente'!J197</x:f>
        <x:v>6.64429459</x:v>
      </x:c>
      <x:c r="K197" s="55" t="n">
        <x:f>IF(OR(J197="",J196=""),"",J197-J196)</x:f>
        <x:v>0.3921123300000007</x:v>
      </x:c>
      <x:c r="L197" s="87" t="n">
        <x:f>IF('Datos_fuente'!K197="","",LN('Datos_fuente'!K197))</x:f>
        <x:v>4.744843385295265</x:v>
      </x:c>
      <x:c r="M197" s="87" t="n">
        <x:f>IF(OR(L197="",L196=""),"",L197-L196)</x:f>
        <x:v>0.008088205939302817</x:v>
      </x:c>
      <x:c r="N197" s="87" t="n">
        <x:f>IF('Datos_fuente'!L197="","",LN('Datos_fuente'!L197))</x:f>
        <x:v>2.917796471753011</x:v>
      </x:c>
      <x:c r="O197" s="87" t="n">
        <x:f>IF(OR(N197="",N196=""),"",N197-N196)</x:f>
        <x:v>0.034593203415394846</x:v>
      </x:c>
      <x:c r="P197" s="82" t="n">
        <x:f>'Datos_fuente'!N197</x:f>
        <x:v>0</x:v>
      </x:c>
      <x:c r="Q197" s="1"/>
      <x:c r="R197" s="1"/>
      <x:c r="S197" s="1"/>
      <x:c r="T197" s="1"/>
      <x:c r="U197" s="1"/>
      <x:c r="V197" s="1"/>
      <x:c r="W197" s="1"/>
      <x:c r="X197" s="1"/>
      <x:c r="Y197" s="1"/>
      <x:c r="Z197" s="1"/>
    </x:row>
    <x:row r="198">
      <x:c r="A198" s="1" t="str">
        <x:f>'Datos_fuente'!A198</x:f>
        <x:v>2021-12</x:v>
      </x:c>
      <x:c r="B198" s="87" t="n">
        <x:f>IF('Datos_fuente'!B198="","",LN('Datos_fuente'!B198))</x:f>
        <x:v>8.284790291335742</x:v>
      </x:c>
      <x:c r="C198" s="87" t="n">
        <x:f>IF(OR(B198="",B197=""),"",B198-B197)</x:f>
        <x:v>0.015314889580594127</x:v>
      </x:c>
      <x:c r="D198" s="87" t="n">
        <x:f>IF('Datos_fuente'!C198="","",LN('Datos_fuente'!C198))</x:f>
        <x:v>4.306366175978632</x:v>
      </x:c>
      <x:c r="E198" s="87" t="n">
        <x:f>IF(OR(D198="",D197=""),"",D198-D197)</x:f>
        <x:v>-0.08870007220305265</x:v>
      </x:c>
      <x:c r="F198" s="87" t="n">
        <x:f>IF('Datos_fuente'!E198="","",LN('Datos_fuente'!E198))</x:f>
        <x:v>9.059196500499914</x:v>
      </x:c>
      <x:c r="G198" s="87" t="n">
        <x:f>IF(OR(F198="",F197=""),"",F198-F197)</x:f>
        <x:v>0.019036093664690057</x:v>
      </x:c>
      <x:c r="H198" s="55" t="n">
        <x:f>'Datos_fuente'!H198</x:f>
        <x:v>2.613548387</x:v>
      </x:c>
      <x:c r="I198" s="55" t="n">
        <x:f>IF(OR(H198="",H197=""),"",H198-H197)</x:f>
        <x:v>0.21021505399999985</x:v>
      </x:c>
      <x:c r="J198" s="55" t="n">
        <x:f>'Datos_fuente'!J198</x:f>
        <x:v>6.97187551</x:v>
      </x:c>
      <x:c r="K198" s="55" t="n">
        <x:f>IF(OR(J198="",J197=""),"",J198-J197)</x:f>
        <x:v>0.32758091999999994</x:v>
      </x:c>
      <x:c r="L198" s="87" t="n">
        <x:f>IF('Datos_fuente'!K198="","",LN('Datos_fuente'!K198))</x:f>
        <x:v>4.7519037534901925</x:v>
      </x:c>
      <x:c r="M198" s="87" t="n">
        <x:f>IF(OR(L198="",L197=""),"",L198-L197)</x:f>
        <x:v>0.007060368194927058</x:v>
      </x:c>
      <x:c r="N198" s="87" t="n">
        <x:f>IF('Datos_fuente'!L198="","",LN('Datos_fuente'!L198))</x:f>
        <x:v>3.06126461865364</x:v>
      </x:c>
      <x:c r="O198" s="87" t="n">
        <x:f>IF(OR(N198="",N197=""),"",N198-N197)</x:f>
        <x:v>0.14346814690062892</x:v>
      </x:c>
      <x:c r="P198" s="82" t="n">
        <x:f>'Datos_fuente'!N198</x:f>
        <x:v>0</x:v>
      </x:c>
      <x:c r="Q198" s="1"/>
      <x:c r="R198" s="1"/>
      <x:c r="S198" s="1"/>
      <x:c r="T198" s="1"/>
      <x:c r="U198" s="1"/>
      <x:c r="V198" s="1"/>
      <x:c r="W198" s="1"/>
      <x:c r="X198" s="1"/>
      <x:c r="Y198" s="1"/>
      <x:c r="Z198" s="1"/>
    </x:row>
    <x:row r="199">
      <x:c r="A199" s="1" t="str">
        <x:f>'Datos_fuente'!A199</x:f>
        <x:v>2022-01</x:v>
      </x:c>
      <x:c r="B199" s="87" t="n">
        <x:f>IF('Datos_fuente'!B199="","",LN('Datos_fuente'!B199))</x:f>
        <x:v>8.293953667746829</x:v>
      </x:c>
      <x:c r="C199" s="87" t="n">
        <x:f>IF(OR(B199="",B198=""),"",B199-B198)</x:f>
        <x:v>0.009163376411086332</x:v>
      </x:c>
      <x:c r="D199" s="87" t="n">
        <x:f>IF('Datos_fuente'!C199="","",LN('Datos_fuente'!C199))</x:f>
        <x:v>4.460204968173753</x:v>
      </x:c>
      <x:c r="E199" s="87" t="n">
        <x:f>IF(OR(D199="",D198=""),"",D199-D198)</x:f>
        <x:v>0.15383879219512053</x:v>
      </x:c>
      <x:c r="F199" s="87" t="n">
        <x:f>IF('Datos_fuente'!E199="","",LN('Datos_fuente'!E199))</x:f>
        <x:v>9.072694239695387</x:v>
      </x:c>
      <x:c r="G199" s="87" t="n">
        <x:f>IF(OR(F199="",F198=""),"",F199-F198)</x:f>
        <x:v>0.013497739195473812</x:v>
      </x:c>
      <x:c r="H199" s="55" t="n">
        <x:f>'Datos_fuente'!H199</x:f>
        <x:v>2.952258065</x:v>
      </x:c>
      <x:c r="I199" s="55" t="n">
        <x:f>IF(OR(H199="",H198=""),"",H199-H198)</x:f>
        <x:v>0.3387096780000003</x:v>
      </x:c>
      <x:c r="J199" s="55" t="n">
        <x:f>'Datos_fuente'!J199</x:f>
        <x:v>5.215531798</x:v>
      </x:c>
      <x:c r="K199" s="55" t="n">
        <x:f>IF(OR(J199="",J198=""),"",J199-J198)</x:f>
        <x:v>-1.7563437120000005</x:v>
      </x:c>
      <x:c r="L199" s="87" t="n">
        <x:f>IF('Datos_fuente'!K199="","",LN('Datos_fuente'!K199))</x:f>
        <x:v>4.745256249743283</x:v>
      </x:c>
      <x:c r="M199" s="87" t="n">
        <x:f>IF(OR(L199="",L198=""),"",L199-L198)</x:f>
        <x:v>-0.006647503746909145</x:v>
      </x:c>
      <x:c r="N199" s="87" t="n">
        <x:f>IF('Datos_fuente'!L199="","",LN('Datos_fuente'!L199))</x:f>
        <x:v>3.1433329776195564</x:v>
      </x:c>
      <x:c r="O199" s="87" t="n">
        <x:f>IF(OR(N199="",N198=""),"",N199-N198)</x:f>
        <x:v>0.08206835896591658</x:v>
      </x:c>
      <x:c r="P199" s="82" t="n">
        <x:f>'Datos_fuente'!N199</x:f>
        <x:v>0</x:v>
      </x:c>
      <x:c r="Q199" s="1"/>
      <x:c r="R199" s="1"/>
      <x:c r="S199" s="1"/>
      <x:c r="T199" s="1"/>
      <x:c r="U199" s="1"/>
      <x:c r="V199" s="1"/>
      <x:c r="W199" s="1"/>
      <x:c r="X199" s="1"/>
      <x:c r="Y199" s="1"/>
      <x:c r="Z199" s="1"/>
    </x:row>
    <x:row r="200">
      <x:c r="A200" s="1" t="str">
        <x:f>'Datos_fuente'!A200</x:f>
        <x:v>2022-02</x:v>
      </x:c>
      <x:c r="B200" s="87" t="n">
        <x:f>IF('Datos_fuente'!B200="","",LN('Datos_fuente'!B200))</x:f>
        <x:v>8.277878517971766</x:v>
      </x:c>
      <x:c r="C200" s="87" t="n">
        <x:f>IF(OR(B200="",B199=""),"",B200-B199)</x:f>
        <x:v>-0.016075149775062414</x:v>
      </x:c>
      <x:c r="D200" s="87" t="n">
        <x:f>IF('Datos_fuente'!C200="","",LN('Datos_fuente'!C200))</x:f>
        <x:v>4.576039991880957</x:v>
      </x:c>
      <x:c r="E200" s="87" t="n">
        <x:f>IF(OR(D200="",D199=""),"",D200-D199)</x:f>
        <x:v>0.11583502370720389</x:v>
      </x:c>
      <x:c r="F200" s="87" t="n">
        <x:f>IF('Datos_fuente'!E200="","",LN('Datos_fuente'!E200))</x:f>
        <x:v>9.077415652431185</x:v>
      </x:c>
      <x:c r="G200" s="87" t="n">
        <x:f>IF(OR(F200="",F199=""),"",F200-F199)</x:f>
        <x:v>0.004721412735797514</x:v>
      </x:c>
      <x:c r="H200" s="55" t="n">
        <x:f>'Datos_fuente'!H200</x:f>
        <x:v>3.92</x:v>
      </x:c>
      <x:c r="I200" s="55" t="n">
        <x:f>IF(OR(H200="",H199=""),"",H200-H199)</x:f>
        <x:v>0.9677419349999998</x:v>
      </x:c>
      <x:c r="J200" s="55" t="n">
        <x:f>'Datos_fuente'!J200</x:f>
        <x:v>5.120245584</x:v>
      </x:c>
      <x:c r="K200" s="55" t="n">
        <x:f>IF(OR(J200="",J199=""),"",J200-J199)</x:f>
        <x:v>-0.0952862139999997</x:v>
      </x:c>
      <x:c r="L200" s="87" t="n">
        <x:f>IF('Datos_fuente'!K200="","",LN('Datos_fuente'!K200))</x:f>
        <x:v>4.744912494257459</x:v>
      </x:c>
      <x:c r="M200" s="87" t="n">
        <x:f>IF(OR(L200="",L199=""),"",L200-L199)</x:f>
        <x:v>-0.0003437554858241043</x:v>
      </x:c>
      <x:c r="N200" s="87" t="n">
        <x:f>IF('Datos_fuente'!L200="","",LN('Datos_fuente'!L200))</x:f>
        <x:v>3.2483733067830904</x:v>
      </x:c>
      <x:c r="O200" s="87" t="n">
        <x:f>IF(OR(N200="",N199=""),"",N200-N199)</x:f>
        <x:v>0.10504032916353401</x:v>
      </x:c>
      <x:c r="P200" s="82" t="n">
        <x:f>'Datos_fuente'!N200</x:f>
        <x:v>0</x:v>
      </x:c>
      <x:c r="Q200" s="1"/>
      <x:c r="R200" s="1"/>
      <x:c r="S200" s="1"/>
      <x:c r="T200" s="1"/>
      <x:c r="U200" s="1"/>
      <x:c r="V200" s="1"/>
      <x:c r="W200" s="1"/>
      <x:c r="X200" s="1"/>
      <x:c r="Y200" s="1"/>
      <x:c r="Z200" s="1"/>
    </x:row>
    <x:row r="201">
      <x:c r="A201" s="1" t="str">
        <x:f>'Datos_fuente'!A201</x:f>
        <x:v>2022-03</x:v>
      </x:c>
      <x:c r="B201" s="87" t="n">
        <x:f>IF('Datos_fuente'!B201="","",LN('Datos_fuente'!B201))</x:f>
        <x:v>8.24464166422624</x:v>
      </x:c>
      <x:c r="C201" s="87" t="n">
        <x:f>IF(OR(B201="",B200=""),"",B201-B200)</x:f>
        <x:v>-0.03323685374552632</x:v>
      </x:c>
      <x:c r="D201" s="87" t="n">
        <x:f>IF('Datos_fuente'!C201="","",LN('Datos_fuente'!C201))</x:f>
        <x:v>4.764267616729005</x:v>
      </x:c>
      <x:c r="E201" s="87" t="n">
        <x:f>IF(OR(D201="",D200=""),"",D201-D200)</x:f>
        <x:v>0.18822762484804834</x:v>
      </x:c>
      <x:c r="F201" s="87" t="n">
        <x:f>IF('Datos_fuente'!E201="","",LN('Datos_fuente'!E201))</x:f>
        <x:v>9.070375759064738</x:v>
      </x:c>
      <x:c r="G201" s="87" t="n">
        <x:f>IF(OR(F201="",F200=""),"",F201-F200)</x:f>
        <x:v>-0.0070398933664463925</x:v>
      </x:c>
      <x:c r="H201" s="55" t="n">
        <x:f>'Datos_fuente'!H201</x:f>
        <x:v>3.8</x:v>
      </x:c>
      <x:c r="I201" s="55" t="n">
        <x:f>IF(OR(H201="",H200=""),"",H201-H200)</x:f>
        <x:v>-0.1200000000000001</x:v>
      </x:c>
      <x:c r="J201" s="55" t="n">
        <x:f>'Datos_fuente'!J201</x:f>
        <x:v>5.78623551</x:v>
      </x:c>
      <x:c r="K201" s="55" t="n">
        <x:f>IF(OR(J201="",J200=""),"",J201-J200)</x:f>
        <x:v>0.665989926</x:v>
      </x:c>
      <x:c r="L201" s="87" t="n">
        <x:f>IF('Datos_fuente'!K201="","",LN('Datos_fuente'!K201))</x:f>
        <x:v>4.756094286860655</x:v>
      </x:c>
      <x:c r="M201" s="87" t="n">
        <x:f>IF(OR(L201="",L200=""),"",L201-L200)</x:f>
        <x:v>0.011181792603196072</x:v>
      </x:c>
      <x:c r="N201" s="87" t="n">
        <x:f>IF('Datos_fuente'!L201="","",LN('Datos_fuente'!L201))</x:f>
        <x:v>3.2946767729861897</x:v>
      </x:c>
      <x:c r="O201" s="87" t="n">
        <x:f>IF(OR(N201="",N200=""),"",N201-N200)</x:f>
        <x:v>0.04630346620309922</x:v>
      </x:c>
      <x:c r="P201" s="82" t="n">
        <x:f>'Datos_fuente'!N201</x:f>
        <x:v>0</x:v>
      </x:c>
      <x:c r="Q201" s="1"/>
      <x:c r="R201" s="1"/>
      <x:c r="S201" s="1"/>
      <x:c r="T201" s="1"/>
      <x:c r="U201" s="1"/>
      <x:c r="V201" s="1"/>
      <x:c r="W201" s="1"/>
      <x:c r="X201" s="1"/>
      <x:c r="Y201" s="1"/>
      <x:c r="Z201" s="1"/>
    </x:row>
    <x:row r="202">
      <x:c r="A202" s="1" t="str">
        <x:f>'Datos_fuente'!A202</x:f>
        <x:v>2022-04</x:v>
      </x:c>
      <x:c r="B202" s="87" t="n">
        <x:f>IF('Datos_fuente'!B202="","",LN('Datos_fuente'!B202))</x:f>
        <x:v>8.240907796093667</x:v>
      </x:c>
      <x:c r="C202" s="87" t="n">
        <x:f>IF(OR(B202="",B201=""),"",B202-B201)</x:f>
        <x:v>-0.003733868132572482</x:v>
      </x:c>
      <x:c r="D202" s="87" t="n">
        <x:f>IF('Datos_fuente'!C202="","",LN('Datos_fuente'!C202))</x:f>
        <x:v>4.649907034179027</x:v>
      </x:c>
      <x:c r="E202" s="87" t="n">
        <x:f>IF(OR(D202="",D201=""),"",D202-D201)</x:f>
        <x:v>-0.11436058254997761</x:v>
      </x:c>
      <x:c r="F202" s="87" t="n">
        <x:f>IF('Datos_fuente'!E202="","",LN('Datos_fuente'!E202))</x:f>
        <x:v>9.0756162683546</x:v>
      </x:c>
      <x:c r="G202" s="87" t="n">
        <x:f>IF(OR(F202="",F201=""),"",F202-F201)</x:f>
        <x:v>0.00524050928986064</x:v>
      </x:c>
      <x:c r="H202" s="55" t="n">
        <x:f>'Datos_fuente'!H202</x:f>
        <x:v>4.67</x:v>
      </x:c>
      <x:c r="I202" s="55" t="n">
        <x:f>IF(OR(H202="",H201=""),"",H202-H201)</x:f>
        <x:v>0.8700000000000001</x:v>
      </x:c>
      <x:c r="J202" s="55" t="n">
        <x:f>'Datos_fuente'!J202</x:f>
        <x:v>5.387696326</x:v>
      </x:c>
      <x:c r="K202" s="55" t="n">
        <x:f>IF(OR(J202="",J201=""),"",J202-J201)</x:f>
        <x:v>-0.39853918399999966</x:v>
      </x:c>
      <x:c r="L202" s="87" t="n">
        <x:f>IF('Datos_fuente'!K202="","",LN('Datos_fuente'!K202))</x:f>
        <x:v>4.76361558913168</x:v>
      </x:c>
      <x:c r="M202" s="87" t="n">
        <x:f>IF(OR(L202="",L201=""),"",L202-L201)</x:f>
        <x:v>0.007521302271024766</x:v>
      </x:c>
      <x:c r="N202" s="87" t="n">
        <x:f>IF('Datos_fuente'!L202="","",LN('Datos_fuente'!L202))</x:f>
        <x:v>3.1934964765288036</x:v>
      </x:c>
      <x:c r="O202" s="87" t="n">
        <x:f>IF(OR(N202="",N201=""),"",N202-N201)</x:f>
        <x:v>-0.10118029645738602</x:v>
      </x:c>
      <x:c r="P202" s="82" t="n">
        <x:f>'Datos_fuente'!N202</x:f>
        <x:v>0</x:v>
      </x:c>
      <x:c r="Q202" s="1"/>
      <x:c r="R202" s="1"/>
      <x:c r="S202" s="1"/>
      <x:c r="T202" s="1"/>
      <x:c r="U202" s="1"/>
      <x:c r="V202" s="1"/>
      <x:c r="W202" s="1"/>
      <x:c r="X202" s="1"/>
      <x:c r="Y202" s="1"/>
      <x:c r="Z202" s="1"/>
    </x:row>
    <x:row r="203">
      <x:c r="A203" s="1" t="str">
        <x:f>'Datos_fuente'!A203</x:f>
        <x:v>2022-05</x:v>
      </x:c>
      <x:c r="B203" s="87" t="n">
        <x:f>IF('Datos_fuente'!B203="","",LN('Datos_fuente'!B203))</x:f>
        <x:v>8.298808139215705</x:v>
      </x:c>
      <x:c r="C203" s="87" t="n">
        <x:f>IF(OR(B203="",B202=""),"",B203-B202)</x:f>
        <x:v>0.05790034312203751</x:v>
      </x:c>
      <x:c r="D203" s="87" t="n">
        <x:f>IF('Datos_fuente'!C203="","",LN('Datos_fuente'!C203))</x:f>
        <x:v>4.730371142933022</x:v>
      </x:c>
      <x:c r="E203" s="87" t="n">
        <x:f>IF(OR(D203="",D202=""),"",D203-D202)</x:f>
        <x:v>0.08046410875399435</x:v>
      </x:c>
      <x:c r="F203" s="87" t="n">
        <x:f>IF('Datos_fuente'!E203="","",LN('Datos_fuente'!E203))</x:f>
        <x:v>9.084946068973418</x:v>
      </x:c>
      <x:c r="G203" s="87" t="n">
        <x:f>IF(OR(F203="",F202=""),"",F203-F202)</x:f>
        <x:v>0.009329800618818496</x:v>
      </x:c>
      <x:c r="H203" s="55" t="n">
        <x:f>'Datos_fuente'!H203</x:f>
        <x:v>5.197741935</x:v>
      </x:c>
      <x:c r="I203" s="55" t="n">
        <x:f>IF(OR(H203="",H202=""),"",H203-H202)</x:f>
        <x:v>0.5277419349999999</x:v>
      </x:c>
      <x:c r="J203" s="55" t="n">
        <x:f>'Datos_fuente'!J203</x:f>
        <x:v>5.298016658</x:v>
      </x:c>
      <x:c r="K203" s="55" t="n">
        <x:f>IF(OR(J203="",J202=""),"",J203-J202)</x:f>
        <x:v>-0.08967966800000049</x:v>
      </x:c>
      <x:c r="L203" s="87" t="n">
        <x:f>IF('Datos_fuente'!K203="","",LN('Datos_fuente'!K203))</x:f>
        <x:v>4.784956786660663</x:v>
      </x:c>
      <x:c r="M203" s="87" t="n">
        <x:f>IF(OR(L203="",L202=""),"",L203-L202)</x:f>
        <x:v>0.021341197528983002</x:v>
      </x:c>
      <x:c r="N203" s="87" t="n">
        <x:f>IF('Datos_fuente'!L203="","",LN('Datos_fuente'!L203))</x:f>
        <x:v>3.3780528125339657</x:v>
      </x:c>
      <x:c r="O203" s="87" t="n">
        <x:f>IF(OR(N203="",N202=""),"",N203-N202)</x:f>
        <x:v>0.18455633600516208</x:v>
      </x:c>
      <x:c r="P203" s="82" t="n">
        <x:f>'Datos_fuente'!N203</x:f>
        <x:v>0</x:v>
      </x:c>
      <x:c r="Q203" s="1"/>
      <x:c r="R203" s="1"/>
      <x:c r="S203" s="1"/>
      <x:c r="T203" s="1"/>
      <x:c r="U203" s="1"/>
      <x:c r="V203" s="1"/>
      <x:c r="W203" s="1"/>
      <x:c r="X203" s="1"/>
      <x:c r="Y203" s="1"/>
      <x:c r="Z203" s="1"/>
    </x:row>
    <x:row r="204">
      <x:c r="A204" s="1" t="str">
        <x:f>'Datos_fuente'!A204</x:f>
        <x:v>2022-06</x:v>
      </x:c>
      <x:c r="B204" s="87" t="n">
        <x:f>IF('Datos_fuente'!B204="","",LN('Datos_fuente'!B204))</x:f>
        <x:v>8.276589766499127</x:v>
      </x:c>
      <x:c r="C204" s="87" t="n">
        <x:f>IF(OR(B204="",B203=""),"",B204-B203)</x:f>
        <x:v>-0.022218372716578116</x:v>
      </x:c>
      <x:c r="D204" s="87" t="n">
        <x:f>IF('Datos_fuente'!C204="","",LN('Datos_fuente'!C204))</x:f>
        <x:v>4.809831609346977</x:v>
      </x:c>
      <x:c r="E204" s="87" t="n">
        <x:f>IF(OR(D204="",D203=""),"",D204-D203)</x:f>
        <x:v>0.07946046641395554</x:v>
      </x:c>
      <x:c r="F204" s="87" t="n">
        <x:f>IF('Datos_fuente'!E204="","",LN('Datos_fuente'!E204))</x:f>
        <x:v>9.098746021840103</x:v>
      </x:c>
      <x:c r="G204" s="87" t="n">
        <x:f>IF(OR(F204="",F203=""),"",F204-F203)</x:f>
        <x:v>0.013799952866685672</x:v>
      </x:c>
      <x:c r="H204" s="55" t="n">
        <x:f>'Datos_fuente'!H204</x:f>
        <x:v>4.79</x:v>
      </x:c>
      <x:c r="I204" s="55" t="n">
        <x:f>IF(OR(H204="",H203=""),"",H204-H203)</x:f>
        <x:v>-0.4077419349999998</x:v>
      </x:c>
      <x:c r="J204" s="55" t="n">
        <x:f>'Datos_fuente'!J204</x:f>
        <x:v>5.517064225</x:v>
      </x:c>
      <x:c r="K204" s="55" t="n">
        <x:f>IF(OR(J204="",J203=""),"",J204-J203)</x:f>
        <x:v>0.2190475670000005</x:v>
      </x:c>
      <x:c r="L204" s="87" t="n">
        <x:f>IF('Datos_fuente'!K204="","",LN('Datos_fuente'!K204))</x:f>
        <x:v>4.787705965668018</x:v>
      </x:c>
      <x:c r="M204" s="87" t="n">
        <x:f>IF(OR(L204="",L203=""),"",L204-L203)</x:f>
        <x:v>0.0027491790073552735</x:v>
      </x:c>
      <x:c r="N204" s="87" t="n">
        <x:f>IF('Datos_fuente'!L204="","",LN('Datos_fuente'!L204))</x:f>
        <x:v>3.3404979465056055</x:v>
      </x:c>
      <x:c r="O204" s="87" t="n">
        <x:f>IF(OR(N204="",N203=""),"",N204-N203)</x:f>
        <x:v>-0.03755486602836022</x:v>
      </x:c>
      <x:c r="P204" s="82" t="n">
        <x:f>'Datos_fuente'!N204</x:f>
        <x:v>0</x:v>
      </x:c>
      <x:c r="Q204" s="1"/>
      <x:c r="R204" s="1"/>
      <x:c r="S204" s="1"/>
      <x:c r="T204" s="1"/>
      <x:c r="U204" s="1"/>
      <x:c r="V204" s="1"/>
      <x:c r="W204" s="1"/>
      <x:c r="X204" s="1"/>
      <x:c r="Y204" s="1"/>
      <x:c r="Z204" s="1"/>
    </x:row>
    <x:row r="205">
      <x:c r="A205" s="1" t="str">
        <x:f>'Datos_fuente'!A205</x:f>
        <x:v>2022-07</x:v>
      </x:c>
      <x:c r="B205" s="87" t="n">
        <x:f>IF('Datos_fuente'!B205="","",LN('Datos_fuente'!B205))</x:f>
        <x:v>8.382016058103106</x:v>
      </x:c>
      <x:c r="C205" s="87" t="n">
        <x:f>IF(OR(B205="",B204=""),"",B205-B204)</x:f>
        <x:v>0.10542629160397965</x:v>
      </x:c>
      <x:c r="D205" s="87" t="n">
        <x:f>IF('Datos_fuente'!C205="","",LN('Datos_fuente'!C205))</x:f>
        <x:v>4.717835386058865</x:v>
      </x:c>
      <x:c r="E205" s="87" t="n">
        <x:f>IF(OR(D205="",D204=""),"",D205-D204)</x:f>
        <x:v>-0.09199622328811241</x:v>
      </x:c>
      <x:c r="F205" s="87" t="n">
        <x:f>IF('Datos_fuente'!E205="","",LN('Datos_fuente'!E205))</x:f>
        <x:v>9.115141385989595</x:v>
      </x:c>
      <x:c r="G205" s="87" t="n">
        <x:f>IF(OR(F205="",F204=""),"",F205-F204)</x:f>
        <x:v>0.016395364149492053</x:v>
      </x:c>
      <x:c r="H205" s="55" t="n">
        <x:f>'Datos_fuente'!H205</x:f>
        <x:v>5.82</x:v>
      </x:c>
      <x:c r="I205" s="55" t="n">
        <x:f>IF(OR(H205="",H204=""),"",H205-H204)</x:f>
        <x:v>1.0300000000000002</x:v>
      </x:c>
      <x:c r="J205" s="55" t="n">
        <x:f>'Datos_fuente'!J205</x:f>
        <x:v>5.416419004</x:v>
      </x:c>
      <x:c r="K205" s="55" t="n">
        <x:f>IF(OR(J205="",J204=""),"",J205-J204)</x:f>
        <x:v>-0.10064522100000062</x:v>
      </x:c>
      <x:c r="L205" s="87" t="n">
        <x:f>IF('Datos_fuente'!K205="","",LN('Datos_fuente'!K205))</x:f>
        <x:v>4.810159542594259</x:v>
      </x:c>
      <x:c r="M205" s="87" t="n">
        <x:f>IF(OR(L205="",L204=""),"",L205-L204)</x:f>
        <x:v>0.022453576926240615</x:v>
      </x:c>
      <x:c r="N205" s="87" t="n">
        <x:f>IF('Datos_fuente'!L205="","",LN('Datos_fuente'!L205))</x:f>
        <x:v>3.218685330725344</x:v>
      </x:c>
      <x:c r="O205" s="87" t="n">
        <x:f>IF(OR(N205="",N204=""),"",N205-N204)</x:f>
        <x:v>-0.1218126157802617</x:v>
      </x:c>
      <x:c r="P205" s="82" t="n">
        <x:f>'Datos_fuente'!N205</x:f>
        <x:v>0</x:v>
      </x:c>
      <x:c r="Q205" s="1"/>
      <x:c r="R205" s="1"/>
      <x:c r="S205" s="1"/>
      <x:c r="T205" s="1"/>
      <x:c r="U205" s="1"/>
      <x:c r="V205" s="1"/>
      <x:c r="W205" s="1"/>
      <x:c r="X205" s="1"/>
      <x:c r="Y205" s="1"/>
      <x:c r="Z205" s="1"/>
    </x:row>
    <x:row r="206">
      <x:c r="A206" s="1" t="str">
        <x:f>'Datos_fuente'!A206</x:f>
        <x:v>2022-08</x:v>
      </x:c>
      <x:c r="B206" s="87" t="n">
        <x:f>IF('Datos_fuente'!B206="","",LN('Datos_fuente'!B206))</x:f>
        <x:v>8.37158212788512</x:v>
      </x:c>
      <x:c r="C206" s="87" t="n">
        <x:f>IF(OR(B206="",B205=""),"",B206-B205)</x:f>
        <x:v>-0.010433930217986997</x:v>
      </x:c>
      <x:c r="D206" s="87" t="n">
        <x:f>IF('Datos_fuente'!C206="","",LN('Datos_fuente'!C206))</x:f>
        <x:v>4.609623889510596</x:v>
      </x:c>
      <x:c r="E206" s="87" t="n">
        <x:f>IF(OR(D206="",D205=""),"",D206-D205)</x:f>
        <x:v>-0.108211496548269</x:v>
      </x:c>
      <x:c r="F206" s="87" t="n">
        <x:f>IF('Datos_fuente'!E206="","",LN('Datos_fuente'!E206))</x:f>
        <x:v>9.117888403591184</x:v>
      </x:c>
      <x:c r="G206" s="87" t="n">
        <x:f>IF(OR(F206="",F205=""),"",F206-F205)</x:f>
        <x:v>0.002747017601588908</x:v>
      </x:c>
      <x:c r="H206" s="55" t="n">
        <x:f>'Datos_fuente'!H206</x:f>
        <x:v>6.67</x:v>
      </x:c>
      <x:c r="I206" s="55" t="n">
        <x:f>IF(OR(H206="",H205=""),"",H206-H205)</x:f>
        <x:v>0.8499999999999996</x:v>
      </x:c>
      <x:c r="J206" s="55" t="n">
        <x:f>'Datos_fuente'!J206</x:f>
        <x:v>6.403271638</x:v>
      </x:c>
      <x:c r="K206" s="55" t="n">
        <x:f>IF(OR(J206="",J205=""),"",J206-J205)</x:f>
        <x:v>0.9868526339999999</x:v>
      </x:c>
      <x:c r="L206" s="87" t="n">
        <x:f>IF('Datos_fuente'!K206="","",LN('Datos_fuente'!K206))</x:f>
        <x:v>4.806622185062162</x:v>
      </x:c>
      <x:c r="M206" s="87" t="n">
        <x:f>IF(OR(L206="",L205=""),"",L206-L205)</x:f>
        <x:v>-0.003537357532096941</x:v>
      </x:c>
      <x:c r="N206" s="87" t="n">
        <x:f>IF('Datos_fuente'!L206="","",LN('Datos_fuente'!L206))</x:f>
        <x:v>3.0987204122496306</x:v>
      </x:c>
      <x:c r="O206" s="87" t="n">
        <x:f>IF(OR(N206="",N205=""),"",N206-N205)</x:f>
        <x:v>-0.11996491847571322</x:v>
      </x:c>
      <x:c r="P206" s="82" t="n">
        <x:f>'Datos_fuente'!N206</x:f>
        <x:v>0</x:v>
      </x:c>
      <x:c r="Q206" s="1"/>
      <x:c r="R206" s="1"/>
      <x:c r="S206" s="1"/>
      <x:c r="T206" s="1"/>
      <x:c r="U206" s="1"/>
      <x:c r="V206" s="1"/>
      <x:c r="W206" s="1"/>
      <x:c r="X206" s="1"/>
      <x:c r="Y206" s="1"/>
      <x:c r="Z206" s="1"/>
    </x:row>
    <x:row r="207">
      <x:c r="A207" s="1" t="str">
        <x:f>'Datos_fuente'!A207</x:f>
        <x:v>2022-09</x:v>
      </x:c>
      <x:c r="B207" s="87" t="n">
        <x:f>IF('Datos_fuente'!B207="","",LN('Datos_fuente'!B207))</x:f>
        <x:v>8.396978677110038</x:v>
      </x:c>
      <x:c r="C207" s="87" t="n">
        <x:f>IF(OR(B207="",B206=""),"",B207-B206)</x:f>
        <x:v>0.02539654922491863</x:v>
      </x:c>
      <x:c r="D207" s="87" t="n">
        <x:f>IF('Datos_fuente'!C207="","",LN('Datos_fuente'!C207))</x:f>
        <x:v>4.497192491837795</x:v>
      </x:c>
      <x:c r="E207" s="87" t="n">
        <x:f>IF(OR(D207="",D206=""),"",D207-D206)</x:f>
        <x:v>-0.1124313976728013</x:v>
      </x:c>
      <x:c r="F207" s="87" t="n">
        <x:f>IF('Datos_fuente'!E207="","",LN('Datos_fuente'!E207))</x:f>
        <x:v>9.125331352566254</x:v>
      </x:c>
      <x:c r="G207" s="87" t="n">
        <x:f>IF(OR(F207="",F206=""),"",F207-F206)</x:f>
        <x:v>0.0074429489750702515</x:v>
      </x:c>
      <x:c r="H207" s="55" t="n">
        <x:f>'Datos_fuente'!H207</x:f>
        <x:v>6.473333333</x:v>
      </x:c>
      <x:c r="I207" s="55" t="n">
        <x:f>IF(OR(H207="",H206=""),"",H207-H206)</x:f>
        <x:v>-0.19666666699999968</x:v>
      </x:c>
      <x:c r="J207" s="55" t="n">
        <x:f>'Datos_fuente'!J207</x:f>
        <x:v>6.268715719</x:v>
      </x:c>
      <x:c r="K207" s="55" t="n">
        <x:f>IF(OR(J207="",J206=""),"",J207-J206)</x:f>
        <x:v>-0.1345559189999994</x:v>
      </x:c>
      <x:c r="L207" s="87" t="n">
        <x:f>IF('Datos_fuente'!K207="","",LN('Datos_fuente'!K207))</x:f>
        <x:v>4.833059259479272</x:v>
      </x:c>
      <x:c r="M207" s="87" t="n">
        <x:f>IF(OR(L207="",L206=""),"",L207-L206)</x:f>
        <x:v>0.026437074417110296</x:v>
      </x:c>
      <x:c r="N207" s="87" t="n">
        <x:f>IF('Datos_fuente'!L207="","",LN('Datos_fuente'!L207))</x:f>
        <x:v>3.308417331644957</x:v>
      </x:c>
      <x:c r="O207" s="87" t="n">
        <x:f>IF(OR(N207="",N206=""),"",N207-N206)</x:f>
        <x:v>0.20969691939532664</x:v>
      </x:c>
      <x:c r="P207" s="82" t="n">
        <x:f>'Datos_fuente'!N207</x:f>
        <x:v>0</x:v>
      </x:c>
      <x:c r="Q207" s="1"/>
      <x:c r="R207" s="1"/>
      <x:c r="S207" s="1"/>
      <x:c r="T207" s="1"/>
      <x:c r="U207" s="1"/>
      <x:c r="V207" s="1"/>
      <x:c r="W207" s="1"/>
      <x:c r="X207" s="1"/>
      <x:c r="Y207" s="1"/>
      <x:c r="Z207" s="1"/>
    </x:row>
    <x:row r="208">
      <x:c r="A208" s="1" t="str">
        <x:f>'Datos_fuente'!A208</x:f>
        <x:v>2022-10</x:v>
      </x:c>
      <x:c r="B208" s="87" t="n">
        <x:f>IF('Datos_fuente'!B208="","",LN('Datos_fuente'!B208))</x:f>
        <x:v>8.45783171513298</x:v>
      </x:c>
      <x:c r="C208" s="87" t="n">
        <x:f>IF(OR(B208="",B207=""),"",B208-B207)</x:f>
        <x:v>0.060853038022941064</x:v>
      </x:c>
      <x:c r="D208" s="87" t="n">
        <x:f>IF('Datos_fuente'!C208="","",LN('Datos_fuente'!C208))</x:f>
        <x:v>4.536162008241143</x:v>
      </x:c>
      <x:c r="E208" s="87" t="n">
        <x:f>IF(OR(D208="",D207=""),"",D208-D207)</x:f>
        <x:v>0.03896951640334834</x:v>
      </x:c>
      <x:c r="F208" s="87" t="n">
        <x:f>IF('Datos_fuente'!E208="","",LN('Datos_fuente'!E208))</x:f>
        <x:v>9.150097677216323</x:v>
      </x:c>
      <x:c r="G208" s="87" t="n">
        <x:f>IF(OR(F208="",F207=""),"",F208-F207)</x:f>
        <x:v>0.024766324650068228</x:v>
      </x:c>
      <x:c r="H208" s="55" t="n">
        <x:f>'Datos_fuente'!H208</x:f>
        <x:v>6.952258065</x:v>
      </x:c>
      <x:c r="I208" s="55" t="n">
        <x:f>IF(OR(H208="",H207=""),"",H208-H207)</x:f>
        <x:v>0.4789247319999994</x:v>
      </x:c>
      <x:c r="J208" s="55" t="n">
        <x:f>'Datos_fuente'!J208</x:f>
        <x:v>5.804178868</x:v>
      </x:c>
      <x:c r="K208" s="55" t="n">
        <x:f>IF(OR(J208="",J207=""),"",J208-J207)</x:f>
        <x:v>-0.4645368510000001</x:v>
      </x:c>
      <x:c r="L208" s="87" t="n">
        <x:f>IF('Datos_fuente'!K208="","",LN('Datos_fuente'!K208))</x:f>
        <x:v>4.847964235380359</x:v>
      </x:c>
      <x:c r="M208" s="87" t="n">
        <x:f>IF(OR(L208="",L207=""),"",L208-L207)</x:f>
        <x:v>0.014904975901086637</x:v>
      </x:c>
      <x:c r="N208" s="87" t="n">
        <x:f>IF('Datos_fuente'!L208="","",LN('Datos_fuente'!L208))</x:f>
        <x:v>3.401387839857175</x:v>
      </x:c>
      <x:c r="O208" s="87" t="n">
        <x:f>IF(OR(N208="",N207=""),"",N208-N207)</x:f>
        <x:v>0.09297050821221786</x:v>
      </x:c>
      <x:c r="P208" s="82" t="n">
        <x:f>'Datos_fuente'!N208</x:f>
        <x:v>0</x:v>
      </x:c>
      <x:c r="Q208" s="1"/>
      <x:c r="R208" s="1"/>
      <x:c r="S208" s="1"/>
      <x:c r="T208" s="1"/>
      <x:c r="U208" s="1"/>
      <x:c r="V208" s="1"/>
      <x:c r="W208" s="1"/>
      <x:c r="X208" s="1"/>
      <x:c r="Y208" s="1"/>
      <x:c r="Z208" s="1"/>
    </x:row>
    <x:row r="209">
      <x:c r="A209" s="1" t="str">
        <x:f>'Datos_fuente'!A209</x:f>
        <x:v>2022-11</x:v>
      </x:c>
      <x:c r="B209" s="87" t="n">
        <x:f>IF('Datos_fuente'!B209="","",LN('Datos_fuente'!B209))</x:f>
        <x:v>8.502416688039025</x:v>
      </x:c>
      <x:c r="C209" s="87" t="n">
        <x:f>IF(OR(B209="",B208=""),"",B209-B208)</x:f>
        <x:v>0.044584972906045905</x:v>
      </x:c>
      <x:c r="D209" s="87" t="n">
        <x:f>IF('Datos_fuente'!C209="","",LN('Datos_fuente'!C209))</x:f>
        <x:v>4.515414551146819</x:v>
      </x:c>
      <x:c r="E209" s="87" t="n">
        <x:f>IF(OR(D209="",D208=""),"",D209-D208)</x:f>
        <x:v>-0.02074745709432424</x:v>
      </x:c>
      <x:c r="F209" s="87" t="n">
        <x:f>IF('Datos_fuente'!E209="","",LN('Datos_fuente'!E209))</x:f>
        <x:v>9.14960899446156</x:v>
      </x:c>
      <x:c r="G209" s="87" t="n">
        <x:f>IF(OR(F209="",F208=""),"",F209-F208)</x:f>
        <x:v>-0.0004886827547618822</x:v>
      </x:c>
      <x:c r="H209" s="55" t="n">
        <x:f>'Datos_fuente'!H209</x:f>
        <x:v>7.22</x:v>
      </x:c>
      <x:c r="I209" s="55" t="n">
        <x:f>IF(OR(H209="",H208=""),"",H209-H208)</x:f>
        <x:v>0.2677419350000001</x:v>
      </x:c>
      <x:c r="J209" s="55" t="n">
        <x:f>'Datos_fuente'!J209</x:f>
        <x:v>5.270243754</x:v>
      </x:c>
      <x:c r="K209" s="55" t="n">
        <x:f>IF(OR(J209="",J208=""),"",J209-J208)</x:f>
        <x:v>-0.5339351140000002</x:v>
      </x:c>
      <x:c r="L209" s="87" t="n">
        <x:f>IF('Datos_fuente'!K209="","",LN('Datos_fuente'!K209))</x:f>
        <x:v>4.82713480263184</x:v>
      </x:c>
      <x:c r="M209" s="87" t="n">
        <x:f>IF(OR(L209="",L208=""),"",L209-L208)</x:f>
        <x:v>-0.020829432748518784</x:v>
      </x:c>
      <x:c r="N209" s="87" t="n">
        <x:f>IF('Datos_fuente'!L209="","",LN('Datos_fuente'!L209))</x:f>
        <x:v>3.1484143430722846</x:v>
      </x:c>
      <x:c r="O209" s="87" t="n">
        <x:f>IF(OR(N209="",N208=""),"",N209-N208)</x:f>
        <x:v>-0.25297349678489045</x:v>
      </x:c>
      <x:c r="P209" s="82" t="n">
        <x:f>'Datos_fuente'!N209</x:f>
        <x:v>0</x:v>
      </x:c>
      <x:c r="Q209" s="1"/>
      <x:c r="R209" s="1"/>
      <x:c r="S209" s="1"/>
      <x:c r="T209" s="1"/>
      <x:c r="U209" s="1"/>
      <x:c r="V209" s="1"/>
      <x:c r="W209" s="1"/>
      <x:c r="X209" s="1"/>
      <x:c r="Y209" s="1"/>
      <x:c r="Z209" s="1"/>
    </x:row>
    <x:row r="210">
      <x:c r="A210" s="1" t="str">
        <x:f>'Datos_fuente'!A210</x:f>
        <x:v>2022-12</x:v>
      </x:c>
      <x:c r="B210" s="87" t="n">
        <x:f>IF('Datos_fuente'!B210="","",LN('Datos_fuente'!B210))</x:f>
        <x:v>8.47397053532084</x:v>
      </x:c>
      <x:c r="C210" s="87" t="n">
        <x:f>IF(OR(B210="",B209=""),"",B210-B209)</x:f>
        <x:v>-0.028446152718185402</x:v>
      </x:c>
      <x:c r="D210" s="87" t="n">
        <x:f>IF('Datos_fuente'!C210="","",LN('Datos_fuente'!C210))</x:f>
        <x:v>4.393510442615168</x:v>
      </x:c>
      <x:c r="E210" s="87" t="n">
        <x:f>IF(OR(D210="",D209=""),"",D210-D209)</x:f>
        <x:v>-0.12190410853165101</x:v>
      </x:c>
      <x:c r="F210" s="87" t="n">
        <x:f>IF('Datos_fuente'!E210="","",LN('Datos_fuente'!E210))</x:f>
        <x:v>9.151527295819635</x:v>
      </x:c>
      <x:c r="G210" s="87" t="n">
        <x:f>IF(OR(F210="",F209=""),"",F210-F209)</x:f>
        <x:v>0.001918301358074359</x:v>
      </x:c>
      <x:c r="H210" s="55" t="n">
        <x:f>'Datos_fuente'!H210</x:f>
        <x:v>7.319354839</x:v>
      </x:c>
      <x:c r="I210" s="55" t="n">
        <x:f>IF(OR(H210="",H209=""),"",H210-H209)</x:f>
        <x:v>0.09935483900000008</x:v>
      </x:c>
      <x:c r="J210" s="55" t="n">
        <x:f>'Datos_fuente'!J210</x:f>
        <x:v>5.273643973</x:v>
      </x:c>
      <x:c r="K210" s="55" t="n">
        <x:f>IF(OR(J210="",J209=""),"",J210-J209)</x:f>
        <x:v>0.003400219000000426</x:v>
      </x:c>
      <x:c r="L210" s="87" t="n">
        <x:f>IF('Datos_fuente'!K210="","",LN('Datos_fuente'!K210))</x:f>
        <x:v>4.805939928726717</x:v>
      </x:c>
      <x:c r="M210" s="87" t="n">
        <x:f>IF(OR(L210="",L209=""),"",L210-L209)</x:f>
        <x:v>-0.02119487390512287</x:v>
      </x:c>
      <x:c r="N210" s="87" t="n">
        <x:f>IF('Datos_fuente'!L210="","",LN('Datos_fuente'!L210))</x:f>
        <x:v>3.081188870874873</x:v>
      </x:c>
      <x:c r="O210" s="87" t="n">
        <x:f>IF(OR(N210="",N209=""),"",N210-N209)</x:f>
        <x:v>-0.06722547219741148</x:v>
      </x:c>
      <x:c r="P210" s="82" t="n">
        <x:f>'Datos_fuente'!N210</x:f>
        <x:v>0</x:v>
      </x:c>
      <x:c r="Q210" s="1"/>
      <x:c r="R210" s="1"/>
      <x:c r="S210" s="1"/>
      <x:c r="T210" s="1"/>
      <x:c r="U210" s="1"/>
      <x:c r="V210" s="1"/>
      <x:c r="W210" s="1"/>
      <x:c r="X210" s="1"/>
      <x:c r="Y210" s="1"/>
      <x:c r="Z210" s="1"/>
    </x:row>
    <x:row r="211">
      <x:c r="A211" s="1" t="str">
        <x:f>'Datos_fuente'!A211</x:f>
        <x:v>2023-01</x:v>
      </x:c>
      <x:c r="B211" s="87" t="n">
        <x:f>IF('Datos_fuente'!B211="","",LN('Datos_fuente'!B211))</x:f>
        <x:v>8.458547432945089</x:v>
      </x:c>
      <x:c r="C211" s="87" t="n">
        <x:f>IF(OR(B211="",B210=""),"",B211-B210)</x:f>
        <x:v>-0.01542310237575073</x:v>
      </x:c>
      <x:c r="D211" s="87" t="n">
        <x:f>IF('Datos_fuente'!C211="","",LN('Datos_fuente'!C211))</x:f>
        <x:v>4.412815609190715</x:v>
      </x:c>
      <x:c r="E211" s="87" t="n">
        <x:f>IF(OR(D211="",D210=""),"",D211-D210)</x:f>
        <x:v>0.01930516657554726</x:v>
      </x:c>
      <x:c r="F211" s="87" t="n">
        <x:f>IF('Datos_fuente'!E211="","",LN('Datos_fuente'!E211))</x:f>
        <x:v>9.164233604275932</x:v>
      </x:c>
      <x:c r="G211" s="87" t="n">
        <x:f>IF(OR(F211="",F210=""),"",F211-F210)</x:f>
        <x:v>0.012706308456296611</x:v>
      </x:c>
      <x:c r="H211" s="55" t="n">
        <x:f>'Datos_fuente'!H211</x:f>
        <x:v>7.718387097</x:v>
      </x:c>
      <x:c r="I211" s="55" t="n">
        <x:f>IF(OR(H211="",H210=""),"",H211-H210)</x:f>
        <x:v>0.3990322580000001</x:v>
      </x:c>
      <x:c r="J211" s="55" t="n">
        <x:f>'Datos_fuente'!J211</x:f>
        <x:v>4.838201575</x:v>
      </x:c>
      <x:c r="K211" s="55" t="n">
        <x:f>IF(OR(J211="",J210=""),"",J211-J210)</x:f>
        <x:v>-0.4354423980000002</x:v>
      </x:c>
      <x:c r="L211" s="87" t="n">
        <x:f>IF('Datos_fuente'!K211="","",LN('Datos_fuente'!K211))</x:f>
        <x:v>4.7859076971773264</x:v>
      </x:c>
      <x:c r="M211" s="87" t="n">
        <x:f>IF(OR(L211="",L210=""),"",L211-L210)</x:f>
        <x:v>-0.020032231549390822</x:v>
      </x:c>
      <x:c r="N211" s="87" t="n">
        <x:f>IF('Datos_fuente'!L211="","",LN('Datos_fuente'!L211))</x:f>
        <x:v>3.004149133201357</x:v>
      </x:c>
      <x:c r="O211" s="87" t="n">
        <x:f>IF(OR(N211="",N210=""),"",N211-N210)</x:f>
        <x:v>-0.07703973767351613</x:v>
      </x:c>
      <x:c r="P211" s="82" t="n">
        <x:f>'Datos_fuente'!N211</x:f>
        <x:v>0</x:v>
      </x:c>
      <x:c r="Q211" s="1"/>
      <x:c r="R211" s="1"/>
      <x:c r="S211" s="1"/>
      <x:c r="T211" s="1"/>
      <x:c r="U211" s="1"/>
      <x:c r="V211" s="1"/>
      <x:c r="W211" s="1"/>
      <x:c r="X211" s="1"/>
      <x:c r="Y211" s="1"/>
      <x:c r="Z211" s="1"/>
    </x:row>
    <x:row r="212">
      <x:c r="A212" s="1" t="str">
        <x:f>'Datos_fuente'!A212</x:f>
        <x:v>2023-02</x:v>
      </x:c>
      <x:c r="B212" s="87" t="n">
        <x:f>IF('Datos_fuente'!B212="","",LN('Datos_fuente'!B212))</x:f>
        <x:v>8.477019424251225</x:v>
      </x:c>
      <x:c r="C212" s="87" t="n">
        <x:f>IF(OR(B212="",B211=""),"",B212-B211)</x:f>
        <x:v>0.01847199130613575</x:v>
      </x:c>
      <x:c r="D212" s="87" t="n">
        <x:f>IF('Datos_fuente'!C212="","",LN('Datos_fuente'!C212))</x:f>
        <x:v>4.413828065973053</x:v>
      </x:c>
      <x:c r="E212" s="87" t="n">
        <x:f>IF(OR(D212="",D211=""),"",D212-D211)</x:f>
        <x:v>0.0010124567823384112</x:v>
      </x:c>
      <x:c r="F212" s="87" t="n">
        <x:f>IF('Datos_fuente'!E212="","",LN('Datos_fuente'!E212))</x:f>
        <x:v>9.183466482129376</x:v>
      </x:c>
      <x:c r="G212" s="87" t="n">
        <x:f>IF(OR(F212="",F211=""),"",F212-F211)</x:f>
        <x:v>0.019232877853443853</x:v>
      </x:c>
      <x:c r="H212" s="55" t="n">
        <x:f>'Datos_fuente'!H212</x:f>
        <x:v>8.18</x:v>
      </x:c>
      <x:c r="I212" s="55" t="n">
        <x:f>IF(OR(H212="",H211=""),"",H212-H211)</x:f>
        <x:v>0.4616129029999998</x:v>
      </x:c>
      <x:c r="J212" s="55" t="n">
        <x:f>'Datos_fuente'!J212</x:f>
        <x:v>4.866973857</x:v>
      </x:c>
      <x:c r="K212" s="55" t="n">
        <x:f>IF(OR(J212="",J211=""),"",J212-J211)</x:f>
        <x:v>0.028772281999999372</x:v>
      </x:c>
      <x:c r="L212" s="87" t="n">
        <x:f>IF('Datos_fuente'!K212="","",LN('Datos_fuente'!K212))</x:f>
        <x:v>4.790058227374484</x:v>
      </x:c>
      <x:c r="M212" s="87" t="n">
        <x:f>IF(OR(L212="",L211=""),"",L212-L211)</x:f>
        <x:v>0.004150530197157387</x:v>
      </x:c>
      <x:c r="N212" s="87" t="n">
        <x:f>IF('Datos_fuente'!L212="","",LN('Datos_fuente'!L212))</x:f>
        <x:v>3.0017391958173922</x:v>
      </x:c>
      <x:c r="O212" s="87" t="n">
        <x:f>IF(OR(N212="",N211=""),"",N212-N211)</x:f>
        <x:v>-0.0024099373839647775</x:v>
      </x:c>
      <x:c r="P212" s="82" t="n">
        <x:f>'Datos_fuente'!N212</x:f>
        <x:v>0</x:v>
      </x:c>
      <x:c r="Q212" s="1"/>
      <x:c r="R212" s="1"/>
      <x:c r="S212" s="1"/>
      <x:c r="T212" s="1"/>
      <x:c r="U212" s="1"/>
      <x:c r="V212" s="1"/>
      <x:c r="W212" s="1"/>
      <x:c r="X212" s="1"/>
      <x:c r="Y212" s="1"/>
      <x:c r="Z212" s="1"/>
    </x:row>
    <x:row r="213">
      <x:c r="A213" s="1" t="str">
        <x:f>'Datos_fuente'!A213</x:f>
        <x:v>2023-03</x:v>
      </x:c>
      <x:c r="B213" s="87" t="n">
        <x:f>IF('Datos_fuente'!B213="","",LN('Datos_fuente'!B213))</x:f>
        <x:v>8.469326819679154</x:v>
      </x:c>
      <x:c r="C213" s="87" t="n">
        <x:f>IF(OR(B213="",B212=""),"",B213-B212)</x:f>
        <x:v>-0.0076926045720711045</x:v>
      </x:c>
      <x:c r="D213" s="87" t="n">
        <x:f>IF('Datos_fuente'!C213="","",LN('Datos_fuente'!C213))</x:f>
        <x:v>4.3622619414906945</x:v>
      </x:c>
      <x:c r="E213" s="87" t="n">
        <x:f>IF(OR(D213="",D212=""),"",D213-D212)</x:f>
        <x:v>-0.051566124482358866</x:v>
      </x:c>
      <x:c r="F213" s="87" t="n">
        <x:f>IF('Datos_fuente'!E213="","",LN('Datos_fuente'!E213))</x:f>
        <x:v>9.1961552369841</x:v>
      </x:c>
      <x:c r="G213" s="87" t="n">
        <x:f>IF(OR(F213="",F212=""),"",F213-F212)</x:f>
        <x:v>0.012688754854725204</x:v>
      </x:c>
      <x:c r="H213" s="55" t="n">
        <x:f>'Datos_fuente'!H213</x:f>
        <x:v>8.108064516</x:v>
      </x:c>
      <x:c r="I213" s="55" t="n">
        <x:f>IF(OR(H213="",H212=""),"",H213-H212)</x:f>
        <x:v>-0.07193548399999905</x:v>
      </x:c>
      <x:c r="J213" s="55" t="n">
        <x:f>'Datos_fuente'!J213</x:f>
        <x:v>4.69656028</x:v>
      </x:c>
      <x:c r="K213" s="55" t="n">
        <x:f>IF(OR(J213="",J212=""),"",J213-J212)</x:f>
        <x:v>-0.1704135769999997</x:v>
      </x:c>
      <x:c r="L213" s="87" t="n">
        <x:f>IF('Datos_fuente'!K213="","",LN('Datos_fuente'!K213))</x:f>
        <x:v>4.793680991472765</x:v>
      </x:c>
      <x:c r="M213" s="87" t="n">
        <x:f>IF(OR(L213="",L212=""),"",L213-L212)</x:f>
        <x:v>0.00362276409828155</x:v>
      </x:c>
      <x:c r="N213" s="87" t="n">
        <x:f>IF('Datos_fuente'!L213="","",LN('Datos_fuente'!L213))</x:f>
        <x:v>3.0747443501558873</x:v>
      </x:c>
      <x:c r="O213" s="87" t="n">
        <x:f>IF(OR(N213="",N212=""),"",N213-N212)</x:f>
        <x:v>0.07300515433849508</x:v>
      </x:c>
      <x:c r="P213" s="82" t="n">
        <x:f>'Datos_fuente'!N213</x:f>
        <x:v>0</x:v>
      </x:c>
      <x:c r="Q213" s="1"/>
      <x:c r="R213" s="1"/>
      <x:c r="S213" s="1"/>
      <x:c r="T213" s="1"/>
      <x:c r="U213" s="1"/>
      <x:c r="V213" s="1"/>
      <x:c r="W213" s="1"/>
      <x:c r="X213" s="1"/>
      <x:c r="Y213" s="1"/>
      <x:c r="Z213" s="1"/>
    </x:row>
    <x:row r="214">
      <x:c r="A214" s="1" t="str">
        <x:f>'Datos_fuente'!A214</x:f>
        <x:v>2023-04</x:v>
      </x:c>
      <x:c r="B214" s="87" t="n">
        <x:f>IF('Datos_fuente'!B214="","",LN('Datos_fuente'!B214))</x:f>
        <x:v>8.421271177739735</x:v>
      </x:c>
      <x:c r="C214" s="87" t="n">
        <x:f>IF(OR(B214="",B213=""),"",B214-B213)</x:f>
        <x:v>-0.04805564193941869</x:v>
      </x:c>
      <x:c r="D214" s="87" t="n">
        <x:f>IF('Datos_fuente'!C214="","",LN('Datos_fuente'!C214))</x:f>
        <x:v>4.438387276635395</x:v>
      </x:c>
      <x:c r="E214" s="87" t="n">
        <x:f>IF(OR(D214="",D213=""),"",D214-D213)</x:f>
        <x:v>0.07612533514470066</x:v>
      </x:c>
      <x:c r="F214" s="87" t="n">
        <x:f>IF('Datos_fuente'!E214="","",LN('Datos_fuente'!E214))</x:f>
        <x:v>9.194317691670552</x:v>
      </x:c>
      <x:c r="G214" s="87" t="n">
        <x:f>IF(OR(F214="",F213=""),"",F214-F213)</x:f>
        <x:v>-0.0018375453135490716</x:v>
      </x:c>
      <x:c r="H214" s="55" t="n">
        <x:f>'Datos_fuente'!H214</x:f>
        <x:v>8.17</x:v>
      </x:c>
      <x:c r="I214" s="55" t="n">
        <x:f>IF(OR(H214="",H213=""),"",H214-H213)</x:f>
        <x:v>0.06193548399999926</x:v>
      </x:c>
      <x:c r="J214" s="55" t="n">
        <x:f>'Datos_fuente'!J214</x:f>
        <x:v>4.316572151</x:v>
      </x:c>
      <x:c r="K214" s="55" t="n">
        <x:f>IF(OR(J214="",J213=""),"",J214-J213)</x:f>
        <x:v>-0.379988129</x:v>
      </x:c>
      <x:c r="L214" s="87" t="n">
        <x:f>IF('Datos_fuente'!K214="","",LN('Datos_fuente'!K214))</x:f>
        <x:v>4.781181416151402</x:v>
      </x:c>
      <x:c r="M214" s="87" t="n">
        <x:f>IF(OR(L214="",L213=""),"",L214-L213)</x:f>
        <x:v>-0.012499575321363032</x:v>
      </x:c>
      <x:c r="N214" s="87" t="n">
        <x:f>IF('Datos_fuente'!L214="","",LN('Datos_fuente'!L214))</x:f>
        <x:v>2.8802032747717425</x:v>
      </x:c>
      <x:c r="O214" s="87" t="n">
        <x:f>IF(OR(N214="",N213=""),"",N214-N213)</x:f>
        <x:v>-0.19454107538414478</x:v>
      </x:c>
      <x:c r="P214" s="82" t="n">
        <x:f>'Datos_fuente'!N214</x:f>
        <x:v>0</x:v>
      </x:c>
      <x:c r="Q214" s="1"/>
      <x:c r="R214" s="1"/>
      <x:c r="S214" s="1"/>
      <x:c r="T214" s="1"/>
      <x:c r="U214" s="1"/>
      <x:c r="V214" s="1"/>
      <x:c r="W214" s="1"/>
      <x:c r="X214" s="1"/>
      <x:c r="Y214" s="1"/>
      <x:c r="Z214" s="1"/>
    </x:row>
    <x:row r="215">
      <x:c r="A215" s="1" t="str">
        <x:f>'Datos_fuente'!A215</x:f>
        <x:v>2023-05</x:v>
      </x:c>
      <x:c r="B215" s="87" t="n">
        <x:f>IF('Datos_fuente'!B215="","",LN('Datos_fuente'!B215))</x:f>
        <x:v>8.420701901415796</x:v>
      </x:c>
      <x:c r="C215" s="87" t="n">
        <x:f>IF(OR(B215="",B214=""),"",B215-B214)</x:f>
        <x:v>-0.0005692763239384391</x:v>
      </x:c>
      <x:c r="D215" s="87" t="n">
        <x:f>IF('Datos_fuente'!C215="","",LN('Datos_fuente'!C215))</x:f>
        <x:v>4.323682223699637</x:v>
      </x:c>
      <x:c r="E215" s="87" t="n">
        <x:f>IF(OR(D215="",D214=""),"",D215-D214)</x:f>
        <x:v>-0.11470505293575783</x:v>
      </x:c>
      <x:c r="F215" s="87" t="n">
        <x:f>IF('Datos_fuente'!E215="","",LN('Datos_fuente'!E215))</x:f>
        <x:v>9.197978275152108</x:v>
      </x:c>
      <x:c r="G215" s="87" t="n">
        <x:f>IF(OR(F215="",F214=""),"",F215-F214)</x:f>
        <x:v>0.003660583481556401</x:v>
      </x:c>
      <x:c r="H215" s="55" t="n">
        <x:f>'Datos_fuente'!H215</x:f>
        <x:v>8.181935484</x:v>
      </x:c>
      <x:c r="I215" s="55" t="n">
        <x:f>IF(OR(H215="",H214=""),"",H215-H214)</x:f>
        <x:v>0.01193548400000033</x:v>
      </x:c>
      <x:c r="J215" s="55" t="n">
        <x:f>'Datos_fuente'!J215</x:f>
        <x:v>4.115965629</x:v>
      </x:c>
      <x:c r="K215" s="55" t="n">
        <x:f>IF(OR(J215="",J214=""),"",J215-J214)</x:f>
        <x:v>-0.20060652200000018</x:v>
      </x:c>
      <x:c r="L215" s="87" t="n">
        <x:f>IF('Datos_fuente'!K215="","",LN('Datos_fuente'!K215))</x:f>
        <x:v>4.784397414448943</x:v>
      </x:c>
      <x:c r="M215" s="87" t="n">
        <x:f>IF(OR(L215="",L214=""),"",L215-L214)</x:f>
        <x:v>0.003215998297540601</x:v>
      </x:c>
      <x:c r="N215" s="87" t="n">
        <x:f>IF('Datos_fuente'!L215="","",LN('Datos_fuente'!L215))</x:f>
        <x:v>2.8699471983068507</x:v>
      </x:c>
      <x:c r="O215" s="87" t="n">
        <x:f>IF(OR(N215="",N214=""),"",N215-N214)</x:f>
        <x:v>-0.010256076464891795</x:v>
      </x:c>
      <x:c r="P215" s="82" t="n">
        <x:f>'Datos_fuente'!N215</x:f>
        <x:v>0</x:v>
      </x:c>
      <x:c r="Q215" s="1"/>
      <x:c r="R215" s="1"/>
      <x:c r="S215" s="1"/>
      <x:c r="T215" s="1"/>
      <x:c r="U215" s="1"/>
      <x:c r="V215" s="1"/>
      <x:c r="W215" s="1"/>
      <x:c r="X215" s="1"/>
      <x:c r="Y215" s="1"/>
      <x:c r="Z215" s="1"/>
    </x:row>
    <x:row r="216">
      <x:c r="A216" s="1" t="str">
        <x:f>'Datos_fuente'!A216</x:f>
        <x:v>2023-06</x:v>
      </x:c>
      <x:c r="B216" s="87" t="n">
        <x:f>IF('Datos_fuente'!B216="","",LN('Datos_fuente'!B216))</x:f>
        <x:v>8.345044039825018</x:v>
      </x:c>
      <x:c r="C216" s="87" t="n">
        <x:f>IF(OR(B216="",B215=""),"",B216-B215)</x:f>
        <x:v>-0.07565786159077881</x:v>
      </x:c>
      <x:c r="D216" s="87" t="n">
        <x:f>IF('Datos_fuente'!C216="","",LN('Datos_fuente'!C216))</x:f>
        <x:v>4.315340354218269</x:v>
      </x:c>
      <x:c r="E216" s="87" t="n">
        <x:f>IF(OR(D216="",D215=""),"",D216-D215)</x:f>
        <x:v>-0.008341869481368391</x:v>
      </x:c>
      <x:c r="F216" s="87" t="n">
        <x:f>IF('Datos_fuente'!E216="","",LN('Datos_fuente'!E216))</x:f>
        <x:v>9.194112407951472</x:v>
      </x:c>
      <x:c r="G216" s="87" t="n">
        <x:f>IF(OR(F216="",F215=""),"",F216-F215)</x:f>
        <x:v>-0.003865867200635975</x:v>
      </x:c>
      <x:c r="H216" s="55" t="n">
        <x:f>'Datos_fuente'!H216</x:f>
        <x:v>8.17</x:v>
      </x:c>
      <x:c r="I216" s="55" t="n">
        <x:f>IF(OR(H216="",H215=""),"",H216-H215)</x:f>
        <x:v>-0.01193548400000033</x:v>
      </x:c>
      <x:c r="J216" s="55" t="n">
        <x:f>'Datos_fuente'!J216</x:f>
        <x:v>3.64486113</x:v>
      </x:c>
      <x:c r="K216" s="55" t="n">
        <x:f>IF(OR(J216="",J215=""),"",J216-J215)</x:f>
        <x:v>-0.47110449899999995</x:v>
      </x:c>
      <x:c r="L216" s="87" t="n">
        <x:f>IF('Datos_fuente'!K216="","",LN('Datos_fuente'!K216))</x:f>
        <x:v>4.781615783094422</x:v>
      </x:c>
      <x:c r="M216" s="87" t="n">
        <x:f>IF(OR(L216="",L215=""),"",L216-L215)</x:f>
        <x:v>-0.0027816313545212523</x:v>
      </x:c>
      <x:c r="N216" s="87" t="n">
        <x:f>IF('Datos_fuente'!L216="","",LN('Datos_fuente'!L216))</x:f>
        <x:v>2.639284576649838</x:v>
      </x:c>
      <x:c r="O216" s="87" t="n">
        <x:f>IF(OR(N216="",N215=""),"",N216-N215)</x:f>
        <x:v>-0.23066262165701268</x:v>
      </x:c>
      <x:c r="P216" s="82" t="n">
        <x:f>'Datos_fuente'!N216</x:f>
        <x:v>0</x:v>
      </x:c>
      <x:c r="Q216" s="1"/>
      <x:c r="R216" s="1"/>
      <x:c r="S216" s="1"/>
      <x:c r="T216" s="1"/>
      <x:c r="U216" s="1"/>
      <x:c r="V216" s="1"/>
      <x:c r="W216" s="1"/>
      <x:c r="X216" s="1"/>
      <x:c r="Y216" s="1"/>
      <x:c r="Z216" s="1"/>
    </x:row>
    <x:row r="217">
      <x:c r="A217" s="1" t="str">
        <x:f>'Datos_fuente'!A217</x:f>
        <x:v>2023-07</x:v>
      </x:c>
      <x:c r="B217" s="87" t="n">
        <x:f>IF('Datos_fuente'!B217="","",LN('Datos_fuente'!B217))</x:f>
        <x:v>8.311209943257968</x:v>
      </x:c>
      <x:c r="C217" s="87" t="n">
        <x:f>IF(OR(B217="",B216=""),"",B217-B216)</x:f>
        <x:v>-0.033834096567050054</x:v>
      </x:c>
      <x:c r="D217" s="87" t="n">
        <x:f>IF('Datos_fuente'!C217="","",LN('Datos_fuente'!C217))</x:f>
        <x:v>4.383376913137462</x:v>
      </x:c>
      <x:c r="E217" s="87" t="n">
        <x:f>IF(OR(D217="",D216=""),"",D217-D216)</x:f>
        <x:v>0.06803655891919291</x:v>
      </x:c>
      <x:c r="F217" s="87" t="n">
        <x:f>IF('Datos_fuente'!E217="","",LN('Datos_fuente'!E217))</x:f>
        <x:v>9.181034107844205</x:v>
      </x:c>
      <x:c r="G217" s="87" t="n">
        <x:f>IF(OR(F217="",F216=""),"",F217-F216)</x:f>
        <x:v>-0.013078300107267182</x:v>
      </x:c>
      <x:c r="H217" s="55" t="n">
        <x:f>'Datos_fuente'!H217</x:f>
        <x:v>8.13</x:v>
      </x:c>
      <x:c r="I217" s="55" t="n">
        <x:f>IF(OR(H217="",H216=""),"",H217-H216)</x:f>
        <x:v>-0.03999999999999915</x:v>
      </x:c>
      <x:c r="J217" s="55" t="n">
        <x:f>'Datos_fuente'!J217</x:f>
        <x:v>3.279629586</x:v>
      </x:c>
      <x:c r="K217" s="55" t="n">
        <x:f>IF(OR(J217="",J216=""),"",J217-J216)</x:f>
        <x:v>-0.3652315439999998</x:v>
      </x:c>
      <x:c r="L217" s="87" t="n">
        <x:f>IF('Datos_fuente'!K217="","",LN('Datos_fuente'!K217))</x:f>
        <x:v>4.77110119023247</x:v>
      </x:c>
      <x:c r="M217" s="87" t="n">
        <x:f>IF(OR(L217="",L216=""),"",L217-L216)</x:f>
        <x:v>-0.01051459286195211</x:v>
      </x:c>
      <x:c r="N217" s="87" t="n">
        <x:f>IF('Datos_fuente'!L217="","",LN('Datos_fuente'!L217))</x:f>
        <x:v>2.6342156956556235</x:v>
      </x:c>
      <x:c r="O217" s="87" t="n">
        <x:f>IF(OR(N217="",N216=""),"",N217-N216)</x:f>
        <x:v>-0.005068880994214542</x:v>
      </x:c>
      <x:c r="P217" s="82" t="n">
        <x:f>'Datos_fuente'!N217</x:f>
        <x:v>0</x:v>
      </x:c>
      <x:c r="Q217" s="1"/>
      <x:c r="R217" s="1"/>
      <x:c r="S217" s="1"/>
      <x:c r="T217" s="1"/>
      <x:c r="U217" s="1"/>
      <x:c r="V217" s="1"/>
      <x:c r="W217" s="1"/>
      <x:c r="X217" s="1"/>
      <x:c r="Y217" s="1"/>
      <x:c r="Z217" s="1"/>
    </x:row>
    <x:row r="218">
      <x:c r="A218" s="1" t="str">
        <x:f>'Datos_fuente'!A218</x:f>
        <x:v>2023-08</x:v>
      </x:c>
      <x:c r="B218" s="87" t="n">
        <x:f>IF('Datos_fuente'!B218="","",LN('Datos_fuente'!B218))</x:f>
        <x:v>8.311576434801726</x:v>
      </x:c>
      <x:c r="C218" s="87" t="n">
        <x:f>IF(OR(B218="",B217=""),"",B218-B217)</x:f>
        <x:v>0.00036649154375822945</x:v>
      </x:c>
      <x:c r="D218" s="87" t="n">
        <x:f>IF('Datos_fuente'!C218="","",LN('Datos_fuente'!C218))</x:f>
        <x:v>4.45606358154644</x:v>
      </x:c>
      <x:c r="E218" s="87" t="n">
        <x:f>IF(OR(D218="",D217=""),"",D218-D217)</x:f>
        <x:v>0.07268666840897797</x:v>
      </x:c>
      <x:c r="F218" s="87" t="n">
        <x:f>IF('Datos_fuente'!E218="","",LN('Datos_fuente'!E218))</x:f>
        <x:v>9.19314436449289</x:v>
      </x:c>
      <x:c r="G218" s="87" t="n">
        <x:f>IF(OR(F218="",F217=""),"",F218-F217)</x:f>
        <x:v>0.01211025664868437</x:v>
      </x:c>
      <x:c r="H218" s="55" t="n">
        <x:f>'Datos_fuente'!H218</x:f>
        <x:v>7.92</x:v>
      </x:c>
      <x:c r="I218" s="55" t="n">
        <x:f>IF(OR(H218="",H217=""),"",H218-H217)</x:f>
        <x:v>-0.21000000000000085</x:v>
      </x:c>
      <x:c r="J218" s="55" t="n">
        <x:f>'Datos_fuente'!J218</x:f>
        <x:v>2.984836461</x:v>
      </x:c>
      <x:c r="K218" s="55" t="n">
        <x:f>IF(OR(J218="",J217=""),"",J218-J217)</x:f>
        <x:v>-0.294793125</x:v>
      </x:c>
      <x:c r="L218" s="87" t="n">
        <x:f>IF('Datos_fuente'!K218="","",LN('Datos_fuente'!K218))</x:f>
        <x:v>4.786293924016829</x:v>
      </x:c>
      <x:c r="M218" s="87" t="n">
        <x:f>IF(OR(L218="",L217=""),"",L218-L217)</x:f>
        <x:v>0.015192733784359369</x:v>
      </x:c>
      <x:c r="N218" s="87" t="n">
        <x:f>IF('Datos_fuente'!L218="","",LN('Datos_fuente'!L218))</x:f>
        <x:v>2.76341634934883</x:v>
      </x:c>
      <x:c r="O218" s="87" t="n">
        <x:f>IF(OR(N218="",N217=""),"",N218-N217)</x:f>
        <x:v>0.12920065369320666</x:v>
      </x:c>
      <x:c r="P218" s="82" t="n">
        <x:f>'Datos_fuente'!N218</x:f>
        <x:v>0</x:v>
      </x:c>
      <x:c r="Q218" s="1"/>
      <x:c r="R218" s="1"/>
      <x:c r="S218" s="1"/>
      <x:c r="T218" s="1"/>
      <x:c r="U218" s="1"/>
      <x:c r="V218" s="1"/>
      <x:c r="W218" s="1"/>
      <x:c r="X218" s="1"/>
      <x:c r="Y218" s="1"/>
      <x:c r="Z218" s="1"/>
    </x:row>
    <x:row r="219">
      <x:c r="A219" s="1" t="str">
        <x:f>'Datos_fuente'!A219</x:f>
        <x:v>2023-09</x:v>
      </x:c>
      <x:c r="B219" s="87" t="n">
        <x:f>IF('Datos_fuente'!B219="","",LN('Datos_fuente'!B219))</x:f>
        <x:v>8.295179168694357</x:v>
      </x:c>
      <x:c r="C219" s="87" t="n">
        <x:f>IF(OR(B219="",B218=""),"",B219-B218)</x:f>
        <x:v>-0.01639726610736858</x:v>
      </x:c>
      <x:c r="D219" s="87" t="n">
        <x:f>IF('Datos_fuente'!C219="","",LN('Datos_fuente'!C219))</x:f>
        <x:v>4.540337018246473</x:v>
      </x:c>
      <x:c r="E219" s="87" t="n">
        <x:f>IF(OR(D219="",D218=""),"",D219-D218)</x:f>
        <x:v>0.08427343670003307</x:v>
      </x:c>
      <x:c r="F219" s="87" t="n">
        <x:f>IF('Datos_fuente'!E219="","",LN('Datos_fuente'!E219))</x:f>
        <x:v>9.206335362622301</x:v>
      </x:c>
      <x:c r="G219" s="87" t="n">
        <x:f>IF(OR(F219="",F218=""),"",F219-F218)</x:f>
        <x:v>0.013190998129411824</x:v>
      </x:c>
      <x:c r="H219" s="55" t="n">
        <x:f>'Datos_fuente'!H219</x:f>
        <x:v>7.92</x:v>
      </x:c>
      <x:c r="I219" s="55" t="n">
        <x:f>IF(OR(H219="",H218=""),"",H219-H218)</x:f>
        <x:v>0</x:v>
      </x:c>
      <x:c r="J219" s="55" t="n">
        <x:f>'Datos_fuente'!J219</x:f>
        <x:v>3.31314259</x:v>
      </x:c>
      <x:c r="K219" s="55" t="n">
        <x:f>IF(OR(J219="",J218=""),"",J219-J218)</x:f>
        <x:v>0.328306129</x:v>
      </x:c>
      <x:c r="L219" s="87" t="n">
        <x:f>IF('Datos_fuente'!K219="","",LN('Datos_fuente'!K219))</x:f>
        <x:v>4.801111323794871</x:v>
      </x:c>
      <x:c r="M219" s="87" t="n">
        <x:f>IF(OR(L219="",L218=""),"",L219-L218)</x:f>
        <x:v>0.01481739977804164</x:v>
      </x:c>
      <x:c r="N219" s="87" t="n">
        <x:f>IF('Datos_fuente'!L219="","",LN('Datos_fuente'!L219))</x:f>
        <x:v>2.7195395009302823</x:v>
      </x:c>
      <x:c r="O219" s="87" t="n">
        <x:f>IF(OR(N219="",N218=""),"",N219-N218)</x:f>
        <x:v>-0.04387684841854789</x:v>
      </x:c>
      <x:c r="P219" s="82" t="n">
        <x:f>'Datos_fuente'!N219</x:f>
        <x:v>0</x:v>
      </x:c>
      <x:c r="Q219" s="1"/>
      <x:c r="R219" s="1"/>
      <x:c r="S219" s="1"/>
      <x:c r="T219" s="1"/>
      <x:c r="U219" s="1"/>
      <x:c r="V219" s="1"/>
      <x:c r="W219" s="1"/>
      <x:c r="X219" s="1"/>
      <x:c r="Y219" s="1"/>
      <x:c r="Z219" s="1"/>
    </x:row>
    <x:row r="220">
      <x:c r="A220" s="1" t="str">
        <x:f>'Datos_fuente'!A220</x:f>
        <x:v>2023-10</x:v>
      </x:c>
      <x:c r="B220" s="87" t="n">
        <x:f>IF('Datos_fuente'!B220="","",LN('Datos_fuente'!B220))</x:f>
        <x:v>8.348166834702564</x:v>
      </x:c>
      <x:c r="C220" s="87" t="n">
        <x:f>IF(OR(B220="",B219=""),"",B220-B219)</x:f>
        <x:v>0.0529876660082067</x:v>
      </x:c>
      <x:c r="D220" s="87" t="n">
        <x:f>IF('Datos_fuente'!C220="","",LN('Datos_fuente'!C220))</x:f>
        <x:v>4.506409058497473</x:v>
      </x:c>
      <x:c r="E220" s="87" t="n">
        <x:f>IF(OR(D220="",D219=""),"",D220-D219)</x:f>
        <x:v>-0.03392795974899965</x:v>
      </x:c>
      <x:c r="F220" s="87" t="n">
        <x:f>IF('Datos_fuente'!E220="","",LN('Datos_fuente'!E220))</x:f>
        <x:v>9.205472543299276</x:v>
      </x:c>
      <x:c r="G220" s="87" t="n">
        <x:f>IF(OR(F220="",F219=""),"",F220-F219)</x:f>
        <x:v>-0.0008628193230251213</x:v>
      </x:c>
      <x:c r="H220" s="55" t="n">
        <x:f>'Datos_fuente'!H220</x:f>
        <x:v>7.92</x:v>
      </x:c>
      <x:c r="I220" s="55" t="n">
        <x:f>IF(OR(H220="",H219=""),"",H220-H219)</x:f>
        <x:v>0</x:v>
      </x:c>
      <x:c r="J220" s="55" t="n">
        <x:f>'Datos_fuente'!J220</x:f>
        <x:v>3.673593161</x:v>
      </x:c>
      <x:c r="K220" s="55" t="n">
        <x:f>IF(OR(J220="",J219=""),"",J220-J219)</x:f>
        <x:v>0.3604505709999999</x:v>
      </x:c>
      <x:c r="L220" s="87" t="n">
        <x:f>IF('Datos_fuente'!K220="","",LN('Datos_fuente'!K220))</x:f>
        <x:v>4.816218059445032</x:v>
      </x:c>
      <x:c r="M220" s="87" t="n">
        <x:f>IF(OR(L220="",L219=""),"",L220-L219)</x:f>
        <x:v>0.015106735650161518</x:v>
      </x:c>
      <x:c r="N220" s="87" t="n">
        <x:f>IF('Datos_fuente'!L220="","",LN('Datos_fuente'!L220))</x:f>
        <x:v>2.9385123603524073</x:v>
      </x:c>
      <x:c r="O220" s="87" t="n">
        <x:f>IF(OR(N220="",N219=""),"",N220-N219)</x:f>
        <x:v>0.21897285942212497</x:v>
      </x:c>
      <x:c r="P220" s="82" t="n">
        <x:f>'Datos_fuente'!N220</x:f>
        <x:v>0</x:v>
      </x:c>
      <x:c r="Q220" s="1"/>
      <x:c r="R220" s="1"/>
      <x:c r="S220" s="1"/>
      <x:c r="T220" s="1"/>
      <x:c r="U220" s="1"/>
      <x:c r="V220" s="1"/>
      <x:c r="W220" s="1"/>
      <x:c r="X220" s="1"/>
      <x:c r="Y220" s="1"/>
      <x:c r="Z220" s="1"/>
    </x:row>
    <x:row r="221">
      <x:c r="A221" s="1" t="str">
        <x:f>'Datos_fuente'!A221</x:f>
        <x:v>2023-11</x:v>
      </x:c>
      <x:c r="B221" s="87" t="n">
        <x:f>IF('Datos_fuente'!B221="","",LN('Datos_fuente'!B221))</x:f>
        <x:v>8.303704052670748</x:v>
      </x:c>
      <x:c r="C221" s="87" t="n">
        <x:f>IF(OR(B221="",B220=""),"",B221-B220)</x:f>
        <x:v>-0.04446278203181642</x:v>
      </x:c>
      <x:c r="D221" s="87" t="n">
        <x:f>IF('Datos_fuente'!C221="","",LN('Datos_fuente'!C221))</x:f>
        <x:v>4.418117454818235</x:v>
      </x:c>
      <x:c r="E221" s="87" t="n">
        <x:f>IF(OR(D221="",D220=""),"",D221-D220)</x:f>
        <x:v>-0.08829160367923805</x:v>
      </x:c>
      <x:c r="F221" s="87" t="n">
        <x:f>IF('Datos_fuente'!E221="","",LN('Datos_fuente'!E221))</x:f>
        <x:v>9.212912062344001</x:v>
      </x:c>
      <x:c r="G221" s="87" t="n">
        <x:f>IF(OR(F221="",F220=""),"",F221-F220)</x:f>
        <x:v>0.0074395190447251736</x:v>
      </x:c>
      <x:c r="H221" s="55" t="n">
        <x:f>'Datos_fuente'!H221</x:f>
        <x:v>7.92</x:v>
      </x:c>
      <x:c r="I221" s="55" t="n">
        <x:f>IF(OR(H221="",H220=""),"",H221-H220)</x:f>
        <x:v>0</x:v>
      </x:c>
      <x:c r="J221" s="55" t="n">
        <x:f>'Datos_fuente'!J221</x:f>
        <x:v>4.149544635</x:v>
      </x:c>
      <x:c r="K221" s="55" t="n">
        <x:f>IF(OR(J221="",J220=""),"",J221-J220)</x:f>
        <x:v>0.47595147399999993</x:v>
      </x:c>
      <x:c r="L221" s="87" t="n">
        <x:f>IF('Datos_fuente'!K221="","",LN('Datos_fuente'!K221))</x:f>
        <x:v>4.797624565233434</x:v>
      </x:c>
      <x:c r="M221" s="87" t="n">
        <x:f>IF(OR(L221="",L220=""),"",L221-L220)</x:f>
        <x:v>-0.01859349421159795</x:v>
      </x:c>
      <x:c r="N221" s="87" t="n">
        <x:f>IF('Datos_fuente'!L221="","",LN('Datos_fuente'!L221))</x:f>
        <x:v>2.640420037136041</x:v>
      </x:c>
      <x:c r="O221" s="87" t="n">
        <x:f>IF(OR(N221="",N220=""),"",N221-N220)</x:f>
        <x:v>-0.29809232321636614</x:v>
      </x:c>
      <x:c r="P221" s="82" t="n">
        <x:f>'Datos_fuente'!N221</x:f>
        <x:v>0</x:v>
      </x:c>
      <x:c r="Q221" s="1"/>
      <x:c r="R221" s="1"/>
      <x:c r="S221" s="1"/>
      <x:c r="T221" s="1"/>
      <x:c r="U221" s="1"/>
      <x:c r="V221" s="1"/>
      <x:c r="W221" s="1"/>
      <x:c r="X221" s="1"/>
      <x:c r="Y221" s="1"/>
      <x:c r="Z221" s="1"/>
    </x:row>
    <x:row r="222">
      <x:c r="A222" s="1" t="str">
        <x:f>'Datos_fuente'!A222</x:f>
        <x:v>2023-12</x:v>
      </x:c>
      <x:c r="B222" s="87" t="n">
        <x:f>IF('Datos_fuente'!B222="","",LN('Datos_fuente'!B222))</x:f>
        <x:v>8.28101677354865</x:v>
      </x:c>
      <x:c r="C222" s="87" t="n">
        <x:f>IF(OR(B222="",B221=""),"",B222-B221)</x:f>
        <x:v>-0.022687279122097337</x:v>
      </x:c>
      <x:c r="D222" s="87" t="n">
        <x:f>IF('Datos_fuente'!C222="","",LN('Datos_fuente'!C222))</x:f>
        <x:v>4.351967509903142</x:v>
      </x:c>
      <x:c r="E222" s="87" t="n">
        <x:f>IF(OR(D222="",D221=""),"",D222-D221)</x:f>
        <x:v>-0.06614994491509307</x:v>
      </x:c>
      <x:c r="F222" s="87" t="n">
        <x:f>IF('Datos_fuente'!E222="","",LN('Datos_fuente'!E222))</x:f>
        <x:v>9.21940714428961</x:v>
      </x:c>
      <x:c r="G222" s="87" t="n">
        <x:f>IF(OR(F222="",F221=""),"",F222-F221)</x:f>
        <x:v>0.006495081945608661</x:v>
      </x:c>
      <x:c r="H222" s="55" t="n">
        <x:f>'Datos_fuente'!H222</x:f>
        <x:v>7.823225806</x:v>
      </x:c>
      <x:c r="I222" s="55" t="n">
        <x:f>IF(OR(H222="",H221=""),"",H222-H221)</x:f>
        <x:v>-0.09677419399999998</x:v>
      </x:c>
      <x:c r="J222" s="55" t="n">
        <x:f>'Datos_fuente'!J222</x:f>
        <x:v>4.216018904</x:v>
      </x:c>
      <x:c r="K222" s="55" t="n">
        <x:f>IF(OR(J222="",J221=""),"",J222-J221)</x:f>
        <x:v>0.06647426900000042</x:v>
      </x:c>
      <x:c r="L222" s="87" t="n">
        <x:f>IF('Datos_fuente'!K222="","",LN('Datos_fuente'!K222))</x:f>
        <x:v>4.7861002751398125</x:v>
      </x:c>
      <x:c r="M222" s="87" t="n">
        <x:f>IF(OR(L222="",L221=""),"",L222-L221)</x:f>
        <x:v>-0.011524290093621659</x:v>
      </x:c>
      <x:c r="N222" s="87" t="n">
        <x:f>IF('Datos_fuente'!L222="","",LN('Datos_fuente'!L222))</x:f>
        <x:v>2.54305762643003</x:v>
      </x:c>
      <x:c r="O222" s="87" t="n">
        <x:f>IF(OR(N222="",N221=""),"",N222-N221)</x:f>
        <x:v>-0.09736241070601093</x:v>
      </x:c>
      <x:c r="P222" s="82" t="n">
        <x:f>'Datos_fuente'!N222</x:f>
        <x:v>0</x:v>
      </x:c>
      <x:c r="Q222" s="1"/>
      <x:c r="R222" s="1"/>
      <x:c r="S222" s="1"/>
      <x:c r="T222" s="1"/>
      <x:c r="U222" s="1"/>
      <x:c r="V222" s="1"/>
      <x:c r="W222" s="1"/>
      <x:c r="X222" s="1"/>
      <x:c r="Y222" s="1"/>
      <x:c r="Z222" s="1"/>
    </x:row>
    <x:row r="223">
      <x:c r="A223" s="1" t="str">
        <x:f>'Datos_fuente'!A223</x:f>
        <x:v>2024-01</x:v>
      </x:c>
      <x:c r="B223" s="87" t="n">
        <x:f>IF('Datos_fuente'!B223="","",LN('Datos_fuente'!B223))</x:f>
        <x:v>8.27262136320327</x:v>
      </x:c>
      <x:c r="C223" s="87" t="n">
        <x:f>IF(OR(B223="",B222=""),"",B223-B222)</x:f>
        <x:v>-0.008395410345380938</x:v>
      </x:c>
      <x:c r="D223" s="87" t="n">
        <x:f>IF('Datos_fuente'!C223="","",LN('Datos_fuente'!C223))</x:f>
        <x:v>4.383576569279433</x:v>
      </x:c>
      <x:c r="E223" s="87" t="n">
        <x:f>IF(OR(D223="",D222=""),"",D223-D222)</x:f>
        <x:v>0.03160905937629099</x:v>
      </x:c>
      <x:c r="F223" s="87" t="n">
        <x:f>IF('Datos_fuente'!E223="","",LN('Datos_fuente'!E223))</x:f>
        <x:v>9.231989332964504</x:v>
      </x:c>
      <x:c r="G223" s="87" t="n">
        <x:f>IF(OR(F223="",F222=""),"",F223-F222)</x:f>
        <x:v>0.012582188674894468</x:v>
      </x:c>
      <x:c r="H223" s="55" t="n">
        <x:f>'Datos_fuente'!H223</x:f>
        <x:v>7.67</x:v>
      </x:c>
      <x:c r="I223" s="55" t="n">
        <x:f>IF(OR(H223="",H222=""),"",H223-H222)</x:f>
        <x:v>-0.15322580600000002</x:v>
      </x:c>
      <x:c r="J223" s="55" t="n">
        <x:f>'Datos_fuente'!J223</x:f>
        <x:v>4.175494571</x:v>
      </x:c>
      <x:c r="K223" s="55" t="n">
        <x:f>IF(OR(J223="",J222=""),"",J223-J222)</x:f>
        <x:v>-0.04052433300000047</x:v>
      </x:c>
      <x:c r="L223" s="87" t="n">
        <x:f>IF('Datos_fuente'!K223="","",LN('Datos_fuente'!K223))</x:f>
        <x:v>4.789384592710776</x:v>
      </x:c>
      <x:c r="M223" s="87" t="n">
        <x:f>IF(OR(L223="",L222=""),"",L223-L222)</x:f>
        <x:v>0.0032843175709631467</x:v>
      </x:c>
      <x:c r="N223" s="87" t="n">
        <x:f>IF('Datos_fuente'!L223="","",LN('Datos_fuente'!L223))</x:f>
        <x:v>2.5944063143377796</x:v>
      </x:c>
      <x:c r="O223" s="87" t="n">
        <x:f>IF(OR(N223="",N222=""),"",N223-N222)</x:f>
        <x:v>0.05134868790774938</x:v>
      </x:c>
      <x:c r="P223" s="82" t="n">
        <x:f>'Datos_fuente'!N223</x:f>
        <x:v>0</x:v>
      </x:c>
      <x:c r="Q223" s="1"/>
      <x:c r="R223" s="1"/>
      <x:c r="S223" s="1"/>
      <x:c r="T223" s="1"/>
      <x:c r="U223" s="1"/>
      <x:c r="V223" s="1"/>
      <x:c r="W223" s="1"/>
      <x:c r="X223" s="1"/>
      <x:c r="Y223" s="1"/>
      <x:c r="Z223" s="1"/>
    </x:row>
    <x:row r="224">
      <x:c r="A224" s="1" t="str">
        <x:f>'Datos_fuente'!A224</x:f>
        <x:v>2024-02</x:v>
      </x:c>
      <x:c r="B224" s="87" t="n">
        <x:f>IF('Datos_fuente'!B224="","",LN('Datos_fuente'!B224))</x:f>
        <x:v>8.276760699202363</x:v>
      </x:c>
      <x:c r="C224" s="87" t="n">
        <x:f>IF(OR(B224="",B223=""),"",B224-B223)</x:f>
        <x:v>0.004139335999093774</x:v>
      </x:c>
      <x:c r="D224" s="87" t="n">
        <x:f>IF('Datos_fuente'!C224="","",LN('Datos_fuente'!C224))</x:f>
        <x:v>4.424584264986542</x:v>
      </x:c>
      <x:c r="E224" s="87" t="n">
        <x:f>IF(OR(D224="",D223=""),"",D224-D223)</x:f>
        <x:v>0.04100769570710927</x:v>
      </x:c>
      <x:c r="F224" s="87" t="n">
        <x:f>IF('Datos_fuente'!E224="","",LN('Datos_fuente'!E224))</x:f>
        <x:v>9.239906941177855</x:v>
      </x:c>
      <x:c r="G224" s="87" t="n">
        <x:f>IF(OR(F224="",F223=""),"",F224-F223)</x:f>
        <x:v>0.007917608213350746</x:v>
      </x:c>
      <x:c r="H224" s="55" t="n">
        <x:f>'Datos_fuente'!H224</x:f>
        <x:v>7.42</x:v>
      </x:c>
      <x:c r="I224" s="55" t="n">
        <x:f>IF(OR(H224="",H223=""),"",H224-H223)</x:f>
        <x:v>-0.25</x:v>
      </x:c>
      <x:c r="J224" s="55" t="n">
        <x:f>'Datos_fuente'!J224</x:f>
        <x:v>4.330062739</x:v>
      </x:c>
      <x:c r="K224" s="55" t="n">
        <x:f>IF(OR(J224="",J223=""),"",J224-J223)</x:f>
        <x:v>0.15456816799999995</x:v>
      </x:c>
      <x:c r="L224" s="87" t="n">
        <x:f>IF('Datos_fuente'!K224="","",LN('Datos_fuente'!K224))</x:f>
        <x:v>4.796335355838372</x:v>
      </x:c>
      <x:c r="M224" s="87" t="n">
        <x:f>IF(OR(L224="",L223=""),"",L224-L223)</x:f>
        <x:v>0.00695076312759646</x:v>
      </x:c>
      <x:c r="N224" s="87" t="n">
        <x:f>IF('Datos_fuente'!L224="","",LN('Datos_fuente'!L224))</x:f>
        <x:v>2.637661798457319</x:v>
      </x:c>
      <x:c r="O224" s="87" t="n">
        <x:f>IF(OR(N224="",N223=""),"",N224-N223)</x:f>
        <x:v>0.04325548411953939</x:v>
      </x:c>
      <x:c r="P224" s="82" t="n">
        <x:f>'Datos_fuente'!N224</x:f>
        <x:v>0</x:v>
      </x:c>
      <x:c r="Q224" s="1"/>
      <x:c r="R224" s="1"/>
      <x:c r="S224" s="1"/>
      <x:c r="T224" s="1"/>
      <x:c r="U224" s="1"/>
      <x:c r="V224" s="1"/>
      <x:c r="W224" s="1"/>
      <x:c r="X224" s="1"/>
      <x:c r="Y224" s="1"/>
      <x:c r="Z224" s="1"/>
    </x:row>
    <x:row r="225">
      <x:c r="A225" s="1" t="str">
        <x:f>'Datos_fuente'!A225</x:f>
        <x:v>2024-03</x:v>
      </x:c>
      <x:c r="B225" s="87" t="n">
        <x:f>IF('Datos_fuente'!B225="","",LN('Datos_fuente'!B225))</x:f>
        <x:v>8.268562917852526</x:v>
      </x:c>
      <x:c r="C225" s="87" t="n">
        <x:f>IF(OR(B225="",B224=""),"",B225-B224)</x:f>
        <x:v>-0.008197781349837285</x:v>
      </x:c>
      <x:c r="D225" s="87" t="n">
        <x:f>IF('Datos_fuente'!C225="","",LN('Datos_fuente'!C225))</x:f>
        <x:v>4.4474456274575065</x:v>
      </x:c>
      <x:c r="E225" s="87" t="n">
        <x:f>IF(OR(D225="",D224=""),"",D225-D224)</x:f>
        <x:v>0.022861362470964153</x:v>
      </x:c>
      <x:c r="F225" s="87" t="n">
        <x:f>IF('Datos_fuente'!E225="","",LN('Datos_fuente'!E225))</x:f>
        <x:v>9.243375648543907</x:v>
      </x:c>
      <x:c r="G225" s="87" t="n">
        <x:f>IF(OR(F225="",F224=""),"",F225-F224)</x:f>
        <x:v>0.0034687073660517598</x:v>
      </x:c>
      <x:c r="H225" s="55" t="n">
        <x:f>'Datos_fuente'!H225</x:f>
        <x:v>7.323225806</x:v>
      </x:c>
      <x:c r="I225" s="55" t="n">
        <x:f>IF(OR(H225="",H224=""),"",H225-H224)</x:f>
        <x:v>-0.09677419399999998</x:v>
      </x:c>
      <x:c r="J225" s="55" t="n">
        <x:f>'Datos_fuente'!J225</x:f>
        <x:v>4.053981088</x:v>
      </x:c>
      <x:c r="K225" s="55" t="n">
        <x:f>IF(OR(J225="",J224=""),"",J225-J224)</x:f>
        <x:v>-0.27608165100000015</x:v>
      </x:c>
      <x:c r="L225" s="87" t="n">
        <x:f>IF('Datos_fuente'!K225="","",LN('Datos_fuente'!K225))</x:f>
        <x:v>4.792967003647121</x:v>
      </x:c>
      <x:c r="M225" s="87" t="n">
        <x:f>IF(OR(L225="",L224=""),"",L225-L224)</x:f>
        <x:v>-0.0033683521912513115</x:v>
      </x:c>
      <x:c r="N225" s="87" t="n">
        <x:f>IF('Datos_fuente'!L225="","",LN('Datos_fuente'!L225))</x:f>
        <x:v>2.6237623845796207</x:v>
      </x:c>
      <x:c r="O225" s="87" t="n">
        <x:f>IF(OR(N225="",N224=""),"",N225-N224)</x:f>
        <x:v>-0.013899413877698219</x:v>
      </x:c>
      <x:c r="P225" s="82" t="n">
        <x:f>'Datos_fuente'!N225</x:f>
        <x:v>0</x:v>
      </x:c>
      <x:c r="Q225" s="1"/>
      <x:c r="R225" s="1"/>
      <x:c r="S225" s="1"/>
      <x:c r="T225" s="1"/>
      <x:c r="U225" s="1"/>
      <x:c r="V225" s="1"/>
      <x:c r="W225" s="1"/>
      <x:c r="X225" s="1"/>
      <x:c r="Y225" s="1"/>
      <x:c r="Z225" s="1"/>
    </x:row>
    <x:row r="226">
      <x:c r="A226" s="1" t="str">
        <x:f>'Datos_fuente'!A226</x:f>
        <x:v>2024-04</x:v>
      </x:c>
      <x:c r="B226" s="87" t="n">
        <x:f>IF('Datos_fuente'!B226="","",LN('Datos_fuente'!B226))</x:f>
        <x:v>8.260486479355333</x:v>
      </x:c>
      <x:c r="C226" s="87" t="n">
        <x:f>IF(OR(B226="",B225=""),"",B226-B225)</x:f>
        <x:v>-0.008076438497193195</x:v>
      </x:c>
      <x:c r="D226" s="87" t="n">
        <x:f>IF('Datos_fuente'!C226="","",LN('Datos_fuente'!C226))</x:f>
        <x:v>4.499121602999556</x:v>
      </x:c>
      <x:c r="E226" s="87" t="n">
        <x:f>IF(OR(D226="",D225=""),"",D226-D225)</x:f>
        <x:v>0.05167597554204928</x:v>
      </x:c>
      <x:c r="F226" s="87" t="n">
        <x:f>IF('Datos_fuente'!E226="","",LN('Datos_fuente'!E226))</x:f>
        <x:v>9.261843044442614</x:v>
      </x:c>
      <x:c r="G226" s="87" t="n">
        <x:f>IF(OR(F226="",F225=""),"",F226-F225)</x:f>
        <x:v>0.01846739589870694</x:v>
      </x:c>
      <x:c r="H226" s="55" t="n">
        <x:f>'Datos_fuente'!H226</x:f>
        <x:v>6.92</x:v>
      </x:c>
      <x:c r="I226" s="55" t="n">
        <x:f>IF(OR(H226="",H225=""),"",H226-H225)</x:f>
        <x:v>-0.403225806</x:v>
      </x:c>
      <x:c r="J226" s="55" t="n">
        <x:f>'Datos_fuente'!J226</x:f>
        <x:v>5.505846826</x:v>
      </x:c>
      <x:c r="K226" s="55" t="n">
        <x:f>IF(OR(J226="",J225=""),"",J226-J225)</x:f>
        <x:v>1.4518657380000004</x:v>
      </x:c>
      <x:c r="L226" s="87" t="n">
        <x:f>IF('Datos_fuente'!K226="","",LN('Datos_fuente'!K226))</x:f>
        <x:v>4.805190963390155</x:v>
      </x:c>
      <x:c r="M226" s="87" t="n">
        <x:f>IF(OR(L226="",L225=""),"",L226-L225)</x:f>
        <x:v>0.01222395974303403</x:v>
      </x:c>
      <x:c r="N226" s="87" t="n">
        <x:f>IF('Datos_fuente'!L226="","",LN('Datos_fuente'!L226))</x:f>
        <x:v>2.7811598394198347</x:v>
      </x:c>
      <x:c r="O226" s="87" t="n">
        <x:f>IF(OR(N226="",N225=""),"",N226-N225)</x:f>
        <x:v>0.15739745484021395</x:v>
      </x:c>
      <x:c r="P226" s="82" t="n">
        <x:f>'Datos_fuente'!N226</x:f>
        <x:v>0</x:v>
      </x:c>
      <x:c r="Q226" s="1"/>
      <x:c r="R226" s="1"/>
      <x:c r="S226" s="1"/>
      <x:c r="T226" s="1"/>
      <x:c r="U226" s="1"/>
      <x:c r="V226" s="1"/>
      <x:c r="W226" s="1"/>
      <x:c r="X226" s="1"/>
      <x:c r="Y226" s="1"/>
      <x:c r="Z226" s="1"/>
    </x:row>
    <x:row r="227">
      <x:c r="A227" s="1" t="str">
        <x:f>'Datos_fuente'!A227</x:f>
        <x:v>2024-05</x:v>
      </x:c>
      <x:c r="B227" s="87" t="n">
        <x:f>IF('Datos_fuente'!B227="","",LN('Datos_fuente'!B227))</x:f>
        <x:v>8.260777367543877</x:v>
      </x:c>
      <x:c r="C227" s="87" t="n">
        <x:f>IF(OR(B227="",B226=""),"",B227-B226)</x:f>
        <x:v>0.0002908881885446135</x:v>
      </x:c>
      <x:c r="D227" s="87" t="n">
        <x:f>IF('Datos_fuente'!C227="","",LN('Datos_fuente'!C227))</x:f>
        <x:v>4.403619209058538</x:v>
      </x:c>
      <x:c r="E227" s="87" t="n">
        <x:f>IF(OR(D227="",D226=""),"",D227-D226)</x:f>
        <x:v>-0.09550239394101734</x:v>
      </x:c>
      <x:c r="F227" s="87" t="n">
        <x:f>IF('Datos_fuente'!E227="","",LN('Datos_fuente'!E227))</x:f>
        <x:v>9.26968700103706</x:v>
      </x:c>
      <x:c r="G227" s="87" t="n">
        <x:f>IF(OR(F227="",F226=""),"",F227-F226)</x:f>
        <x:v>0.0078439565944457</x:v>
      </x:c>
      <x:c r="H227" s="55" t="n">
        <x:f>'Datos_fuente'!H227</x:f>
        <x:v>6.436129032</x:v>
      </x:c>
      <x:c r="I227" s="55" t="n">
        <x:f>IF(OR(H227="",H226=""),"",H227-H226)</x:f>
        <x:v>-0.48387096799999973</x:v>
      </x:c>
      <x:c r="J227" s="55" t="n">
        <x:f>'Datos_fuente'!J227</x:f>
        <x:v>5.787888007</x:v>
      </x:c>
      <x:c r="K227" s="55" t="n">
        <x:f>IF(OR(J227="",J226=""),"",J227-J226)</x:f>
        <x:v>0.2820411810000003</x:v>
      </x:c>
      <x:c r="L227" s="87" t="n">
        <x:f>IF('Datos_fuente'!K227="","",LN('Datos_fuente'!K227))</x:f>
        <x:v>4.802859229923793</x:v>
      </x:c>
      <x:c r="M227" s="87" t="n">
        <x:f>IF(OR(L227="",L226=""),"",L227-L226)</x:f>
        <x:v>-0.0023317334663621736</x:v>
      </x:c>
      <x:c r="N227" s="87" t="n">
        <x:f>IF('Datos_fuente'!L227="","",LN('Datos_fuente'!L227))</x:f>
        <x:v>2.569454245200548</x:v>
      </x:c>
      <x:c r="O227" s="87" t="n">
        <x:f>IF(OR(N227="",N226=""),"",N227-N226)</x:f>
        <x:v>-0.21170559421928647</x:v>
      </x:c>
      <x:c r="P227" s="82" t="n">
        <x:f>'Datos_fuente'!N227</x:f>
        <x:v>0</x:v>
      </x:c>
      <x:c r="Q227" s="1"/>
      <x:c r="R227" s="1"/>
      <x:c r="S227" s="1"/>
      <x:c r="T227" s="1"/>
      <x:c r="U227" s="1"/>
      <x:c r="V227" s="1"/>
      <x:c r="W227" s="1"/>
      <x:c r="X227" s="1"/>
      <x:c r="Y227" s="1"/>
      <x:c r="Z227" s="1"/>
    </x:row>
    <x:row r="228">
      <x:c r="A228" s="1" t="str">
        <x:f>'Datos_fuente'!A228</x:f>
        <x:v>2024-06</x:v>
      </x:c>
      <x:c r="B228" s="87" t="n">
        <x:f>IF('Datos_fuente'!B228="","",LN('Datos_fuente'!B228))</x:f>
        <x:v>8.304692058140274</x:v>
      </x:c>
      <x:c r="C228" s="87" t="n">
        <x:f>IF(OR(B228="",B227=""),"",B228-B227)</x:f>
        <x:v>0.043914690596396966</x:v>
      </x:c>
      <x:c r="D228" s="87" t="n">
        <x:f>IF('Datos_fuente'!C228="","",LN('Datos_fuente'!C228))</x:f>
        <x:v>4.4097147562440515</x:v>
      </x:c>
      <x:c r="E228" s="87" t="n">
        <x:f>IF(OR(D228="",D227=""),"",D228-D227)</x:f>
        <x:v>0.006095547185513084</x:v>
      </x:c>
      <x:c r="F228" s="87" t="n">
        <x:f>IF('Datos_fuente'!E228="","",LN('Datos_fuente'!E228))</x:f>
        <x:v>9.291480630966012</x:v>
      </x:c>
      <x:c r="G228" s="87" t="n">
        <x:f>IF(OR(F228="",F227=""),"",F228-F227)</x:f>
        <x:v>0.021793629928952285</x:v>
      </x:c>
      <x:c r="H228" s="55" t="n">
        <x:f>'Datos_fuente'!H228</x:f>
        <x:v>6.42</x:v>
      </x:c>
      <x:c r="I228" s="55" t="n">
        <x:f>IF(OR(H228="",H227=""),"",H228-H227)</x:f>
        <x:v>-0.016129032000000265</x:v>
      </x:c>
      <x:c r="J228" s="55" t="n">
        <x:f>'Datos_fuente'!J228</x:f>
        <x:v>6.332222692</x:v>
      </x:c>
      <x:c r="K228" s="55" t="n">
        <x:f>IF(OR(J228="",J227=""),"",J228-J227)</x:f>
        <x:v>0.5443346849999999</x:v>
      </x:c>
      <x:c r="L228" s="87" t="n">
        <x:f>IF('Datos_fuente'!K228="","",LN('Datos_fuente'!K228))</x:f>
        <x:v>4.8179359045952355</x:v>
      </x:c>
      <x:c r="M228" s="87" t="n">
        <x:f>IF(OR(L228="",L227=""),"",L228-L227)</x:f>
        <x:v>0.015076674671442802</x:v>
      </x:c>
      <x:c r="N228" s="87" t="n">
        <x:f>IF('Datos_fuente'!L228="","",LN('Datos_fuente'!L228))</x:f>
        <x:v>2.5390001865014953</x:v>
      </x:c>
      <x:c r="O228" s="87" t="n">
        <x:f>IF(OR(N228="",N227=""),"",N228-N227)</x:f>
        <x:v>-0.030454058699052933</x:v>
      </x:c>
      <x:c r="P228" s="82" t="n">
        <x:f>'Datos_fuente'!N228</x:f>
        <x:v>0</x:v>
      </x:c>
      <x:c r="Q228" s="1"/>
      <x:c r="R228" s="1"/>
      <x:c r="S228" s="1"/>
      <x:c r="T228" s="1"/>
      <x:c r="U228" s="1"/>
      <x:c r="V228" s="1"/>
      <x:c r="W228" s="1"/>
      <x:c r="X228" s="1"/>
      <x:c r="Y228" s="1"/>
      <x:c r="Z228" s="1"/>
    </x:row>
    <x:row r="229">
      <x:c r="A229" s="1" t="str">
        <x:f>'Datos_fuente'!A229</x:f>
        <x:v>2024-07</x:v>
      </x:c>
      <x:c r="B229" s="87" t="n">
        <x:f>IF('Datos_fuente'!B229="","",LN('Datos_fuente'!B229))</x:f>
        <x:v>8.303237783286729</x:v>
      </x:c>
      <x:c r="C229" s="87" t="n">
        <x:f>IF(OR(B229="",B228=""),"",B229-B228)</x:f>
        <x:v>-0.0014542748535451011</x:v>
      </x:c>
      <x:c r="D229" s="87" t="n">
        <x:f>IF('Datos_fuente'!C229="","",LN('Datos_fuente'!C229))</x:f>
        <x:v>4.444450149041878</x:v>
      </x:c>
      <x:c r="E229" s="87" t="n">
        <x:f>IF(OR(D229="",D228=""),"",D229-D228)</x:f>
        <x:v>0.03473539279782667</x:v>
      </x:c>
      <x:c r="F229" s="87" t="n">
        <x:f>IF('Datos_fuente'!E229="","",LN('Datos_fuente'!E229))</x:f>
        <x:v>9.313804490609309</x:v>
      </x:c>
      <x:c r="G229" s="87" t="n">
        <x:f>IF(OR(F229="",F228=""),"",F229-F228)</x:f>
        <x:v>0.022323859643297084</x:v>
      </x:c>
      <x:c r="H229" s="55" t="n">
        <x:f>'Datos_fuente'!H229</x:f>
        <x:v>5.936129032</x:v>
      </x:c>
      <x:c r="I229" s="55" t="n">
        <x:f>IF(OR(H229="",H228=""),"",H229-H228)</x:f>
        <x:v>-0.48387096799999973</x:v>
      </x:c>
      <x:c r="J229" s="55" t="n">
        <x:f>'Datos_fuente'!J229</x:f>
        <x:v>6.443703501</x:v>
      </x:c>
      <x:c r="K229" s="55" t="n">
        <x:f>IF(OR(J229="",J228=""),"",J229-J228)</x:f>
        <x:v>0.11148080899999968</x:v>
      </x:c>
      <x:c r="L229" s="87" t="n">
        <x:f>IF('Datos_fuente'!K229="","",LN('Datos_fuente'!K229))</x:f>
        <x:v>4.815288770709231</x:v>
      </x:c>
      <x:c r="M229" s="87" t="n">
        <x:f>IF(OR(L229="",L228=""),"",L229-L228)</x:f>
        <x:v>-0.002647133886004127</x:v>
      </x:c>
      <x:c r="N229" s="87" t="n">
        <x:f>IF('Datos_fuente'!L229="","",LN('Datos_fuente'!L229))</x:f>
        <x:v>2.66541496921579</x:v>
      </x:c>
      <x:c r="O229" s="87" t="n">
        <x:f>IF(OR(N229="",N228=""),"",N229-N228)</x:f>
        <x:v>0.12641478271429474</x:v>
      </x:c>
      <x:c r="P229" s="82" t="n">
        <x:f>'Datos_fuente'!N229</x:f>
        <x:v>0</x:v>
      </x:c>
      <x:c r="Q229" s="1"/>
      <x:c r="R229" s="1"/>
      <x:c r="S229" s="1"/>
      <x:c r="T229" s="1"/>
      <x:c r="U229" s="1"/>
      <x:c r="V229" s="1"/>
      <x:c r="W229" s="1"/>
      <x:c r="X229" s="1"/>
      <x:c r="Y229" s="1"/>
      <x:c r="Z229" s="1"/>
    </x:row>
    <x:row r="230">
      <x:c r="A230" s="1" t="str">
        <x:f>'Datos_fuente'!A230</x:f>
        <x:v>2024-08</x:v>
      </x:c>
      <x:c r="B230" s="87" t="n">
        <x:f>IF('Datos_fuente'!B230="","",LN('Datos_fuente'!B230))</x:f>
        <x:v>8.31030344148349</x:v>
      </x:c>
      <x:c r="C230" s="87" t="n">
        <x:f>IF(OR(B230="",B229=""),"",B230-B229)</x:f>
        <x:v>0.007065658196761859</x:v>
      </x:c>
      <x:c r="D230" s="87" t="n">
        <x:f>IF('Datos_fuente'!C230="","",LN('Datos_fuente'!C230))</x:f>
        <x:v>4.386457281097882</x:v>
      </x:c>
      <x:c r="E230" s="87" t="n">
        <x:f>IF(OR(D230="",D229=""),"",D230-D229)</x:f>
        <x:v>-0.057992867943996274</x:v>
      </x:c>
      <x:c r="F230" s="87" t="n">
        <x:f>IF('Datos_fuente'!E230="","",LN('Datos_fuente'!E230))</x:f>
        <x:v>9.324672125470615</x:v>
      </x:c>
      <x:c r="G230" s="87" t="n">
        <x:f>IF(OR(F230="",F229=""),"",F230-F229)</x:f>
        <x:v>0.01086763486130593</x:v>
      </x:c>
      <x:c r="H230" s="55" t="n">
        <x:f>'Datos_fuente'!H230</x:f>
        <x:v>5.42</x:v>
      </x:c>
      <x:c r="I230" s="55" t="n">
        <x:f>IF(OR(H230="",H229=""),"",H230-H229)</x:f>
        <x:v>-0.5161290320000003</x:v>
      </x:c>
      <x:c r="J230" s="55" t="n">
        <x:f>'Datos_fuente'!J230</x:f>
        <x:v>6.790500101</x:v>
      </x:c>
      <x:c r="K230" s="55" t="n">
        <x:f>IF(OR(J230="",J229=""),"",J230-J229)</x:f>
        <x:v>0.34679660000000023</x:v>
      </x:c>
      <x:c r="L230" s="87" t="n">
        <x:f>IF('Datos_fuente'!K230="","",LN('Datos_fuente'!K230))</x:f>
        <x:v>4.809039096340802</x:v>
      </x:c>
      <x:c r="M230" s="87" t="n">
        <x:f>IF(OR(L230="",L229=""),"",L230-L229)</x:f>
        <x:v>-0.006249674368429048</x:v>
      </x:c>
      <x:c r="N230" s="87" t="n">
        <x:f>IF('Datos_fuente'!L230="","",LN('Datos_fuente'!L230))</x:f>
        <x:v>2.9607407865628304</x:v>
      </x:c>
      <x:c r="O230" s="87" t="n">
        <x:f>IF(OR(N230="",N229=""),"",N230-N229)</x:f>
        <x:v>0.29532581734704033</x:v>
      </x:c>
      <x:c r="P230" s="82" t="n">
        <x:f>'Datos_fuente'!N230</x:f>
        <x:v>0</x:v>
      </x:c>
      <x:c r="Q230" s="1"/>
      <x:c r="R230" s="1"/>
      <x:c r="S230" s="1"/>
      <x:c r="T230" s="1"/>
      <x:c r="U230" s="1"/>
      <x:c r="V230" s="1"/>
      <x:c r="W230" s="1"/>
      <x:c r="X230" s="1"/>
      <x:c r="Y230" s="1"/>
      <x:c r="Z230" s="1"/>
    </x:row>
    <x:row r="231">
      <x:c r="A231" s="1" t="str">
        <x:f>'Datos_fuente'!A231</x:f>
        <x:v>2024-09</x:v>
      </x:c>
      <x:c r="B231" s="87" t="n">
        <x:f>IF('Datos_fuente'!B231="","",LN('Datos_fuente'!B231))</x:f>
        <x:v>8.338667381571515</x:v>
      </x:c>
      <x:c r="C231" s="87" t="n">
        <x:f>IF(OR(B231="",B230=""),"",B231-B230)</x:f>
        <x:v>0.02836394008802401</x:v>
      </x:c>
      <x:c r="D231" s="87" t="n">
        <x:f>IF('Datos_fuente'!C231="","",LN('Datos_fuente'!C231))</x:f>
        <x:v>4.304290293115036</x:v>
      </x:c>
      <x:c r="E231" s="87" t="n">
        <x:f>IF(OR(D231="",D230=""),"",D231-D230)</x:f>
        <x:v>-0.08216698798284572</x:v>
      </x:c>
      <x:c r="F231" s="87" t="n">
        <x:f>IF('Datos_fuente'!E231="","",LN('Datos_fuente'!E231))</x:f>
        <x:v>9.33847761731174</x:v>
      </x:c>
      <x:c r="G231" s="87" t="n">
        <x:f>IF(OR(F231="",F230=""),"",F231-F230)</x:f>
        <x:v>0.013805491841125672</x:v>
      </x:c>
      <x:c r="H231" s="55" t="n">
        <x:f>'Datos_fuente'!H231</x:f>
        <x:v>5.62</x:v>
      </x:c>
      <x:c r="I231" s="55" t="n">
        <x:f>IF(OR(H231="",H230=""),"",H231-H230)</x:f>
        <x:v>0.20000000000000018</x:v>
      </x:c>
      <x:c r="J231" s="55" t="n">
        <x:f>'Datos_fuente'!J231</x:f>
        <x:v>6.646096117</x:v>
      </x:c>
      <x:c r="K231" s="55" t="n">
        <x:f>IF(OR(J231="",J230=""),"",J231-J230)</x:f>
        <x:v>-0.1444039840000002</x:v>
      </x:c>
      <x:c r="L231" s="87" t="n">
        <x:f>IF('Datos_fuente'!K231="","",LN('Datos_fuente'!K231))</x:f>
        <x:v>4.803076787587355</x:v>
      </x:c>
      <x:c r="M231" s="87" t="n">
        <x:f>IF(OR(L231="",L230=""),"",L231-L230)</x:f>
        <x:v>-0.005962308753447054</x:v>
      </x:c>
      <x:c r="N231" s="87" t="n">
        <x:f>IF('Datos_fuente'!L231="","",LN('Datos_fuente'!L231))</x:f>
        <x:v>2.871490927647846</x:v>
      </x:c>
      <x:c r="O231" s="87" t="n">
        <x:f>IF(OR(N231="",N230=""),"",N231-N230)</x:f>
        <x:v>-0.08924985891498416</x:v>
      </x:c>
      <x:c r="P231" s="82" t="n">
        <x:f>'Datos_fuente'!N231</x:f>
        <x:v>0</x:v>
      </x:c>
      <x:c r="Q231" s="1"/>
      <x:c r="R231" s="1"/>
      <x:c r="S231" s="1"/>
      <x:c r="T231" s="1"/>
      <x:c r="U231" s="1"/>
      <x:c r="V231" s="1"/>
      <x:c r="W231" s="1"/>
      <x:c r="X231" s="1"/>
      <x:c r="Y231" s="1"/>
      <x:c r="Z231" s="1"/>
    </x:row>
    <x:row r="232">
      <x:c r="A232" s="1" t="str">
        <x:f>'Datos_fuente'!A232</x:f>
        <x:v>2024-10</x:v>
      </x:c>
      <x:c r="B232" s="87" t="n">
        <x:f>IF('Datos_fuente'!B232="","",LN('Datos_fuente'!B232))</x:f>
        <x:v>8.354549548259685</x:v>
      </x:c>
      <x:c r="C232" s="87" t="n">
        <x:f>IF(OR(B232="",B231=""),"",B232-B231)</x:f>
        <x:v>0.01588216668817033</x:v>
      </x:c>
      <x:c r="D232" s="87" t="n">
        <x:f>IF('Datos_fuente'!C232="","",LN('Datos_fuente'!C232))</x:f>
        <x:v>4.325887522199158</x:v>
      </x:c>
      <x:c r="E232" s="87" t="n">
        <x:f>IF(OR(D232="",D231=""),"",D232-D231)</x:f>
        <x:v>0.021597229084122205</x:v>
      </x:c>
      <x:c r="F232" s="87" t="n">
        <x:f>IF('Datos_fuente'!E232="","",LN('Datos_fuente'!E232))</x:f>
        <x:v>9.351643734448404</x:v>
      </x:c>
      <x:c r="G232" s="87" t="n">
        <x:f>IF(OR(F232="",F231=""),"",F232-F231)</x:f>
        <x:v>0.013166117136663047</x:v>
      </x:c>
      <x:c r="H232" s="55" t="n">
        <x:f>'Datos_fuente'!H232</x:f>
        <x:v>5.42</x:v>
      </x:c>
      <x:c r="I232" s="55" t="n">
        <x:f>IF(OR(H232="",H231=""),"",H232-H231)</x:f>
        <x:v>-0.20000000000000018</x:v>
      </x:c>
      <x:c r="J232" s="55" t="n">
        <x:f>'Datos_fuente'!J232</x:f>
        <x:v>6.652100585</x:v>
      </x:c>
      <x:c r="K232" s="55" t="n">
        <x:f>IF(OR(J232="",J231=""),"",J232-J231)</x:f>
        <x:v>0.006004468000000429</x:v>
      </x:c>
      <x:c r="L232" s="87" t="n">
        <x:f>IF('Datos_fuente'!K232="","",LN('Datos_fuente'!K232))</x:f>
        <x:v>4.817012444783222</x:v>
      </x:c>
      <x:c r="M232" s="87" t="n">
        <x:f>IF(OR(L232="",L231=""),"",L232-L231)</x:f>
        <x:v>0.013935657195866646</x:v>
      </x:c>
      <x:c r="N232" s="87" t="n">
        <x:f>IF('Datos_fuente'!L232="","",LN('Datos_fuente'!L232))</x:f>
        <x:v>2.993773835565626</x:v>
      </x:c>
      <x:c r="O232" s="87" t="n">
        <x:f>IF(OR(N232="",N231=""),"",N232-N231)</x:f>
        <x:v>0.12228290791777985</x:v>
      </x:c>
      <x:c r="P232" s="82" t="n">
        <x:f>'Datos_fuente'!N232</x:f>
        <x:v>0</x:v>
      </x:c>
      <x:c r="Q232" s="1"/>
      <x:c r="R232" s="1"/>
      <x:c r="S232" s="1"/>
      <x:c r="T232" s="1"/>
      <x:c r="U232" s="1"/>
      <x:c r="V232" s="1"/>
      <x:c r="W232" s="1"/>
      <x:c r="X232" s="1"/>
      <x:c r="Y232" s="1"/>
      <x:c r="Z232" s="1"/>
    </x:row>
    <x:row r="233">
      <x:c r="A233" s="1" t="str">
        <x:f>'Datos_fuente'!A233</x:f>
        <x:v>2024-11</x:v>
      </x:c>
      <x:c r="B233" s="87" t="n">
        <x:f>IF('Datos_fuente'!B233="","",LN('Datos_fuente'!B233))</x:f>
        <x:v>8.39132432831367</x:v>
      </x:c>
      <x:c r="C233" s="87" t="n">
        <x:f>IF(OR(B233="",B232=""),"",B233-B232)</x:f>
        <x:v>0.03677478005398527</x:v>
      </x:c>
      <x:c r="D233" s="87" t="n">
        <x:f>IF('Datos_fuente'!C233="","",LN('Datos_fuente'!C233))</x:f>
        <x:v>4.308719623780416</x:v>
      </x:c>
      <x:c r="E233" s="87" t="n">
        <x:f>IF(OR(D233="",D232=""),"",D233-D232)</x:f>
        <x:v>-0.017167898418742666</x:v>
      </x:c>
      <x:c r="F233" s="87" t="n">
        <x:f>IF('Datos_fuente'!E233="","",LN('Datos_fuente'!E233))</x:f>
        <x:v>9.364265026261593</x:v>
      </x:c>
      <x:c r="G233" s="87" t="n">
        <x:f>IF(OR(F233="",F232=""),"",F233-F232)</x:f>
        <x:v>0.012621291813189828</x:v>
      </x:c>
      <x:c r="H233" s="55" t="n">
        <x:f>'Datos_fuente'!H233</x:f>
        <x:v>5.11</x:v>
      </x:c>
      <x:c r="I233" s="55" t="n">
        <x:f>IF(OR(H233="",H232=""),"",H233-H232)</x:f>
        <x:v>-0.3099999999999996</x:v>
      </x:c>
      <x:c r="J233" s="55" t="n">
        <x:f>'Datos_fuente'!J233</x:f>
        <x:v>6.953539496</x:v>
      </x:c>
      <x:c r="K233" s="55" t="n">
        <x:f>IF(OR(J233="",J232=""),"",J233-J232)</x:f>
        <x:v>0.301438911</x:v>
      </x:c>
      <x:c r="L233" s="87" t="n">
        <x:f>IF('Datos_fuente'!K233="","",LN('Datos_fuente'!K233))</x:f>
        <x:v>4.838749786214955</x:v>
      </x:c>
      <x:c r="M233" s="87" t="n">
        <x:f>IF(OR(L233="",L232=""),"",L233-L232)</x:f>
        <x:v>0.021737341431733448</x:v>
      </x:c>
      <x:c r="N233" s="87" t="n">
        <x:f>IF('Datos_fuente'!L233="","",LN('Datos_fuente'!L233))</x:f>
        <x:v>2.773540650262499</x:v>
      </x:c>
      <x:c r="O233" s="87" t="n">
        <x:f>IF(OR(N233="",N232=""),"",N233-N232)</x:f>
        <x:v>-0.22023318530312697</x:v>
      </x:c>
      <x:c r="P233" s="82" t="n">
        <x:f>'Datos_fuente'!N233</x:f>
        <x:v>0</x:v>
      </x:c>
      <x:c r="Q233" s="1"/>
      <x:c r="R233" s="1"/>
      <x:c r="S233" s="1"/>
      <x:c r="T233" s="1"/>
      <x:c r="U233" s="1"/>
      <x:c r="V233" s="1"/>
      <x:c r="W233" s="1"/>
      <x:c r="X233" s="1"/>
      <x:c r="Y233" s="1"/>
      <x:c r="Z233" s="1"/>
    </x:row>
    <x:row r="234">
      <x:c r="A234" s="1" t="str">
        <x:f>'Datos_fuente'!A234</x:f>
        <x:v>2024-12</x:v>
      </x:c>
      <x:c r="B234" s="87" t="n">
        <x:f>IF('Datos_fuente'!B234="","",LN('Datos_fuente'!B234))</x:f>
        <x:v>8.385978817572175</x:v>
      </x:c>
      <x:c r="C234" s="87" t="n">
        <x:f>IF(OR(B234="",B233=""),"",B234-B233)</x:f>
        <x:v>-0.005345510741495474</x:v>
      </x:c>
      <x:c r="D234" s="87" t="n">
        <x:f>IF('Datos_fuente'!C234="","",LN('Datos_fuente'!C234))</x:f>
        <x:v>4.302164639837463</x:v>
      </x:c>
      <x:c r="E234" s="87" t="n">
        <x:f>IF(OR(D234="",D233=""),"",D234-D233)</x:f>
        <x:v>-0.006554983942952397</x:v>
      </x:c>
      <x:c r="F234" s="87" t="n">
        <x:f>IF('Datos_fuente'!E234="","",LN('Datos_fuente'!E234))</x:f>
        <x:v>9.379932924310015</x:v>
      </x:c>
      <x:c r="G234" s="87" t="n">
        <x:f>IF(OR(F234="",F233=""),"",F234-F233)</x:f>
        <x:v>0.015667898048421947</x:v>
      </x:c>
      <x:c r="H234" s="55" t="n">
        <x:f>'Datos_fuente'!H234</x:f>
        <x:v>5.197419355</x:v>
      </x:c>
      <x:c r="I234" s="55" t="n">
        <x:f>IF(OR(H234="",H233=""),"",H234-H233)</x:f>
        <x:v>0.08741935499999975</x:v>
      </x:c>
      <x:c r="J234" s="55" t="n">
        <x:f>'Datos_fuente'!J234</x:f>
        <x:v>6.683581401</x:v>
      </x:c>
      <x:c r="K234" s="55" t="n">
        <x:f>IF(OR(J234="",J233=""),"",J234-J233)</x:f>
        <x:v>-0.2699580950000007</x:v>
      </x:c>
      <x:c r="L234" s="87" t="n">
        <x:f>IF('Datos_fuente'!K234="","",LN('Datos_fuente'!K234))</x:f>
        <x:v>4.848710548820382</x:v>
      </x:c>
      <x:c r="M234" s="87" t="n">
        <x:f>IF(OR(L234="",L233=""),"",L234-L233)</x:f>
        <x:v>0.009960762605426332</x:v>
      </x:c>
      <x:c r="N234" s="87" t="n">
        <x:f>IF('Datos_fuente'!L234="","",LN('Datos_fuente'!L234))</x:f>
        <x:v>2.7641904603541967</x:v>
      </x:c>
      <x:c r="O234" s="87" t="n">
        <x:f>IF(OR(N234="",N233=""),"",N234-N233)</x:f>
        <x:v>-0.009350189908302386</x:v>
      </x:c>
      <x:c r="P234" s="82" t="n">
        <x:f>'Datos_fuente'!N234</x:f>
        <x:v>0</x:v>
      </x:c>
      <x:c r="Q234" s="1"/>
      <x:c r="R234" s="1"/>
      <x:c r="S234" s="1"/>
      <x:c r="T234" s="1"/>
      <x:c r="U234" s="1"/>
      <x:c r="V234" s="1"/>
      <x:c r="W234" s="1"/>
      <x:c r="X234" s="1"/>
      <x:c r="Y234" s="1"/>
      <x:c r="Z234" s="1"/>
    </x:row>
    <x:row r="235">
      <x:c r="A235" s="1" t="str">
        <x:f>'Datos_fuente'!A235</x:f>
        <x:v>2025-01</x:v>
      </x:c>
      <x:c r="B235" s="87" t="n">
        <x:f>IF('Datos_fuente'!B235="","",LN('Datos_fuente'!B235))</x:f>
        <x:v>8.368128619817616</x:v>
      </x:c>
      <x:c r="C235" s="87" t="n">
        <x:f>IF(OR(B235="",B234=""),"",B235-B234)</x:f>
        <x:v>-0.01785019775455865</x:v>
      </x:c>
      <x:c r="D235" s="87" t="n">
        <x:f>IF('Datos_fuente'!C235="","",LN('Datos_fuente'!C235))</x:f>
        <x:v>4.372865481032195</x:v>
      </x:c>
      <x:c r="E235" s="87" t="n">
        <x:f>IF(OR(D235="",D234=""),"",D235-D234)</x:f>
        <x:v>0.07070084119473208</x:v>
      </x:c>
      <x:c r="F235" s="87" t="n">
        <x:f>IF('Datos_fuente'!E235="","",LN('Datos_fuente'!E235))</x:f>
        <x:v>9.388075594264803</x:v>
      </x:c>
      <x:c r="G235" s="87" t="n">
        <x:f>IF(OR(F235="",F234=""),"",F235-F234)</x:f>
        <x:v>0.008142669954787962</x:v>
      </x:c>
      <x:c r="H235" s="55" t="n">
        <x:f>'Datos_fuente'!H235</x:f>
        <x:v>5.17</x:v>
      </x:c>
      <x:c r="I235" s="55" t="n">
        <x:f>IF(OR(H235="",H234=""),"",H235-H234)</x:f>
        <x:v>-0.027419355000000145</x:v>
      </x:c>
      <x:c r="J235" s="55" t="n">
        <x:f>'Datos_fuente'!J235</x:f>
        <x:v>6.775576693</x:v>
      </x:c>
      <x:c r="K235" s="55" t="n">
        <x:f>IF(OR(J235="",J234=""),"",J235-J234)</x:f>
        <x:v>0.091995292</x:v>
      </x:c>
      <x:c r="L235" s="87" t="n">
        <x:f>IF('Datos_fuente'!K235="","",LN('Datos_fuente'!K235))</x:f>
        <x:v>4.858547670038559</x:v>
      </x:c>
      <x:c r="M235" s="87" t="n">
        <x:f>IF(OR(L235="",L234=""),"",L235-L234)</x:f>
        <x:v>0.009837121218176925</x:v>
      </x:c>
      <x:c r="N235" s="87" t="n">
        <x:f>IF('Datos_fuente'!L235="","",LN('Datos_fuente'!L235))</x:f>
        <x:v>2.819212038107203</x:v>
      </x:c>
      <x:c r="O235" s="87" t="n">
        <x:f>IF(OR(N235="",N234=""),"",N235-N234)</x:f>
        <x:v>0.05502157775300631</x:v>
      </x:c>
      <x:c r="P235" s="82" t="n">
        <x:f>'Datos_fuente'!N235</x:f>
        <x:v>0</x:v>
      </x:c>
      <x:c r="Q235" s="1"/>
      <x:c r="R235" s="1"/>
      <x:c r="S235" s="1"/>
      <x:c r="T235" s="1"/>
      <x:c r="U235" s="1"/>
      <x:c r="V235" s="1"/>
      <x:c r="W235" s="1"/>
      <x:c r="X235" s="1"/>
      <x:c r="Y235" s="1"/>
      <x:c r="Z235" s="1"/>
    </x:row>
    <x:row r="236">
      <x:c r="A236" s="1" t="str">
        <x:f>'Datos_fuente'!A236</x:f>
        <x:v>2025-02</x:v>
      </x:c>
      <x:c r="B236" s="87" t="n">
        <x:f>IF('Datos_fuente'!B236="","",LN('Datos_fuente'!B236))</x:f>
        <x:v>8.325537146488653</x:v>
      </x:c>
      <x:c r="C236" s="87" t="n">
        <x:f>IF(OR(B236="",B235=""),"",B236-B235)</x:f>
        <x:v>-0.0425914733289634</x:v>
      </x:c>
      <x:c r="D236" s="87" t="n">
        <x:f>IF('Datos_fuente'!C236="","",LN('Datos_fuente'!C236))</x:f>
        <x:v>4.3233111268391</x:v>
      </x:c>
      <x:c r="E236" s="87" t="n">
        <x:f>IF(OR(D236="",D235=""),"",D236-D235)</x:f>
        <x:v>-0.04955435419309584</x:v>
      </x:c>
      <x:c r="F236" s="87" t="n">
        <x:f>IF('Datos_fuente'!E236="","",LN('Datos_fuente'!E236))</x:f>
        <x:v>9.397880786809027</x:v>
      </x:c>
      <x:c r="G236" s="87" t="n">
        <x:f>IF(OR(F236="",F235=""),"",F236-F235)</x:f>
        <x:v>0.009805192544224184</x:v>
      </x:c>
      <x:c r="H236" s="55" t="n">
        <x:f>'Datos_fuente'!H236</x:f>
        <x:v>5.17</x:v>
      </x:c>
      <x:c r="I236" s="55" t="n">
        <x:f>IF(OR(H236="",H235=""),"",H236-H235)</x:f>
        <x:v>0</x:v>
      </x:c>
      <x:c r="J236" s="55" t="n">
        <x:f>'Datos_fuente'!J236</x:f>
        <x:v>7.021169873</x:v>
      </x:c>
      <x:c r="K236" s="55" t="n">
        <x:f>IF(OR(J236="",J235=""),"",J236-J235)</x:f>
        <x:v>0.2455931800000002</x:v>
      </x:c>
      <x:c r="L236" s="87" t="n">
        <x:f>IF('Datos_fuente'!K236="","",LN('Datos_fuente'!K236))</x:f>
        <x:v>4.851059727476451</x:v>
      </x:c>
      <x:c r="M236" s="87" t="n">
        <x:f>IF(OR(L236="",L235=""),"",L236-L235)</x:f>
        <x:v>-0.007487942562107719</x:v>
      </x:c>
      <x:c r="N236" s="87" t="n">
        <x:f>IF('Datos_fuente'!L236="","",LN('Datos_fuente'!L236))</x:f>
        <x:v>2.831329217262381</x:v>
      </x:c>
      <x:c r="O236" s="87" t="n">
        <x:f>IF(OR(N236="",N235=""),"",N236-N235)</x:f>
        <x:v>0.012117179155178182</x:v>
      </x:c>
      <x:c r="P236" s="82" t="n">
        <x:f>'Datos_fuente'!N236</x:f>
        <x:v>0</x:v>
      </x:c>
      <x:c r="Q236" s="1"/>
      <x:c r="R236" s="1"/>
      <x:c r="S236" s="1"/>
      <x:c r="T236" s="1"/>
      <x:c r="U236" s="1"/>
      <x:c r="V236" s="1"/>
      <x:c r="W236" s="1"/>
      <x:c r="X236" s="1"/>
      <x:c r="Y236" s="1"/>
      <x:c r="Z236" s="1"/>
    </x:row>
    <x:row r="237">
      <x:c r="A237" s="1" t="str">
        <x:f>'Datos_fuente'!A237</x:f>
        <x:v>2025-03</x:v>
      </x:c>
      <x:c r="B237" s="87" t="n">
        <x:f>IF('Datos_fuente'!B237="","",LN('Datos_fuente'!B237))</x:f>
        <x:v>8.32789161470303</x:v>
      </x:c>
      <x:c r="C237" s="87" t="n">
        <x:f>IF(OR(B237="",B236=""),"",B237-B236)</x:f>
        <x:v>0.0023544682143779028</x:v>
      </x:c>
      <x:c r="D237" s="87" t="n">
        <x:f>IF('Datos_fuente'!C237="","",LN('Datos_fuente'!C237))</x:f>
        <x:v>4.2867932375966875</x:v>
      </x:c>
      <x:c r="E237" s="87" t="n">
        <x:f>IF(OR(D237="",D236=""),"",D237-D236)</x:f>
        <x:v>-0.03651788924241206</x:v>
      </x:c>
      <x:c r="F237" s="87" t="n">
        <x:f>IF('Datos_fuente'!E237="","",LN('Datos_fuente'!E237))</x:f>
        <x:v>9.413939774585744</x:v>
      </x:c>
      <x:c r="G237" s="87" t="n">
        <x:f>IF(OR(F237="",F236=""),"",F237-F236)</x:f>
        <x:v>0.01605898777671655</x:v>
      </x:c>
      <x:c r="H237" s="55" t="n">
        <x:f>'Datos_fuente'!H237</x:f>
        <x:v>5.17</x:v>
      </x:c>
      <x:c r="I237" s="55" t="n">
        <x:f>IF(OR(H237="",H236=""),"",H237-H236)</x:f>
        <x:v>0</x:v>
      </x:c>
      <x:c r="J237" s="55" t="n">
        <x:f>'Datos_fuente'!J237</x:f>
        <x:v>7.317183331</x:v>
      </x:c>
      <x:c r="K237" s="55" t="n">
        <x:f>IF(OR(J237="",J236=""),"",J237-J236)</x:f>
        <x:v>0.296013458</x:v>
      </x:c>
      <x:c r="L237" s="87" t="n">
        <x:f>IF('Datos_fuente'!K237="","",LN('Datos_fuente'!K237))</x:f>
        <x:v>4.838208960894518</x:v>
      </x:c>
      <x:c r="M237" s="87" t="n">
        <x:f>IF(OR(L237="",L236=""),"",L237-L236)</x:f>
        <x:v>-0.012850766581933293</x:v>
      </x:c>
      <x:c r="N237" s="87" t="n">
        <x:f>IF('Datos_fuente'!L237="","",LN('Datos_fuente'!L237))</x:f>
        <x:v>3.0838085594518025</x:v>
      </x:c>
      <x:c r="O237" s="87" t="n">
        <x:f>IF(OR(N237="",N236=""),"",N237-N236)</x:f>
        <x:v>0.25247934218942136</x:v>
      </x:c>
      <x:c r="P237" s="82" t="n">
        <x:f>'Datos_fuente'!N237</x:f>
        <x:v>0</x:v>
      </x:c>
      <x:c r="Q237" s="1"/>
      <x:c r="R237" s="1"/>
      <x:c r="S237" s="1"/>
      <x:c r="T237" s="1"/>
      <x:c r="U237" s="1"/>
      <x:c r="V237" s="1"/>
      <x:c r="W237" s="1"/>
      <x:c r="X237" s="1"/>
      <x:c r="Y237" s="1"/>
      <x:c r="Z237" s="1"/>
    </x:row>
    <x:row r="238">
      <x:c r="A238" s="1" t="str">
        <x:f>'Datos_fuente'!A238</x:f>
        <x:v>2025-04</x:v>
      </x:c>
      <x:c r="B238" s="87" t="n">
        <x:f>IF('Datos_fuente'!B238="","",LN('Datos_fuente'!B238))</x:f>
        <x:v>8.361768567132886</x:v>
      </x:c>
      <x:c r="C238" s="87" t="n">
        <x:f>IF(OR(B238="",B237=""),"",B238-B237)</x:f>
        <x:v>0.03387695242985522</x:v>
      </x:c>
      <x:c r="D238" s="87" t="n">
        <x:f>IF('Datos_fuente'!C238="","",LN('Datos_fuente'!C238))</x:f>
        <x:v>4.221483692802509</x:v>
      </x:c>
      <x:c r="E238" s="87" t="n">
        <x:f>IF(OR(D238="",D237=""),"",D238-D237)</x:f>
        <x:v>-0.06530954479417872</x:v>
      </x:c>
      <x:c r="F238" s="87" t="n">
        <x:f>IF('Datos_fuente'!E238="","",LN('Datos_fuente'!E238))</x:f>
        <x:v>9.427553573475247</x:v>
      </x:c>
      <x:c r="G238" s="87" t="n">
        <x:f>IF(OR(F238="",F237=""),"",F238-F237)</x:f>
        <x:v>0.013613798889503315</x:v>
      </x:c>
      <x:c r="H238" s="55" t="n">
        <x:f>'Datos_fuente'!H238</x:f>
        <x:v>5.17</x:v>
      </x:c>
      <x:c r="I238" s="55" t="n">
        <x:f>IF(OR(H238="",H237=""),"",H238-H237)</x:f>
        <x:v>0</x:v>
      </x:c>
      <x:c r="J238" s="55" t="n">
        <x:f>'Datos_fuente'!J238</x:f>
        <x:v>7.046019782</x:v>
      </x:c>
      <x:c r="K238" s="55" t="n">
        <x:f>IF(OR(J238="",J237=""),"",J238-J237)</x:f>
        <x:v>-0.2711635489999997</x:v>
      </x:c>
      <x:c r="L238" s="87" t="n">
        <x:f>IF('Datos_fuente'!K238="","",LN('Datos_fuente'!K238))</x:f>
        <x:v>4.8214115720684685</x:v>
      </x:c>
      <x:c r="M238" s="87" t="n">
        <x:f>IF(OR(L238="",L237=""),"",L238-L237)</x:f>
        <x:v>-0.016797388826049087</x:v>
      </x:c>
      <x:c r="N238" s="87" t="n">
        <x:f>IF('Datos_fuente'!L238="","",LN('Datos_fuente'!L238))</x:f>
        <x:v>3.464678796759966</x:v>
      </x:c>
      <x:c r="O238" s="87" t="n">
        <x:f>IF(OR(N238="",N237=""),"",N238-N237)</x:f>
        <x:v>0.3808702373081636</x:v>
      </x:c>
      <x:c r="P238" s="82" t="n">
        <x:f>'Datos_fuente'!N238</x:f>
        <x:v>0</x:v>
      </x:c>
      <x:c r="Q238" s="1"/>
      <x:c r="R238" s="1"/>
      <x:c r="S238" s="1"/>
      <x:c r="T238" s="1"/>
      <x:c r="U238" s="1"/>
      <x:c r="V238" s="1"/>
      <x:c r="W238" s="1"/>
      <x:c r="X238" s="1"/>
      <x:c r="Y238" s="1"/>
      <x:c r="Z238" s="1"/>
    </x:row>
    <x:row r="239">
      <x:c r="A239" s="1" t="str">
        <x:f>'Datos_fuente'!A239</x:f>
        <x:v>2025-05</x:v>
      </x:c>
      <x:c r="B239" s="87" t="n">
        <x:f>IF('Datos_fuente'!B239="","",LN('Datos_fuente'!B239))</x:f>
        <x:v>8.34364355189407</x:v>
      </x:c>
      <x:c r="C239" s="87" t="n">
        <x:f>IF(OR(B239="",B238=""),"",B239-B238)</x:f>
        <x:v>-0.018125015238815934</x:v>
      </x:c>
      <x:c r="D239" s="87" t="n">
        <x:f>IF('Datos_fuente'!C239="","",LN('Datos_fuente'!C239))</x:f>
        <x:v>4.16593627601329</x:v>
      </x:c>
      <x:c r="E239" s="87" t="n">
        <x:f>IF(OR(D239="",D238=""),"",D239-D238)</x:f>
        <x:v>-0.05554741678921893</x:v>
      </x:c>
      <x:c r="F239" s="87" t="n">
        <x:f>IF('Datos_fuente'!E239="","",LN('Datos_fuente'!E239))</x:f>
        <x:v>9.438424498524403</x:v>
      </x:c>
      <x:c r="G239" s="87" t="n">
        <x:f>IF(OR(F239="",F238=""),"",F239-F238)</x:f>
        <x:v>0.0108709250491561</x:v>
      </x:c>
      <x:c r="H239" s="55" t="n">
        <x:f>'Datos_fuente'!H239</x:f>
        <x:v>4.928064516</x:v>
      </x:c>
      <x:c r="I239" s="55" t="n">
        <x:f>IF(OR(H239="",H238=""),"",H239-H238)</x:f>
        <x:v>-0.24193548399999987</x:v>
      </x:c>
      <x:c r="J239" s="55" t="n">
        <x:f>'Datos_fuente'!J239</x:f>
        <x:v>7.127072678</x:v>
      </x:c>
      <x:c r="K239" s="55" t="n">
        <x:f>IF(OR(J239="",J238=""),"",J239-J238)</x:f>
        <x:v>0.0810528960000001</x:v>
      </x:c>
      <x:c r="L239" s="87" t="n">
        <x:f>IF('Datos_fuente'!K239="","",LN('Datos_fuente'!K239))</x:f>
        <x:v>4.806821724902358</x:v>
      </x:c>
      <x:c r="M239" s="87" t="n">
        <x:f>IF(OR(L239="",L238=""),"",L239-L238)</x:f>
        <x:v>-0.014589847166110559</x:v>
      </x:c>
      <x:c r="N239" s="87" t="n">
        <x:f>IF('Datos_fuente'!L239="","",LN('Datos_fuente'!L239))</x:f>
        <x:v>3.0185828359770523</x:v>
      </x:c>
      <x:c r="O239" s="87" t="n">
        <x:f>IF(OR(N239="",N238=""),"",N239-N238)</x:f>
        <x:v>-0.4460959607829138</x:v>
      </x:c>
      <x:c r="P239" s="82" t="n">
        <x:f>'Datos_fuente'!N239</x:f>
        <x:v>0</x:v>
      </x:c>
      <x:c r="Q239" s="1"/>
      <x:c r="R239" s="1"/>
      <x:c r="S239" s="1"/>
      <x:c r="T239" s="1"/>
      <x:c r="U239" s="1"/>
      <x:c r="V239" s="1"/>
      <x:c r="W239" s="1"/>
      <x:c r="X239" s="1"/>
      <x:c r="Y239" s="1"/>
      <x:c r="Z239" s="1"/>
    </x:row>
    <x:row r="240">
      <x:c r="A240" s="1" t="str">
        <x:f>'Datos_fuente'!A240</x:f>
        <x:v>2025-06</x:v>
      </x:c>
      <x:c r="B240" s="87" t="n">
        <x:f>IF('Datos_fuente'!B240="","",LN('Datos_fuente'!B240))</x:f>
        <x:v>8.322025880072617</x:v>
      </x:c>
      <x:c r="C240" s="87" t="n">
        <x:f>IF(OR(B240="",B239=""),"",B240-B239)</x:f>
        <x:v>-0.02161767182145269</x:v>
      </x:c>
      <x:c r="D240" s="87" t="n">
        <x:f>IF('Datos_fuente'!C240="","",LN('Datos_fuente'!C240))</x:f>
        <x:v>4.268924590281886</x:v>
      </x:c>
      <x:c r="E240" s="87" t="n">
        <x:f>IF(OR(D240="",D239=""),"",D240-D239)</x:f>
        <x:v>0.10298831426859589</x:v>
      </x:c>
      <x:c r="F240" s="87" t="n">
        <x:f>IF('Datos_fuente'!E240="","",LN('Datos_fuente'!E240))</x:f>
        <x:v>9.44373361527114</x:v>
      </x:c>
      <x:c r="G240" s="87" t="n">
        <x:f>IF(OR(F240="",F239=""),"",F240-F239)</x:f>
        <x:v>0.005309116746737175</x:v>
      </x:c>
      <x:c r="H240" s="55" t="n">
        <x:f>'Datos_fuente'!H240</x:f>
        <x:v>4.92</x:v>
      </x:c>
      <x:c r="I240" s="55" t="n">
        <x:f>IF(OR(H240="",H239=""),"",H240-H239)</x:f>
        <x:v>-0.008064516000000133</x:v>
      </x:c>
      <x:c r="J240" s="55" t="n">
        <x:f>'Datos_fuente'!J240</x:f>
        <x:v>6.902094389</x:v>
      </x:c>
      <x:c r="K240" s="55" t="n">
        <x:f>IF(OR(J240="",J239=""),"",J240-J239)</x:f>
        <x:v>-0.22497828900000005</x:v>
      </x:c>
      <x:c r="L240" s="87" t="n">
        <x:f>IF('Datos_fuente'!K240="","",LN('Datos_fuente'!K240))</x:f>
        <x:v>4.792428453813842</x:v>
      </x:c>
      <x:c r="M240" s="87" t="n">
        <x:f>IF(OR(L240="",L239=""),"",L240-L239)</x:f>
        <x:v>-0.01439327108851618</x:v>
      </x:c>
      <x:c r="N240" s="87" t="n">
        <x:f>IF('Datos_fuente'!L240="","",LN('Datos_fuente'!L240))</x:f>
        <x:v>2.912531807446717</x:v>
      </x:c>
      <x:c r="O240" s="87" t="n">
        <x:f>IF(OR(N240="",N239=""),"",N240-N239)</x:f>
        <x:v>-0.10605102853033532</x:v>
      </x:c>
      <x:c r="P240" s="82" t="n">
        <x:f>'Datos_fuente'!N240</x:f>
        <x:v>0</x:v>
      </x:c>
      <x:c r="Q240" s="1"/>
      <x:c r="R240" s="1"/>
      <x:c r="S240" s="1"/>
      <x:c r="T240" s="1"/>
      <x:c r="U240" s="1"/>
      <x:c r="V240" s="1"/>
      <x:c r="W240" s="1"/>
      <x:c r="X240" s="1"/>
      <x:c r="Y240" s="1"/>
      <x:c r="Z240" s="1"/>
    </x:row>
    <x:row r="241">
      <x:c r="A241" s="1" t="str">
        <x:f>'Datos_fuente'!A241</x:f>
        <x:v>2025-07</x:v>
      </x:c>
      <x:c r="B241" s="87" t="n">
        <x:f>IF('Datos_fuente'!B241="","",LN('Datos_fuente'!B241))</x:f>
        <x:v>8.304209945691136</x:v>
      </x:c>
      <x:c r="C241" s="87" t="n">
        <x:f>IF(OR(B241="",B240=""),"",B241-B240)</x:f>
        <x:v>-0.017815934381481213</x:v>
      </x:c>
      <x:c r="D241" s="87" t="n">
        <x:f>IF('Datos_fuente'!C241="","",LN('Datos_fuente'!C241))</x:f>
        <x:v>4.263261459298016</x:v>
      </x:c>
      <x:c r="E241" s="87" t="n">
        <x:f>IF(OR(D241="",D240=""),"",D241-D240)</x:f>
        <x:v>-0.005663130983870168</x:v>
      </x:c>
      <x:c r="F241" s="87" t="n">
        <x:f>IF('Datos_fuente'!E241="","",LN('Datos_fuente'!E241))</x:f>
        <x:v>9.455691499514478</x:v>
      </x:c>
      <x:c r="G241" s="87" t="n">
        <x:f>IF(OR(F241="",F240=""),"",F241-F240)</x:f>
        <x:v>0.011957884243336991</x:v>
      </x:c>
      <x:c r="H241" s="55" t="n">
        <x:f>'Datos_fuente'!H241</x:f>
        <x:v>4.92</x:v>
      </x:c>
      <x:c r="I241" s="55" t="n">
        <x:f>IF(OR(H241="",H240=""),"",H241-H240)</x:f>
        <x:v>0</x:v>
      </x:c>
      <x:c r="J241" s="55" t="n">
        <x:f>'Datos_fuente'!J241</x:f>
        <x:v>6.856711008</x:v>
      </x:c>
      <x:c r="K241" s="55" t="n">
        <x:f>IF(OR(J241="",J240=""),"",J241-J240)</x:f>
        <x:v>-0.04538338099999972</x:v>
      </x:c>
      <x:c r="L241" s="87" t="n">
        <x:f>IF('Datos_fuente'!K241="","",LN('Datos_fuente'!K241))</x:f>
        <x:v>4.788430392945447</x:v>
      </x:c>
      <x:c r="M241" s="87" t="n">
        <x:f>IF(OR(L241="",L240=""),"",L241-L240)</x:f>
        <x:v>-0.003998060868394937</x:v>
      </x:c>
      <x:c r="N241" s="87" t="n">
        <x:f>IF('Datos_fuente'!L241="","",LN('Datos_fuente'!L241))</x:f>
        <x:v>2.7961407059017023</x:v>
      </x:c>
      <x:c r="O241" s="87" t="n">
        <x:f>IF(OR(N241="",N240=""),"",N241-N240)</x:f>
        <x:v>-0.11639110154501475</x:v>
      </x:c>
      <x:c r="P241" s="82" t="n">
        <x:f>'Datos_fuente'!N241</x:f>
        <x:v>0</x:v>
      </x:c>
      <x:c r="Q241" s="1"/>
      <x:c r="R241" s="1"/>
      <x:c r="S241" s="1"/>
      <x:c r="T241" s="1"/>
      <x:c r="U241" s="1"/>
      <x:c r="V241" s="1"/>
      <x:c r="W241" s="1"/>
      <x:c r="X241" s="1"/>
      <x:c r="Y241" s="1"/>
      <x:c r="Z241" s="1"/>
    </x:row>
    <x:row r="242">
      <x:c r="A242" s="1" t="str">
        <x:f>'Datos_fuente'!A242</x:f>
        <x:v>2025-08</x:v>
      </x:c>
      <x:c r="B242" s="87" t="n">
        <x:f>IF('Datos_fuente'!B242="","",LN('Datos_fuente'!B242))</x:f>
        <x:v>8.305832847882838</x:v>
      </x:c>
      <x:c r="C242" s="87" t="n">
        <x:f>IF(OR(B242="",B241=""),"",B242-B241)</x:f>
        <x:v>0.0016229021917020248</x:v>
      </x:c>
      <x:c r="D242" s="87" t="n">
        <x:f>IF('Datos_fuente'!C242="","",LN('Datos_fuente'!C242))</x:f>
        <x:v>4.217594110715667</x:v>
      </x:c>
      <x:c r="E242" s="87" t="n">
        <x:f>IF(OR(D242="",D241=""),"",D242-D241)</x:f>
        <x:v>-0.045667348582348666</x:v>
      </x:c>
      <x:c r="F242" s="87" t="n">
        <x:f>IF('Datos_fuente'!E242="","",LN('Datos_fuente'!E242))</x:f>
        <x:v>9.462432053672934</x:v>
      </x:c>
      <x:c r="G242" s="87" t="n">
        <x:f>IF(OR(F242="",F241=""),"",F242-F241)</x:f>
        <x:v>0.006740554158456646</x:v>
      </x:c>
      <x:c r="H242" s="55" t="n">
        <x:f>'Datos_fuente'!H242</x:f>
        <x:v>4.92</x:v>
      </x:c>
      <x:c r="I242" s="55" t="n">
        <x:f>IF(OR(H242="",H241=""),"",H242-H241)</x:f>
        <x:v>0</x:v>
      </x:c>
      <x:c r="J242" s="55" t="n">
        <x:f>'Datos_fuente'!J242</x:f>
        <x:v>6.581444247</x:v>
      </x:c>
      <x:c r="K242" s="55" t="n">
        <x:f>IF(OR(J242="",J241=""),"",J242-J241)</x:f>
        <x:v>-0.27526676100000014</x:v>
      </x:c>
      <x:c r="L242" s="87" t="n">
        <x:f>IF('Datos_fuente'!K242="","",LN('Datos_fuente'!K242))</x:f>
        <x:v>4.792278956600309</x:v>
      </x:c>
      <x:c r="M242" s="87" t="n">
        <x:f>IF(OR(L242="",L241=""),"",L242-L241)</x:f>
        <x:v>0.0038485636548619695</x:v>
      </x:c>
      <x:c r="N242" s="87" t="n">
        <x:f>IF('Datos_fuente'!L242="","",LN('Datos_fuente'!L242))</x:f>
        <x:v>2.7568403652716422</x:v>
      </x:c>
      <x:c r="O242" s="87" t="n">
        <x:f>IF(OR(N242="",N241=""),"",N242-N241)</x:f>
        <x:v>-0.03930034063006005</x:v>
      </x:c>
      <x:c r="P242" s="82" t="n">
        <x:f>'Datos_fuente'!N242</x:f>
        <x:v>0</x:v>
      </x:c>
      <x:c r="Q242" s="1"/>
      <x:c r="R242" s="1"/>
      <x:c r="S242" s="1"/>
      <x:c r="T242" s="1"/>
      <x:c r="U242" s="1"/>
      <x:c r="V242" s="1"/>
      <x:c r="W242" s="1"/>
      <x:c r="X242" s="1"/>
      <x:c r="Y242" s="1"/>
      <x:c r="Z242" s="1"/>
    </x:row>
    <x:row r="243">
      <x:c r="A243" s="1" t="str">
        <x:f>'Datos_fuente'!A243</x:f>
        <x:v>2025-09</x:v>
      </x:c>
      <x:c r="B243" s="87" t="n">
        <x:f>IF('Datos_fuente'!B243="","",LN('Datos_fuente'!B243))</x:f>
        <x:v>8.274411059349477</x:v>
      </x:c>
      <x:c r="C243" s="87" t="n">
        <x:f>IF(OR(B243="",B242=""),"",B243-B242)</x:f>
        <x:v>-0.031421788533361195</x:v>
      </x:c>
      <x:c r="D243" s="87" t="n">
        <x:f>IF('Datos_fuente'!C243="","",LN('Datos_fuente'!C243))</x:f>
        <x:v>4.219293778618982</x:v>
      </x:c>
      <x:c r="E243" s="87" t="n">
        <x:f>IF(OR(D243="",D242=""),"",D243-D242)</x:f>
        <x:v>0.0016996679033152162</x:v>
      </x:c>
      <x:c r="F243" s="87" t="n">
        <x:f>IF('Datos_fuente'!E243="","",LN('Datos_fuente'!E243))</x:f>
        <x:v>9.467311658908402</x:v>
      </x:c>
      <x:c r="G243" s="87" t="n">
        <x:f>IF(OR(F243="",F242=""),"",F243-F242)</x:f>
        <x:v>0.004879605235467821</x:v>
      </x:c>
      <x:c r="H243" s="55" t="n">
        <x:f>'Datos_fuente'!H243</x:f>
        <x:v>5.03</x:v>
      </x:c>
      <x:c r="I243" s="55" t="n">
        <x:f>IF(OR(H243="",H242=""),"",H243-H242)</x:f>
        <x:v>0.11000000000000032</x:v>
      </x:c>
      <x:c r="J243" s="55" t="n">
        <x:f>'Datos_fuente'!J243</x:f>
        <x:v>6.390943298</x:v>
      </x:c>
      <x:c r="K243" s="55" t="n">
        <x:f>IF(OR(J243="",J242=""),"",J243-J242)</x:f>
        <x:v>-0.19050094900000047</x:v>
      </x:c>
      <x:c r="L243" s="87" t="n">
        <x:f>IF('Datos_fuente'!K243="","",LN('Datos_fuente'!K243))</x:f>
        <x:v>4.787733895960598</x:v>
      </x:c>
      <x:c r="M243" s="87" t="n">
        <x:f>IF(OR(L243="",L242=""),"",L243-L242)</x:f>
        <x:v>-0.004545060639710385</x:v>
      </x:c>
      <x:c r="N243" s="87" t="n">
        <x:f>IF('Datos_fuente'!L243="","",LN('Datos_fuente'!L243))</x:f>
        <x:v>2.759319252829243</x:v>
      </x:c>
      <x:c r="O243" s="87" t="n">
        <x:f>IF(OR(N243="",N242=""),"",N243-N242)</x:f>
        <x:v>0.0024788875576007285</x:v>
      </x:c>
      <x:c r="P243" s="82" t="n">
        <x:f>'Datos_fuente'!N243</x:f>
        <x:v>0</x:v>
      </x:c>
      <x:c r="Q243" s="1"/>
      <x:c r="R243" s="1"/>
      <x:c r="S243" s="1"/>
      <x:c r="T243" s="1"/>
      <x:c r="U243" s="1"/>
      <x:c r="V243" s="1"/>
      <x:c r="W243" s="1"/>
      <x:c r="X243" s="1"/>
      <x:c r="Y243" s="1"/>
      <x:c r="Z243" s="1"/>
    </x:row>
    <x:row r="244">
      <x:c r="A244" s="1" t="str">
        <x:f>'Datos_fuente'!A244</x:f>
        <x:v>2025-10</x:v>
      </x:c>
      <x:c r="B244" s="87" t="n">
        <x:f>IF('Datos_fuente'!B244="","",LN('Datos_fuente'!B244))</x:f>
        <x:v>8.263034824429694</x:v>
      </x:c>
      <x:c r="C244" s="87" t="n">
        <x:f>IF(OR(B244="",B243=""),"",B244-B243)</x:f>
        <x:v>-0.011376234919783457</x:v>
      </x:c>
      <x:c r="D244" s="87" t="n">
        <x:f>IF('Datos_fuente'!C244="","",LN('Datos_fuente'!C244))</x:f>
        <x:v>4.167339078261192</x:v>
      </x:c>
      <x:c r="E244" s="87" t="n">
        <x:f>IF(OR(D244="",D243=""),"",D244-D243)</x:f>
        <x:v>-0.05195470035778982</x:v>
      </x:c>
      <x:c r="F244" s="87" t="n">
        <x:f>IF('Datos_fuente'!E244="","",LN('Datos_fuente'!E244))</x:f>
        <x:v>9.471610191603503</x:v>
      </x:c>
      <x:c r="G244" s="87" t="n">
        <x:f>IF(OR(F244="",F243=""),"",F244-F243)</x:f>
        <x:v>0.004298532695100832</x:v>
      </x:c>
      <x:c r="H244" s="55" t="n">
        <x:f>'Datos_fuente'!H244</x:f>
        <x:v>5.16</x:v>
      </x:c>
      <x:c r="I244" s="55" t="n">
        <x:f>IF(OR(H244="",H243=""),"",H244-H243)</x:f>
        <x:v>0.1299999999999999</x:v>
      </x:c>
      <x:c r="J244" s="55" t="n">
        <x:f>'Datos_fuente'!J244</x:f>
        <x:v>6.18121828</x:v>
      </x:c>
      <x:c r="K244" s="55" t="n">
        <x:f>IF(OR(J244="",J243=""),"",J244-J243)</x:f>
        <x:v>-0.20972501799999943</x:v>
      </x:c>
      <x:c r="L244" s="87" t="n">
        <x:f>IF('Datos_fuente'!K244="","",LN('Datos_fuente'!K244))</x:f>
        <x:v>4.7938200103254305</x:v>
      </x:c>
      <x:c r="M244" s="87" t="n">
        <x:f>IF(OR(L244="",L243=""),"",L244-L243)</x:f>
        <x:v>0.006086114364832085</x:v>
      </x:c>
      <x:c r="N244" s="87" t="n">
        <x:f>IF('Datos_fuente'!L244="","",LN('Datos_fuente'!L244))</x:f>
        <x:v>2.8951670056297245</x:v>
      </x:c>
      <x:c r="O244" s="87" t="n">
        <x:f>IF(OR(N244="",N243=""),"",N244-N243)</x:f>
        <x:v>0.13584775280048156</x:v>
      </x:c>
      <x:c r="P244" s="82" t="n">
        <x:f>'Datos_fuente'!N244</x:f>
        <x:v>0</x:v>
      </x:c>
      <x:c r="Q244" s="1"/>
      <x:c r="R244" s="1"/>
      <x:c r="S244" s="1"/>
      <x:c r="T244" s="1"/>
      <x:c r="U244" s="1"/>
      <x:c r="V244" s="1"/>
      <x:c r="W244" s="1"/>
      <x:c r="X244" s="1"/>
      <x:c r="Y244" s="1"/>
      <x:c r="Z244" s="1"/>
    </x:row>
    <x:row r="245">
      <x:c r="A245" s="1" t="str">
        <x:f>'Datos_fuente'!A245</x:f>
        <x:v>2025-11</x:v>
      </x:c>
      <x:c r="B245" s="87" t="n">
        <x:f>IF('Datos_fuente'!B245="","",LN('Datos_fuente'!B245))</x:f>
        <x:v>8.239113754527137</x:v>
      </x:c>
      <x:c r="C245" s="87" t="n">
        <x:f>IF(OR(B245="",B244=""),"",B245-B244)</x:f>
        <x:v>-0.02392106990255627</x:v>
      </x:c>
      <x:c r="D245" s="87" t="n">
        <x:f>IF('Datos_fuente'!C245="","",LN('Datos_fuente'!C245))</x:f>
        <x:v>4.155706167301604</x:v>
      </x:c>
      <x:c r="E245" s="87" t="n">
        <x:f>IF(OR(D245="",D244=""),"",D245-D244)</x:f>
        <x:v>-0.011632910959588294</x:v>
      </x:c>
      <x:c r="F245" s="87" t="n">
        <x:f>IF('Datos_fuente'!E245="","",LN('Datos_fuente'!E245))</x:f>
        <x:v>9.474493804158902</x:v>
      </x:c>
      <x:c r="G245" s="87" t="n">
        <x:f>IF(OR(F245="",F244=""),"",F245-F244)</x:f>
        <x:v>0.00288361255539904</x:v>
      </x:c>
      <x:c r="H245" s="55" t="n">
        <x:f>'Datos_fuente'!H245</x:f>
        <x:v>5.37</x:v>
      </x:c>
      <x:c r="I245" s="55" t="n">
        <x:f>IF(OR(H245="",H244=""),"",H245-H244)</x:f>
        <x:v>0.20999999999999996</x:v>
      </x:c>
      <x:c r="J245" s="55" t="n">
        <x:f>'Datos_fuente'!J245</x:f>
        <x:v>6.592556047</x:v>
      </x:c>
      <x:c r="K245" s="55" t="n">
        <x:f>IF(OR(J245="",J244=""),"",J245-J244)</x:f>
        <x:v>0.411337767</x:v>
      </x:c>
      <x:c r="L245" s="87" t="n">
        <x:f>IF('Datos_fuente'!K245="","",LN('Datos_fuente'!K245))</x:f>
        <x:v>4.799236804551003</x:v>
      </x:c>
      <x:c r="M245" s="87" t="n">
        <x:f>IF(OR(L245="",L244=""),"",L245-L244)</x:f>
        <x:v>0.00541679422557273</x:v>
      </x:c>
      <x:c r="N245" s="87" t="n">
        <x:f>IF('Datos_fuente'!L245="","",LN('Datos_fuente'!L245))</x:f>
        <x:v>2.9841403460179925</x:v>
      </x:c>
      <x:c r="O245" s="87" t="n">
        <x:f>IF(OR(N245="",N244=""),"",N245-N244)</x:f>
        <x:v>0.08897334038826799</x:v>
      </x:c>
      <x:c r="P245" s="82" t="n">
        <x:f>'Datos_fuente'!N245</x:f>
        <x:v>0</x:v>
      </x:c>
      <x:c r="Q245" s="1"/>
      <x:c r="R245" s="1"/>
      <x:c r="S245" s="1"/>
      <x:c r="T245" s="1"/>
      <x:c r="U245" s="1"/>
      <x:c r="V245" s="1"/>
      <x:c r="W245" s="1"/>
      <x:c r="X245" s="1"/>
      <x:c r="Y245" s="1"/>
      <x:c r="Z245" s="1"/>
    </x:row>
    <x:row r="246">
      <x:c r="A246" s="1" t="str">
        <x:f>'Datos_fuente'!A246</x:f>
        <x:v>2025-12</x:v>
      </x:c>
      <x:c r="B246" s="87" t="n">
        <x:f>IF('Datos_fuente'!B246="","",LN('Datos_fuente'!B246))</x:f>
        <x:v>8.240509596029987</x:v>
      </x:c>
      <x:c r="C246" s="87" t="n">
        <x:f>IF(OR(B246="",B245=""),"",B246-B245)</x:f>
        <x:v>0.0013958415028501037</x:v>
      </x:c>
      <x:c r="D246" s="87" t="n">
        <x:f>IF('Datos_fuente'!C246="","",LN('Datos_fuente'!C246))</x:f>
        <x:v>4.135874877184191</x:v>
      </x:c>
      <x:c r="E246" s="87" t="n">
        <x:f>IF(OR(D246="",D245=""),"",D246-D245)</x:f>
        <x:v>-0.019831290117412692</x:v>
      </x:c>
      <x:c r="F246" s="87" t="n">
        <x:f>IF('Datos_fuente'!E246="","",LN('Datos_fuente'!E246))</x:f>
        <x:v>9.48023543939971</x:v>
      </x:c>
      <x:c r="G246" s="87" t="n">
        <x:f>IF(OR(F246="",F245=""),"",F246-F245)</x:f>
        <x:v>0.005741635240807952</x:v>
      </x:c>
      <x:c r="H246" s="55" t="n">
        <x:f>'Datos_fuente'!H246</x:f>
        <x:v>5.53</x:v>
      </x:c>
      <x:c r="I246" s="55" t="n">
        <x:f>IF(OR(H246="",H245=""),"",H246-H245)</x:f>
        <x:v>0.16000000000000014</x:v>
      </x:c>
      <x:c r="J246" s="55" t="n">
        <x:f>'Datos_fuente'!J246</x:f>
        <x:v>6.354401832</x:v>
      </x:c>
      <x:c r="K246" s="55" t="n">
        <x:f>IF(OR(J246="",J245=""),"",J246-J245)</x:f>
        <x:v>-0.23815421500000067</x:v>
      </x:c>
      <x:c r="L246" s="87" t="n">
        <x:f>IF('Datos_fuente'!K246="","",LN('Datos_fuente'!K246))</x:f>
        <x:v>4.789059868463376</x:v>
      </x:c>
      <x:c r="M246" s="87" t="n">
        <x:f>IF(OR(L246="",L245=""),"",L246-L245)</x:f>
        <x:v>-0.010176936087627375</x:v>
      </x:c>
      <x:c r="N246" s="87" t="n">
        <x:f>IF('Datos_fuente'!L246="","",LN('Datos_fuente'!L246))</x:f>
        <x:v>2.743943707030168</x:v>
      </x:c>
      <x:c r="O246" s="87" t="n">
        <x:f>IF(OR(N246="",N245=""),"",N246-N245)</x:f>
        <x:v>-0.2401966389878245</x:v>
      </x:c>
      <x:c r="P246" s="82" t="n">
        <x:f>'Datos_fuente'!N246</x:f>
        <x:v>0</x:v>
      </x:c>
      <x:c r="Q246" s="1"/>
      <x:c r="R246" s="1"/>
      <x:c r="S246" s="1"/>
      <x:c r="T246" s="1"/>
      <x:c r="U246" s="1"/>
      <x:c r="V246" s="1"/>
      <x:c r="W246" s="1"/>
      <x:c r="X246" s="1"/>
      <x:c r="Y246" s="1"/>
      <x:c r="Z246" s="1"/>
    </x:row>
    <x:row r="247">
      <x:c r="A247" s="1" t="str">
        <x:f>'Datos_fuente'!A247</x:f>
        <x:v>2026-01</x:v>
      </x:c>
      <x:c r="B247" s="87" t="n">
        <x:f>IF('Datos_fuente'!B247="","",LN('Datos_fuente'!B247))</x:f>
        <x:v>8.21689831950391</x:v>
      </x:c>
      <x:c r="C247" s="87" t="n">
        <x:f>IF(OR(B247="",B246=""),"",B247-B246)</x:f>
        <x:v>-0.023611276526077418</x:v>
      </x:c>
      <x:c r="D247" s="87" t="n">
        <x:f>IF('Datos_fuente'!C247="","",LN('Datos_fuente'!C247))</x:f>
        <x:v>4.198740326907328</x:v>
      </x:c>
      <x:c r="E247" s="87" t="n">
        <x:f>IF(OR(D247="",D246=""),"",D247-D246)</x:f>
        <x:v>0.06286544972313646</x:v>
      </x:c>
      <x:c r="F247" s="87" t="n">
        <x:f>IF('Datos_fuente'!E247="","",LN('Datos_fuente'!E247))</x:f>
        <x:v>9.48103293659827</x:v>
      </x:c>
      <x:c r="G247" s="87" t="n">
        <x:f>IF(OR(F247="",F246=""),"",F247-F246)</x:f>
        <x:v>0.0007974971985600376</x:v>
      </x:c>
      <x:c r="H247" s="55" t="n">
        <x:f>'Datos_fuente'!H247</x:f>
        <x:v>5.61</x:v>
      </x:c>
      <x:c r="I247" s="55" t="n">
        <x:f>IF(OR(H247="",H246=""),"",H247-H246)</x:f>
        <x:v>0.08000000000000007</x:v>
      </x:c>
      <x:c r="J247" s="55" t="n">
        <x:f>'Datos_fuente'!J247</x:f>
        <x:v>5.496041161</x:v>
      </x:c>
      <x:c r="K247" s="55" t="n">
        <x:f>IF(OR(J247="",J246=""),"",J247-J246)</x:f>
        <x:v>-0.8583606709999998</x:v>
      </x:c>
      <x:c r="L247" s="87" t="n">
        <x:f>IF('Datos_fuente'!K247="","",LN('Datos_fuente'!K247))</x:f>
        <x:v>4.781052807258103</x:v>
      </x:c>
      <x:c r="M247" s="87" t="n">
        <x:f>IF(OR(L247="",L246=""),"",L247-L246)</x:f>
        <x:v>-0.008007061205272947</x:v>
      </x:c>
      <x:c r="N247" s="87" t="n">
        <x:f>IF('Datos_fuente'!L247="","",LN('Datos_fuente'!L247))</x:f>
        <x:v>2.7837170483404576</x:v>
      </x:c>
      <x:c r="O247" s="87" t="n">
        <x:f>IF(OR(N247="",N246=""),"",N247-N246)</x:f>
        <x:v>0.039773341310289645</x:v>
      </x:c>
      <x:c r="P247" s="82" t="n">
        <x:f>'Datos_fuente'!N247</x:f>
        <x:v>0</x:v>
      </x:c>
      <x:c r="Q247" s="1"/>
      <x:c r="R247" s="1"/>
      <x:c r="S247" s="1"/>
      <x:c r="T247" s="1"/>
      <x:c r="U247" s="1"/>
      <x:c r="V247" s="1"/>
      <x:c r="W247" s="1"/>
      <x:c r="X247" s="1"/>
      <x:c r="Y247" s="1"/>
      <x:c r="Z247" s="1"/>
    </x:row>
    <x:row r="248">
      <x:c r="A248" s="1" t="str">
        <x:f>'Datos_fuente'!A248</x:f>
        <x:v>2026-02</x:v>
      </x:c>
      <x:c r="B248" s="87" t="n">
        <x:f>IF('Datos_fuente'!B248="","",LN('Datos_fuente'!B248))</x:f>
        <x:v>8.209482934920265</x:v>
      </x:c>
      <x:c r="C248" s="87" t="n">
        <x:f>IF(OR(B248="",B247=""),"",B248-B247)</x:f>
        <x:v>-0.0074153845836448795</x:v>
      </x:c>
      <x:c r="D248" s="87" t="n">
        <x:f>IF('Datos_fuente'!C248="","",LN('Datos_fuente'!C248))</x:f>
        <x:v>4.261087059885541</x:v>
      </x:c>
      <x:c r="E248" s="87" t="n">
        <x:f>IF(OR(D248="",D247=""),"",D248-D247)</x:f>
        <x:v>0.062346732978213026</x:v>
      </x:c>
      <x:c r="F248" s="87" t="n">
        <x:f>IF('Datos_fuente'!E248="","",LN('Datos_fuente'!E248))</x:f>
        <x:v>9.486323022306111</x:v>
      </x:c>
      <x:c r="G248" s="87" t="n">
        <x:f>IF(OR(F248="",F247=""),"",F248-F247)</x:f>
        <x:v>0.0052900857078412855</x:v>
      </x:c>
      <x:c r="H248" s="55" t="n">
        <x:f>'Datos_fuente'!H248</x:f>
        <x:v>6.574285714</x:v>
      </x:c>
      <x:c r="I248" s="55" t="n">
        <x:f>IF(OR(H248="",H247=""),"",H248-H247)</x:f>
        <x:v>0.9642857139999998</x:v>
      </x:c>
      <x:c r="J248" s="55" t="n">
        <x:f>'Datos_fuente'!J248</x:f>
        <x:v>6.021341708</x:v>
      </x:c>
      <x:c r="K248" s="55" t="n">
        <x:f>IF(OR(J248="",J247=""),"",J248-J247)</x:f>
        <x:v>0.5253005469999996</x:v>
      </x:c>
      <x:c r="L248" s="87" t="n">
        <x:f>IF('Datos_fuente'!K248="","",LN('Datos_fuente'!K248))</x:f>
        <x:v>4.769887875789786</x:v>
      </x:c>
      <x:c r="M248" s="87" t="n">
        <x:f>IF(OR(L248="",L247=""),"",L248-L247)</x:f>
        <x:v>-0.011164931468316652</x:v>
      </x:c>
      <x:c r="N248" s="87" t="n">
        <x:f>IF('Datos_fuente'!L248="","",LN('Datos_fuente'!L248))</x:f>
        <x:v>2.955274795922715</x:v>
      </x:c>
      <x:c r="O248" s="87" t="n">
        <x:f>IF(OR(N248="",N247=""),"",N248-N247)</x:f>
        <x:v>0.1715577475822574</x:v>
      </x:c>
      <x:c r="P248" s="82" t="n">
        <x:f>'Datos_fuente'!N248</x:f>
        <x:v>0</x:v>
      </x:c>
      <x:c r="Q248" s="1"/>
      <x:c r="R248" s="1"/>
      <x:c r="S248" s="1"/>
      <x:c r="T248" s="1"/>
      <x:c r="U248" s="1"/>
      <x:c r="V248" s="1"/>
      <x:c r="W248" s="1"/>
      <x:c r="X248" s="1"/>
      <x:c r="Y248" s="1"/>
      <x:c r="Z248" s="1"/>
    </x:row>
    <x:row r="249">
      <x:c r="A249" s="1" t="str">
        <x:f>'Datos_fuente'!A249</x:f>
        <x:v>2026-03</x:v>
      </x:c>
      <x:c r="B249" s="87" t="n">
        <x:f>IF('Datos_fuente'!B249="","",LN('Datos_fuente'!B249))</x:f>
        <x:v>8.220822123810187</x:v>
      </x:c>
      <x:c r="C249" s="87" t="n">
        <x:f>IF(OR(B249="",B248=""),"",B249-B248)</x:f>
        <x:v>0.011339188889921914</x:v>
      </x:c>
      <x:c r="D249" s="87" t="n">
        <x:f>IF('Datos_fuente'!C249="","",LN('Datos_fuente'!C249))</x:f>
        <x:v>4.636034402795451</x:v>
      </x:c>
      <x:c r="E249" s="87" t="n">
        <x:f>IF(OR(D249="",D248=""),"",D249-D248)</x:f>
        <x:v>0.37494734290990994</x:v>
      </x:c>
      <x:c r="F249" s="87" t="n">
        <x:f>IF('Datos_fuente'!E249="","",LN('Datos_fuente'!E249))</x:f>
        <x:v>9.496617207544936</x:v>
      </x:c>
      <x:c r="G249" s="87" t="n">
        <x:f>IF(OR(F249="",F248=""),"",F249-F248)</x:f>
        <x:v>0.010294185238825193</x:v>
      </x:c>
      <x:c r="H249" s="55" t="n">
        <x:f>'Datos_fuente'!H249</x:f>
        <x:v>6.61</x:v>
      </x:c>
      <x:c r="I249" s="55" t="n">
        <x:f>IF(OR(H249="",H248=""),"",H249-H248)</x:f>
        <x:v>0.03571428600000015</x:v>
      </x:c>
      <x:c r="J249" s="55" t="n">
        <x:f>'Datos_fuente'!J249</x:f>
        <x:v>5.76200041</x:v>
      </x:c>
      <x:c r="K249" s="55" t="n">
        <x:f>IF(OR(J249="",J248=""),"",J249-J248)</x:f>
        <x:v>-0.25934129799999983</x:v>
      </x:c>
      <x:c r="L249" s="87" t="n">
        <x:f>IF('Datos_fuente'!K249="","",LN('Datos_fuente'!K249))</x:f>
        <x:v>4.786823640484734</x:v>
      </x:c>
      <x:c r="M249" s="87" t="n">
        <x:f>IF(OR(L249="",L248=""),"",L249-L248)</x:f>
        <x:v>0.016935764694947508</x:v>
      </x:c>
      <x:c r="N249" s="87" t="n">
        <x:f>IF('Datos_fuente'!L249="","",LN('Datos_fuente'!L249))</x:f>
        <x:v>3.242468053917144</x:v>
      </x:c>
      <x:c r="O249" s="87" t="n">
        <x:f>IF(OR(N249="",N248=""),"",N249-N248)</x:f>
        <x:v>0.2871932579944292</x:v>
      </x:c>
      <x:c r="P249" s="82" t="n">
        <x:f>'Datos_fuente'!N249</x:f>
        <x:v>0</x:v>
      </x:c>
      <x:c r="Q249" s="1"/>
      <x:c r="R249" s="1"/>
      <x:c r="S249" s="1"/>
      <x:c r="T249" s="1"/>
      <x:c r="U249" s="1"/>
      <x:c r="V249" s="1"/>
      <x:c r="W249" s="1"/>
      <x:c r="X249" s="1"/>
      <x:c r="Y249" s="1"/>
      <x:c r="Z249" s="1"/>
    </x:row>
    <x:row r="250">
      <x:c r="A250" s="1" t="str">
        <x:f>'Datos_fuente'!A250</x:f>
        <x:v>2026-04</x:v>
      </x:c>
      <x:c r="B250" s="87" t="n">
        <x:f>IF('Datos_fuente'!B250="","",LN('Datos_fuente'!B250))</x:f>
        <x:v>8.19354361868583</x:v>
      </x:c>
      <x:c r="C250" s="87" t="n">
        <x:f>IF(OR(B250="",B249=""),"",B250-B249)</x:f>
        <x:v>-0.027278505124357366</x:v>
      </x:c>
      <x:c r="D250" s="87" t="n">
        <x:f>IF('Datos_fuente'!C250="","",LN('Datos_fuente'!C250))</x:f>
        <x:v>4.764628185616168</x:v>
      </x:c>
      <x:c r="E250" s="87" t="n">
        <x:f>IF(OR(D250="",D249=""),"",D250-D249)</x:f>
        <x:v>0.1285937828207171</x:v>
      </x:c>
      <x:c r="F250" s="87" t="n">
        <x:f>IF('Datos_fuente'!E250="","",LN('Datos_fuente'!E250))</x:f>
        <x:v>9.49702644858874</x:v>
      </x:c>
      <x:c r="G250" s="87" t="n">
        <x:f>IF(OR(F250="",F249=""),"",F250-F249)</x:f>
        <x:v>0.0004092410438030214</x:v>
      </x:c>
      <x:c r="H250" s="55" t="n">
        <x:f>'Datos_fuente'!H250</x:f>
        <x:v>7.61</x:v>
      </x:c>
      <x:c r="I250" s="55" t="n">
        <x:f>IF(OR(H250="",H249=""),"",H250-H249)</x:f>
        <x:v>1</x:v>
      </x:c>
      <x:c r="J250" s="55" t="n">
        <x:f>'Datos_fuente'!J250</x:f>
        <x:v>5.539075577</x:v>
      </x:c>
      <x:c r="K250" s="55" t="n">
        <x:f>IF(OR(J250="",J249=""),"",J250-J249)</x:f>
        <x:v>-0.22292483299999954</x:v>
      </x:c>
      <x:c r="L250" s="87" t="n">
        <x:f>IF('Datos_fuente'!K250="","",LN('Datos_fuente'!K250))</x:f>
        <x:v>4.779428641507005</x:v>
      </x:c>
      <x:c r="M250" s="87" t="n">
        <x:f>IF(OR(L250="",L249=""),"",L250-L249)</x:f>
        <x:v>-0.007394998977728662</x:v>
      </x:c>
      <x:c r="N250" s="87" t="n">
        <x:f>IF('Datos_fuente'!L250="","",LN('Datos_fuente'!L250))</x:f>
        <x:v>2.9862830075268736</x:v>
      </x:c>
      <x:c r="O250" s="87" t="n">
        <x:f>IF(OR(N250="",N249=""),"",N250-N249)</x:f>
        <x:v>-0.2561850463902706</x:v>
      </x:c>
      <x:c r="P250" s="82" t="n">
        <x:f>'Datos_fuente'!N250</x:f>
        <x:v>0</x:v>
      </x:c>
      <x:c r="Q250" s="1"/>
      <x:c r="R250" s="1"/>
      <x:c r="S250" s="1"/>
      <x:c r="T250" s="1"/>
      <x:c r="U250" s="1"/>
      <x:c r="V250" s="1"/>
      <x:c r="W250" s="1"/>
      <x:c r="X250" s="1"/>
      <x:c r="Y250" s="1"/>
      <x:c r="Z250" s="1"/>
    </x:row>
    <x:row r="251">
      <x:c r="A251" s="1"/>
      <x:c r="B251" s="1"/>
      <x:c r="C251" s="1"/>
      <x:c r="D251" s="1"/>
      <x:c r="E251" s="1"/>
      <x:c r="F251" s="1"/>
      <x:c r="G251" s="1"/>
      <x:c r="H251" s="1"/>
      <x:c r="I251" s="1"/>
      <x:c r="J251" s="1"/>
      <x:c r="K251" s="1"/>
      <x:c r="L251" s="1"/>
      <x:c r="M251" s="1"/>
      <x:c r="N251" s="1"/>
      <x:c r="O251" s="1"/>
      <x:c r="P251" s="1"/>
      <x:c r="Q251" s="1"/>
      <x:c r="R251" s="1"/>
      <x:c r="S251" s="1"/>
      <x:c r="T251" s="1"/>
      <x:c r="U251" s="1"/>
      <x:c r="V251" s="1"/>
      <x:c r="W251" s="1"/>
      <x:c r="X251" s="1"/>
      <x:c r="Y251" s="1"/>
      <x:c r="Z251" s="1"/>
    </x:row>
    <x:row r="252">
      <x:c r="A252" s="1"/>
      <x:c r="B252" s="1"/>
      <x:c r="C252" s="1"/>
      <x:c r="D252" s="1"/>
      <x:c r="E252" s="1"/>
      <x:c r="F252" s="1"/>
      <x:c r="G252" s="1"/>
      <x:c r="H252" s="1"/>
      <x:c r="I252" s="1"/>
      <x:c r="J252" s="1"/>
      <x:c r="K252" s="1"/>
      <x:c r="L252" s="1"/>
      <x:c r="M252" s="1"/>
      <x:c r="N252" s="1"/>
      <x:c r="O252" s="1"/>
      <x:c r="P252" s="1"/>
      <x:c r="Q252" s="1"/>
      <x:c r="R252" s="1"/>
      <x:c r="S252" s="1"/>
      <x:c r="T252" s="1"/>
      <x:c r="U252" s="1"/>
      <x:c r="V252" s="1"/>
      <x:c r="W252" s="1"/>
      <x:c r="X252" s="1"/>
      <x:c r="Y252" s="1"/>
      <x:c r="Z252" s="1"/>
    </x:row>
    <x:row r="253">
      <x:c r="A253" s="1"/>
      <x:c r="B253" s="1"/>
      <x:c r="C253" s="1"/>
      <x:c r="D253" s="1"/>
      <x:c r="E253" s="1"/>
      <x:c r="F253" s="1"/>
      <x:c r="G253" s="1"/>
      <x:c r="H253" s="1"/>
      <x:c r="I253" s="1"/>
      <x:c r="J253" s="1"/>
      <x:c r="K253" s="1"/>
      <x:c r="L253" s="1"/>
      <x:c r="M253" s="1"/>
      <x:c r="N253" s="1"/>
      <x:c r="O253" s="1"/>
      <x:c r="P253" s="1"/>
      <x:c r="Q253" s="1"/>
      <x:c r="R253" s="1"/>
      <x:c r="S253" s="1"/>
      <x:c r="T253" s="1"/>
      <x:c r="U253" s="1"/>
      <x:c r="V253" s="1"/>
      <x:c r="W253" s="1"/>
      <x:c r="X253" s="1"/>
      <x:c r="Y253" s="1"/>
      <x:c r="Z253" s="1"/>
    </x:row>
    <x:row r="254">
      <x:c r="A254" s="1"/>
      <x:c r="B254" s="1"/>
      <x:c r="C254" s="1"/>
      <x:c r="D254" s="1"/>
      <x:c r="E254" s="1"/>
      <x:c r="F254" s="1"/>
      <x:c r="G254" s="1"/>
      <x:c r="H254" s="1"/>
      <x:c r="I254" s="1"/>
      <x:c r="J254" s="1"/>
      <x:c r="K254" s="1"/>
      <x:c r="L254" s="1"/>
      <x:c r="M254" s="1"/>
      <x:c r="N254" s="1"/>
      <x:c r="O254" s="1"/>
      <x:c r="P254" s="1"/>
      <x:c r="Q254" s="1"/>
      <x:c r="R254" s="1"/>
      <x:c r="S254" s="1"/>
      <x:c r="T254" s="1"/>
      <x:c r="U254" s="1"/>
      <x:c r="V254" s="1"/>
      <x:c r="W254" s="1"/>
      <x:c r="X254" s="1"/>
      <x:c r="Y254" s="1"/>
      <x:c r="Z254" s="1"/>
    </x:row>
    <x:row r="255">
      <x:c r="A255" s="1"/>
      <x:c r="B255" s="1"/>
      <x:c r="C255" s="1"/>
      <x:c r="D255" s="1"/>
      <x:c r="E255" s="1"/>
      <x:c r="F255" s="1"/>
      <x:c r="G255" s="1"/>
      <x:c r="H255" s="1"/>
      <x:c r="I255" s="1"/>
      <x:c r="J255" s="1"/>
      <x:c r="K255" s="1"/>
      <x:c r="L255" s="1"/>
      <x:c r="M255" s="1"/>
      <x:c r="N255" s="1"/>
      <x:c r="O255" s="1"/>
      <x:c r="P255" s="1"/>
      <x:c r="Q255" s="1"/>
      <x:c r="R255" s="1"/>
      <x:c r="S255" s="1"/>
      <x:c r="T255" s="1"/>
      <x:c r="U255" s="1"/>
      <x:c r="V255" s="1"/>
      <x:c r="W255" s="1"/>
      <x:c r="X255" s="1"/>
      <x:c r="Y255" s="1"/>
      <x:c r="Z255" s="1"/>
    </x:row>
    <x:row r="256">
      <x:c r="A256" s="1"/>
      <x:c r="B256" s="1"/>
      <x:c r="C256" s="1"/>
      <x:c r="D256" s="1"/>
      <x:c r="E256" s="1"/>
      <x:c r="F256" s="1"/>
      <x:c r="G256" s="1"/>
      <x:c r="H256" s="1"/>
      <x:c r="I256" s="1"/>
      <x:c r="J256" s="1"/>
      <x:c r="K256" s="1"/>
      <x:c r="L256" s="1"/>
      <x:c r="M256" s="1"/>
      <x:c r="N256" s="1"/>
      <x:c r="O256" s="1"/>
      <x:c r="P256" s="1"/>
      <x:c r="Q256" s="1"/>
      <x:c r="R256" s="1"/>
      <x:c r="S256" s="1"/>
      <x:c r="T256" s="1"/>
      <x:c r="U256" s="1"/>
      <x:c r="V256" s="1"/>
      <x:c r="W256" s="1"/>
      <x:c r="X256" s="1"/>
      <x:c r="Y256" s="1"/>
      <x:c r="Z256" s="1"/>
    </x:row>
    <x:row r="257">
      <x:c r="A257" s="1"/>
      <x:c r="B257" s="1"/>
      <x:c r="C257" s="1"/>
      <x:c r="D257" s="1"/>
      <x:c r="E257" s="1"/>
      <x:c r="F257" s="1"/>
      <x:c r="G257" s="1"/>
      <x:c r="H257" s="1"/>
      <x:c r="I257" s="1"/>
      <x:c r="J257" s="1"/>
      <x:c r="K257" s="1"/>
      <x:c r="L257" s="1"/>
      <x:c r="M257" s="1"/>
      <x:c r="N257" s="1"/>
      <x:c r="O257" s="1"/>
      <x:c r="P257" s="1"/>
      <x:c r="Q257" s="1"/>
      <x:c r="R257" s="1"/>
      <x:c r="S257" s="1"/>
      <x:c r="T257" s="1"/>
      <x:c r="U257" s="1"/>
      <x:c r="V257" s="1"/>
      <x:c r="W257" s="1"/>
      <x:c r="X257" s="1"/>
      <x:c r="Y257" s="1"/>
      <x:c r="Z257" s="1"/>
    </x:row>
    <x:row r="258">
      <x:c r="A258" s="1"/>
      <x:c r="B258" s="1"/>
      <x:c r="C258" s="1"/>
      <x:c r="D258" s="1"/>
      <x:c r="E258" s="1"/>
      <x:c r="F258" s="1"/>
      <x:c r="G258" s="1"/>
      <x:c r="H258" s="1"/>
      <x:c r="I258" s="1"/>
      <x:c r="J258" s="1"/>
      <x:c r="K258" s="1"/>
      <x:c r="L258" s="1"/>
      <x:c r="M258" s="1"/>
      <x:c r="N258" s="1"/>
      <x:c r="O258" s="1"/>
      <x:c r="P258" s="1"/>
      <x:c r="Q258" s="1"/>
      <x:c r="R258" s="1"/>
      <x:c r="S258" s="1"/>
      <x:c r="T258" s="1"/>
      <x:c r="U258" s="1"/>
      <x:c r="V258" s="1"/>
      <x:c r="W258" s="1"/>
      <x:c r="X258" s="1"/>
      <x:c r="Y258" s="1"/>
      <x:c r="Z258" s="1"/>
    </x:row>
    <x:row r="259">
      <x:c r="A259" s="1"/>
      <x:c r="B259" s="1"/>
      <x:c r="C259" s="1"/>
      <x:c r="D259" s="1"/>
      <x:c r="E259" s="1"/>
      <x:c r="F259" s="1"/>
      <x:c r="G259" s="1"/>
      <x:c r="H259" s="1"/>
      <x:c r="I259" s="1"/>
      <x:c r="J259" s="1"/>
      <x:c r="K259" s="1"/>
      <x:c r="L259" s="1"/>
      <x:c r="M259" s="1"/>
      <x:c r="N259" s="1"/>
      <x:c r="O259" s="1"/>
      <x:c r="P259" s="1"/>
      <x:c r="Q259" s="1"/>
      <x:c r="R259" s="1"/>
      <x:c r="S259" s="1"/>
      <x:c r="T259" s="1"/>
      <x:c r="U259" s="1"/>
      <x:c r="V259" s="1"/>
      <x:c r="W259" s="1"/>
      <x:c r="X259" s="1"/>
      <x:c r="Y259" s="1"/>
      <x:c r="Z259" s="1"/>
    </x:row>
    <x:row r="260">
      <x:c r="A260" s="1"/>
      <x:c r="B260" s="1"/>
      <x:c r="C260" s="1"/>
      <x:c r="D260" s="1"/>
      <x:c r="E260" s="1"/>
      <x:c r="F260" s="1"/>
      <x:c r="G260" s="1"/>
      <x:c r="H260" s="1"/>
      <x:c r="I260" s="1"/>
      <x:c r="J260" s="1"/>
      <x:c r="K260" s="1"/>
      <x:c r="L260" s="1"/>
      <x:c r="M260" s="1"/>
      <x:c r="N260" s="1"/>
      <x:c r="O260" s="1"/>
      <x:c r="P260" s="1"/>
      <x:c r="Q260" s="1"/>
      <x:c r="R260" s="1"/>
      <x:c r="S260" s="1"/>
      <x:c r="T260" s="1"/>
      <x:c r="U260" s="1"/>
      <x:c r="V260" s="1"/>
      <x:c r="W260" s="1"/>
      <x:c r="X260" s="1"/>
      <x:c r="Y260" s="1"/>
      <x:c r="Z260" s="1"/>
    </x:row>
    <x:row r="261">
      <x:c r="A261" s="1"/>
      <x:c r="B261" s="1"/>
      <x:c r="C261" s="1"/>
      <x:c r="D261" s="1"/>
      <x:c r="E261" s="1"/>
      <x:c r="F261" s="1"/>
      <x:c r="G261" s="1"/>
      <x:c r="H261" s="1"/>
      <x:c r="I261" s="1"/>
      <x:c r="J261" s="1"/>
      <x:c r="K261" s="1"/>
      <x:c r="L261" s="1"/>
      <x:c r="M261" s="1"/>
      <x:c r="N261" s="1"/>
      <x:c r="O261" s="1"/>
      <x:c r="P261" s="1"/>
      <x:c r="Q261" s="1"/>
      <x:c r="R261" s="1"/>
      <x:c r="S261" s="1"/>
      <x:c r="T261" s="1"/>
      <x:c r="U261" s="1"/>
      <x:c r="V261" s="1"/>
      <x:c r="W261" s="1"/>
      <x:c r="X261" s="1"/>
      <x:c r="Y261" s="1"/>
      <x:c r="Z261" s="1"/>
    </x:row>
    <x:row r="262">
      <x:c r="A262" s="1"/>
      <x:c r="B262" s="1"/>
      <x:c r="C262" s="1"/>
      <x:c r="D262" s="1"/>
      <x:c r="E262" s="1"/>
      <x:c r="F262" s="1"/>
      <x:c r="G262" s="1"/>
      <x:c r="H262" s="1"/>
      <x:c r="I262" s="1"/>
      <x:c r="J262" s="1"/>
      <x:c r="K262" s="1"/>
      <x:c r="L262" s="1"/>
      <x:c r="M262" s="1"/>
      <x:c r="N262" s="1"/>
      <x:c r="O262" s="1"/>
      <x:c r="P262" s="1"/>
      <x:c r="Q262" s="1"/>
      <x:c r="R262" s="1"/>
      <x:c r="S262" s="1"/>
      <x:c r="T262" s="1"/>
      <x:c r="U262" s="1"/>
      <x:c r="V262" s="1"/>
      <x:c r="W262" s="1"/>
      <x:c r="X262" s="1"/>
      <x:c r="Y262" s="1"/>
      <x:c r="Z262" s="1"/>
    </x:row>
    <x:row r="263">
      <x:c r="A263" s="1"/>
      <x:c r="B263" s="1"/>
      <x:c r="C263" s="1"/>
      <x:c r="D263" s="1"/>
      <x:c r="E263" s="1"/>
      <x:c r="F263" s="1"/>
      <x:c r="G263" s="1"/>
      <x:c r="H263" s="1"/>
      <x:c r="I263" s="1"/>
      <x:c r="J263" s="1"/>
      <x:c r="K263" s="1"/>
      <x:c r="L263" s="1"/>
      <x:c r="M263" s="1"/>
      <x:c r="N263" s="1"/>
      <x:c r="O263" s="1"/>
      <x:c r="P263" s="1"/>
      <x:c r="Q263" s="1"/>
      <x:c r="R263" s="1"/>
      <x:c r="S263" s="1"/>
      <x:c r="T263" s="1"/>
      <x:c r="U263" s="1"/>
      <x:c r="V263" s="1"/>
      <x:c r="W263" s="1"/>
      <x:c r="X263" s="1"/>
      <x:c r="Y263" s="1"/>
      <x:c r="Z263" s="1"/>
    </x:row>
    <x:row r="264">
      <x:c r="A264" s="1"/>
      <x:c r="B264" s="1"/>
      <x:c r="C264" s="1"/>
      <x:c r="D264" s="1"/>
      <x:c r="E264" s="1"/>
      <x:c r="F264" s="1"/>
      <x:c r="G264" s="1"/>
      <x:c r="H264" s="1"/>
      <x:c r="I264" s="1"/>
      <x:c r="J264" s="1"/>
      <x:c r="K264" s="1"/>
      <x:c r="L264" s="1"/>
      <x:c r="M264" s="1"/>
      <x:c r="N264" s="1"/>
      <x:c r="O264" s="1"/>
      <x:c r="P264" s="1"/>
      <x:c r="Q264" s="1"/>
      <x:c r="R264" s="1"/>
      <x:c r="S264" s="1"/>
      <x:c r="T264" s="1"/>
      <x:c r="U264" s="1"/>
      <x:c r="V264" s="1"/>
      <x:c r="W264" s="1"/>
      <x:c r="X264" s="1"/>
      <x:c r="Y264" s="1"/>
      <x:c r="Z264" s="1"/>
    </x:row>
    <x:row r="265">
      <x:c r="A265" s="1"/>
      <x:c r="B265" s="1"/>
      <x:c r="C265" s="1"/>
      <x:c r="D265" s="1"/>
      <x:c r="E265" s="1"/>
      <x:c r="F265" s="1"/>
      <x:c r="G265" s="1"/>
      <x:c r="H265" s="1"/>
      <x:c r="I265" s="1"/>
      <x:c r="J265" s="1"/>
      <x:c r="K265" s="1"/>
      <x:c r="L265" s="1"/>
      <x:c r="M265" s="1"/>
      <x:c r="N265" s="1"/>
      <x:c r="O265" s="1"/>
      <x:c r="P265" s="1"/>
      <x:c r="Q265" s="1"/>
      <x:c r="R265" s="1"/>
      <x:c r="S265" s="1"/>
      <x:c r="T265" s="1"/>
      <x:c r="U265" s="1"/>
      <x:c r="V265" s="1"/>
      <x:c r="W265" s="1"/>
      <x:c r="X265" s="1"/>
      <x:c r="Y265" s="1"/>
      <x:c r="Z265" s="1"/>
    </x:row>
    <x:row r="266">
      <x:c r="A266" s="1"/>
      <x:c r="B266" s="1"/>
      <x:c r="C266" s="1"/>
      <x:c r="D266" s="1"/>
      <x:c r="E266" s="1"/>
      <x:c r="F266" s="1"/>
      <x:c r="G266" s="1"/>
      <x:c r="H266" s="1"/>
      <x:c r="I266" s="1"/>
      <x:c r="J266" s="1"/>
      <x:c r="K266" s="1"/>
      <x:c r="L266" s="1"/>
      <x:c r="M266" s="1"/>
      <x:c r="N266" s="1"/>
      <x:c r="O266" s="1"/>
      <x:c r="P266" s="1"/>
      <x:c r="Q266" s="1"/>
      <x:c r="R266" s="1"/>
      <x:c r="S266" s="1"/>
      <x:c r="T266" s="1"/>
      <x:c r="U266" s="1"/>
      <x:c r="V266" s="1"/>
      <x:c r="W266" s="1"/>
      <x:c r="X266" s="1"/>
      <x:c r="Y266" s="1"/>
      <x:c r="Z266" s="1"/>
    </x:row>
    <x:row r="267">
      <x:c r="A267" s="1"/>
      <x:c r="B267" s="1"/>
      <x:c r="C267" s="1"/>
      <x:c r="D267" s="1"/>
      <x:c r="E267" s="1"/>
      <x:c r="F267" s="1"/>
      <x:c r="G267" s="1"/>
      <x:c r="H267" s="1"/>
      <x:c r="I267" s="1"/>
      <x:c r="J267" s="1"/>
      <x:c r="K267" s="1"/>
      <x:c r="L267" s="1"/>
      <x:c r="M267" s="1"/>
      <x:c r="N267" s="1"/>
      <x:c r="O267" s="1"/>
      <x:c r="P267" s="1"/>
      <x:c r="Q267" s="1"/>
      <x:c r="R267" s="1"/>
      <x:c r="S267" s="1"/>
      <x:c r="T267" s="1"/>
      <x:c r="U267" s="1"/>
      <x:c r="V267" s="1"/>
      <x:c r="W267" s="1"/>
      <x:c r="X267" s="1"/>
      <x:c r="Y267" s="1"/>
      <x:c r="Z267" s="1"/>
    </x:row>
    <x:row r="268">
      <x:c r="A268" s="1"/>
      <x:c r="B268" s="1"/>
      <x:c r="C268" s="1"/>
      <x:c r="D268" s="1"/>
      <x:c r="E268" s="1"/>
      <x:c r="F268" s="1"/>
      <x:c r="G268" s="1"/>
      <x:c r="H268" s="1"/>
      <x:c r="I268" s="1"/>
      <x:c r="J268" s="1"/>
      <x:c r="K268" s="1"/>
      <x:c r="L268" s="1"/>
      <x:c r="M268" s="1"/>
      <x:c r="N268" s="1"/>
      <x:c r="O268" s="1"/>
      <x:c r="P268" s="1"/>
      <x:c r="Q268" s="1"/>
      <x:c r="R268" s="1"/>
      <x:c r="S268" s="1"/>
      <x:c r="T268" s="1"/>
      <x:c r="U268" s="1"/>
      <x:c r="V268" s="1"/>
      <x:c r="W268" s="1"/>
      <x:c r="X268" s="1"/>
      <x:c r="Y268" s="1"/>
      <x:c r="Z268" s="1"/>
    </x:row>
    <x:row r="269">
      <x:c r="A269" s="1"/>
      <x:c r="B269" s="1"/>
      <x:c r="C269" s="1"/>
      <x:c r="D269" s="1"/>
      <x:c r="E269" s="1"/>
      <x:c r="F269" s="1"/>
      <x:c r="G269" s="1"/>
      <x:c r="H269" s="1"/>
      <x:c r="I269" s="1"/>
      <x:c r="J269" s="1"/>
      <x:c r="K269" s="1"/>
      <x:c r="L269" s="1"/>
      <x:c r="M269" s="1"/>
      <x:c r="N269" s="1"/>
      <x:c r="O269" s="1"/>
      <x:c r="P269" s="1"/>
      <x:c r="Q269" s="1"/>
      <x:c r="R269" s="1"/>
      <x:c r="S269" s="1"/>
      <x:c r="T269" s="1"/>
      <x:c r="U269" s="1"/>
      <x:c r="V269" s="1"/>
      <x:c r="W269" s="1"/>
      <x:c r="X269" s="1"/>
      <x:c r="Y269" s="1"/>
      <x:c r="Z269" s="1"/>
    </x:row>
    <x:row r="270">
      <x:c r="A270" s="1"/>
      <x:c r="B270" s="1"/>
      <x:c r="C270" s="1"/>
      <x:c r="D270" s="1"/>
      <x:c r="E270" s="1"/>
      <x:c r="F270" s="1"/>
      <x:c r="G270" s="1"/>
      <x:c r="H270" s="1"/>
      <x:c r="I270" s="1"/>
      <x:c r="J270" s="1"/>
      <x:c r="K270" s="1"/>
      <x:c r="L270" s="1"/>
      <x:c r="M270" s="1"/>
      <x:c r="N270" s="1"/>
      <x:c r="O270" s="1"/>
      <x:c r="P270" s="1"/>
      <x:c r="Q270" s="1"/>
      <x:c r="R270" s="1"/>
      <x:c r="S270" s="1"/>
      <x:c r="T270" s="1"/>
      <x:c r="U270" s="1"/>
      <x:c r="V270" s="1"/>
      <x:c r="W270" s="1"/>
      <x:c r="X270" s="1"/>
      <x:c r="Y270" s="1"/>
      <x:c r="Z270" s="1"/>
    </x:row>
    <x:row r="271">
      <x:c r="A271" s="1"/>
      <x:c r="B271" s="1"/>
      <x:c r="C271" s="1"/>
      <x:c r="D271" s="1"/>
      <x:c r="E271" s="1"/>
      <x:c r="F271" s="1"/>
      <x:c r="G271" s="1"/>
      <x:c r="H271" s="1"/>
      <x:c r="I271" s="1"/>
      <x:c r="J271" s="1"/>
      <x:c r="K271" s="1"/>
      <x:c r="L271" s="1"/>
      <x:c r="M271" s="1"/>
      <x:c r="N271" s="1"/>
      <x:c r="O271" s="1"/>
      <x:c r="P271" s="1"/>
      <x:c r="Q271" s="1"/>
      <x:c r="R271" s="1"/>
      <x:c r="S271" s="1"/>
      <x:c r="T271" s="1"/>
      <x:c r="U271" s="1"/>
      <x:c r="V271" s="1"/>
      <x:c r="W271" s="1"/>
      <x:c r="X271" s="1"/>
      <x:c r="Y271" s="1"/>
      <x:c r="Z271" s="1"/>
    </x:row>
    <x:row r="272">
      <x:c r="A272" s="1"/>
      <x:c r="B272" s="1"/>
      <x:c r="C272" s="1"/>
      <x:c r="D272" s="1"/>
      <x:c r="E272" s="1"/>
      <x:c r="F272" s="1"/>
      <x:c r="G272" s="1"/>
      <x:c r="H272" s="1"/>
      <x:c r="I272" s="1"/>
      <x:c r="J272" s="1"/>
      <x:c r="K272" s="1"/>
      <x:c r="L272" s="1"/>
      <x:c r="M272" s="1"/>
      <x:c r="N272" s="1"/>
      <x:c r="O272" s="1"/>
      <x:c r="P272" s="1"/>
      <x:c r="Q272" s="1"/>
      <x:c r="R272" s="1"/>
      <x:c r="S272" s="1"/>
      <x:c r="T272" s="1"/>
      <x:c r="U272" s="1"/>
      <x:c r="V272" s="1"/>
      <x:c r="W272" s="1"/>
      <x:c r="X272" s="1"/>
      <x:c r="Y272" s="1"/>
      <x:c r="Z272" s="1"/>
    </x:row>
    <x:row r="273">
      <x:c r="A273" s="1"/>
      <x:c r="B273" s="1"/>
      <x:c r="C273" s="1"/>
      <x:c r="D273" s="1"/>
      <x:c r="E273" s="1"/>
      <x:c r="F273" s="1"/>
      <x:c r="G273" s="1"/>
      <x:c r="H273" s="1"/>
      <x:c r="I273" s="1"/>
      <x:c r="J273" s="1"/>
      <x:c r="K273" s="1"/>
      <x:c r="L273" s="1"/>
      <x:c r="M273" s="1"/>
      <x:c r="N273" s="1"/>
      <x:c r="O273" s="1"/>
      <x:c r="P273" s="1"/>
      <x:c r="Q273" s="1"/>
      <x:c r="R273" s="1"/>
      <x:c r="S273" s="1"/>
      <x:c r="T273" s="1"/>
      <x:c r="U273" s="1"/>
      <x:c r="V273" s="1"/>
      <x:c r="W273" s="1"/>
      <x:c r="X273" s="1"/>
      <x:c r="Y273" s="1"/>
      <x:c r="Z273" s="1"/>
    </x:row>
    <x:row r="274">
      <x:c r="A274" s="1"/>
      <x:c r="B274" s="1"/>
      <x:c r="C274" s="1"/>
      <x:c r="D274" s="1"/>
      <x:c r="E274" s="1"/>
      <x:c r="F274" s="1"/>
      <x:c r="G274" s="1"/>
      <x:c r="H274" s="1"/>
      <x:c r="I274" s="1"/>
      <x:c r="J274" s="1"/>
      <x:c r="K274" s="1"/>
      <x:c r="L274" s="1"/>
      <x:c r="M274" s="1"/>
      <x:c r="N274" s="1"/>
      <x:c r="O274" s="1"/>
      <x:c r="P274" s="1"/>
      <x:c r="Q274" s="1"/>
      <x:c r="R274" s="1"/>
      <x:c r="S274" s="1"/>
      <x:c r="T274" s="1"/>
      <x:c r="U274" s="1"/>
      <x:c r="V274" s="1"/>
      <x:c r="W274" s="1"/>
      <x:c r="X274" s="1"/>
      <x:c r="Y274" s="1"/>
      <x:c r="Z274" s="1"/>
    </x:row>
    <x:row r="275">
      <x:c r="A275" s="1"/>
      <x:c r="B275" s="1"/>
      <x:c r="C275" s="1"/>
      <x:c r="D275" s="1"/>
      <x:c r="E275" s="1"/>
      <x:c r="F275" s="1"/>
      <x:c r="G275" s="1"/>
      <x:c r="H275" s="1"/>
      <x:c r="I275" s="1"/>
      <x:c r="J275" s="1"/>
      <x:c r="K275" s="1"/>
      <x:c r="L275" s="1"/>
      <x:c r="M275" s="1"/>
      <x:c r="N275" s="1"/>
      <x:c r="O275" s="1"/>
      <x:c r="P275" s="1"/>
      <x:c r="Q275" s="1"/>
      <x:c r="R275" s="1"/>
      <x:c r="S275" s="1"/>
      <x:c r="T275" s="1"/>
      <x:c r="U275" s="1"/>
      <x:c r="V275" s="1"/>
      <x:c r="W275" s="1"/>
      <x:c r="X275" s="1"/>
      <x:c r="Y275" s="1"/>
      <x:c r="Z275" s="1"/>
    </x:row>
    <x:row r="276">
      <x:c r="A276" s="1"/>
      <x:c r="B276" s="1"/>
      <x:c r="C276" s="1"/>
      <x:c r="D276" s="1"/>
      <x:c r="E276" s="1"/>
      <x:c r="F276" s="1"/>
      <x:c r="G276" s="1"/>
      <x:c r="H276" s="1"/>
      <x:c r="I276" s="1"/>
      <x:c r="J276" s="1"/>
      <x:c r="K276" s="1"/>
      <x:c r="L276" s="1"/>
      <x:c r="M276" s="1"/>
      <x:c r="N276" s="1"/>
      <x:c r="O276" s="1"/>
      <x:c r="P276" s="1"/>
      <x:c r="Q276" s="1"/>
      <x:c r="R276" s="1"/>
      <x:c r="S276" s="1"/>
      <x:c r="T276" s="1"/>
      <x:c r="U276" s="1"/>
      <x:c r="V276" s="1"/>
      <x:c r="W276" s="1"/>
      <x:c r="X276" s="1"/>
      <x:c r="Y276" s="1"/>
      <x:c r="Z276" s="1"/>
    </x:row>
    <x:row r="277">
      <x:c r="A277" s="1"/>
      <x:c r="B277" s="1"/>
      <x:c r="C277" s="1"/>
      <x:c r="D277" s="1"/>
      <x:c r="E277" s="1"/>
      <x:c r="F277" s="1"/>
      <x:c r="G277" s="1"/>
      <x:c r="H277" s="1"/>
      <x:c r="I277" s="1"/>
      <x:c r="J277" s="1"/>
      <x:c r="K277" s="1"/>
      <x:c r="L277" s="1"/>
      <x:c r="M277" s="1"/>
      <x:c r="N277" s="1"/>
      <x:c r="O277" s="1"/>
      <x:c r="P277" s="1"/>
      <x:c r="Q277" s="1"/>
      <x:c r="R277" s="1"/>
      <x:c r="S277" s="1"/>
      <x:c r="T277" s="1"/>
      <x:c r="U277" s="1"/>
      <x:c r="V277" s="1"/>
      <x:c r="W277" s="1"/>
      <x:c r="X277" s="1"/>
      <x:c r="Y277" s="1"/>
      <x:c r="Z277" s="1"/>
    </x:row>
    <x:row r="278">
      <x:c r="A278" s="1"/>
      <x:c r="B278" s="1"/>
      <x:c r="C278" s="1"/>
      <x:c r="D278" s="1"/>
      <x:c r="E278" s="1"/>
      <x:c r="F278" s="1"/>
      <x:c r="G278" s="1"/>
      <x:c r="H278" s="1"/>
      <x:c r="I278" s="1"/>
      <x:c r="J278" s="1"/>
      <x:c r="K278" s="1"/>
      <x:c r="L278" s="1"/>
      <x:c r="M278" s="1"/>
      <x:c r="N278" s="1"/>
      <x:c r="O278" s="1"/>
      <x:c r="P278" s="1"/>
      <x:c r="Q278" s="1"/>
      <x:c r="R278" s="1"/>
      <x:c r="S278" s="1"/>
      <x:c r="T278" s="1"/>
      <x:c r="U278" s="1"/>
      <x:c r="V278" s="1"/>
      <x:c r="W278" s="1"/>
      <x:c r="X278" s="1"/>
      <x:c r="Y278" s="1"/>
      <x:c r="Z278" s="1"/>
    </x:row>
    <x:row r="279">
      <x:c r="A279" s="1"/>
      <x:c r="B279" s="1"/>
      <x:c r="C279" s="1"/>
      <x:c r="D279" s="1"/>
      <x:c r="E279" s="1"/>
      <x:c r="F279" s="1"/>
      <x:c r="G279" s="1"/>
      <x:c r="H279" s="1"/>
      <x:c r="I279" s="1"/>
      <x:c r="J279" s="1"/>
      <x:c r="K279" s="1"/>
      <x:c r="L279" s="1"/>
      <x:c r="M279" s="1"/>
      <x:c r="N279" s="1"/>
      <x:c r="O279" s="1"/>
      <x:c r="P279" s="1"/>
      <x:c r="Q279" s="1"/>
      <x:c r="R279" s="1"/>
      <x:c r="S279" s="1"/>
      <x:c r="T279" s="1"/>
      <x:c r="U279" s="1"/>
      <x:c r="V279" s="1"/>
      <x:c r="W279" s="1"/>
      <x:c r="X279" s="1"/>
      <x:c r="Y279" s="1"/>
      <x:c r="Z279" s="1"/>
    </x:row>
    <x:row r="280">
      <x:c r="A280" s="1"/>
      <x:c r="B280" s="1"/>
      <x:c r="C280" s="1"/>
      <x:c r="D280" s="1"/>
      <x:c r="E280" s="1"/>
      <x:c r="F280" s="1"/>
      <x:c r="G280" s="1"/>
      <x:c r="H280" s="1"/>
      <x:c r="I280" s="1"/>
      <x:c r="J280" s="1"/>
      <x:c r="K280" s="1"/>
      <x:c r="L280" s="1"/>
      <x:c r="M280" s="1"/>
      <x:c r="N280" s="1"/>
      <x:c r="O280" s="1"/>
      <x:c r="P280" s="1"/>
      <x:c r="Q280" s="1"/>
      <x:c r="R280" s="1"/>
      <x:c r="S280" s="1"/>
      <x:c r="T280" s="1"/>
      <x:c r="U280" s="1"/>
      <x:c r="V280" s="1"/>
      <x:c r="W280" s="1"/>
      <x:c r="X280" s="1"/>
      <x:c r="Y280" s="1"/>
      <x:c r="Z280" s="1"/>
    </x:row>
    <x:row r="281">
      <x:c r="A281" s="1"/>
      <x:c r="B281" s="1"/>
      <x:c r="C281" s="1"/>
      <x:c r="D281" s="1"/>
      <x:c r="E281" s="1"/>
      <x:c r="F281" s="1"/>
      <x:c r="G281" s="1"/>
      <x:c r="H281" s="1"/>
      <x:c r="I281" s="1"/>
      <x:c r="J281" s="1"/>
      <x:c r="K281" s="1"/>
      <x:c r="L281" s="1"/>
      <x:c r="M281" s="1"/>
      <x:c r="N281" s="1"/>
      <x:c r="O281" s="1"/>
      <x:c r="P281" s="1"/>
      <x:c r="Q281" s="1"/>
      <x:c r="R281" s="1"/>
      <x:c r="S281" s="1"/>
      <x:c r="T281" s="1"/>
      <x:c r="U281" s="1"/>
      <x:c r="V281" s="1"/>
      <x:c r="W281" s="1"/>
      <x:c r="X281" s="1"/>
      <x:c r="Y281" s="1"/>
      <x:c r="Z281" s="1"/>
    </x:row>
    <x:row r="282">
      <x:c r="A282" s="1"/>
      <x:c r="B282" s="1"/>
      <x:c r="C282" s="1"/>
      <x:c r="D282" s="1"/>
      <x:c r="E282" s="1"/>
      <x:c r="F282" s="1"/>
      <x:c r="G282" s="1"/>
      <x:c r="H282" s="1"/>
      <x:c r="I282" s="1"/>
      <x:c r="J282" s="1"/>
      <x:c r="K282" s="1"/>
      <x:c r="L282" s="1"/>
      <x:c r="M282" s="1"/>
      <x:c r="N282" s="1"/>
      <x:c r="O282" s="1"/>
      <x:c r="P282" s="1"/>
      <x:c r="Q282" s="1"/>
      <x:c r="R282" s="1"/>
      <x:c r="S282" s="1"/>
      <x:c r="T282" s="1"/>
      <x:c r="U282" s="1"/>
      <x:c r="V282" s="1"/>
      <x:c r="W282" s="1"/>
      <x:c r="X282" s="1"/>
      <x:c r="Y282" s="1"/>
      <x:c r="Z282" s="1"/>
    </x:row>
    <x:row r="283">
      <x:c r="A283" s="1"/>
      <x:c r="B283" s="1"/>
      <x:c r="C283" s="1"/>
      <x:c r="D283" s="1"/>
      <x:c r="E283" s="1"/>
      <x:c r="F283" s="1"/>
      <x:c r="G283" s="1"/>
      <x:c r="H283" s="1"/>
      <x:c r="I283" s="1"/>
      <x:c r="J283" s="1"/>
      <x:c r="K283" s="1"/>
      <x:c r="L283" s="1"/>
      <x:c r="M283" s="1"/>
      <x:c r="N283" s="1"/>
      <x:c r="O283" s="1"/>
      <x:c r="P283" s="1"/>
      <x:c r="Q283" s="1"/>
      <x:c r="R283" s="1"/>
      <x:c r="S283" s="1"/>
      <x:c r="T283" s="1"/>
      <x:c r="U283" s="1"/>
      <x:c r="V283" s="1"/>
      <x:c r="W283" s="1"/>
      <x:c r="X283" s="1"/>
      <x:c r="Y283" s="1"/>
      <x:c r="Z283" s="1"/>
    </x:row>
    <x:row r="284">
      <x:c r="A284" s="1"/>
      <x:c r="B284" s="1"/>
      <x:c r="C284" s="1"/>
      <x:c r="D284" s="1"/>
      <x:c r="E284" s="1"/>
      <x:c r="F284" s="1"/>
      <x:c r="G284" s="1"/>
      <x:c r="H284" s="1"/>
      <x:c r="I284" s="1"/>
      <x:c r="J284" s="1"/>
      <x:c r="K284" s="1"/>
      <x:c r="L284" s="1"/>
      <x:c r="M284" s="1"/>
      <x:c r="N284" s="1"/>
      <x:c r="O284" s="1"/>
      <x:c r="P284" s="1"/>
      <x:c r="Q284" s="1"/>
      <x:c r="R284" s="1"/>
      <x:c r="S284" s="1"/>
      <x:c r="T284" s="1"/>
      <x:c r="U284" s="1"/>
      <x:c r="V284" s="1"/>
      <x:c r="W284" s="1"/>
      <x:c r="X284" s="1"/>
      <x:c r="Y284" s="1"/>
      <x:c r="Z284" s="1"/>
    </x:row>
    <x:row r="285">
      <x:c r="A285" s="1"/>
      <x:c r="B285" s="1"/>
      <x:c r="C285" s="1"/>
      <x:c r="D285" s="1"/>
      <x:c r="E285" s="1"/>
      <x:c r="F285" s="1"/>
      <x:c r="G285" s="1"/>
      <x:c r="H285" s="1"/>
      <x:c r="I285" s="1"/>
      <x:c r="J285" s="1"/>
      <x:c r="K285" s="1"/>
      <x:c r="L285" s="1"/>
      <x:c r="M285" s="1"/>
      <x:c r="N285" s="1"/>
      <x:c r="O285" s="1"/>
      <x:c r="P285" s="1"/>
      <x:c r="Q285" s="1"/>
      <x:c r="R285" s="1"/>
      <x:c r="S285" s="1"/>
      <x:c r="T285" s="1"/>
      <x:c r="U285" s="1"/>
      <x:c r="V285" s="1"/>
      <x:c r="W285" s="1"/>
      <x:c r="X285" s="1"/>
      <x:c r="Y285" s="1"/>
      <x:c r="Z285" s="1"/>
    </x:row>
    <x:row r="286">
      <x:c r="A286" s="1"/>
      <x:c r="B286" s="1"/>
      <x:c r="C286" s="1"/>
      <x:c r="D286" s="1"/>
      <x:c r="E286" s="1"/>
      <x:c r="F286" s="1"/>
      <x:c r="G286" s="1"/>
      <x:c r="H286" s="1"/>
      <x:c r="I286" s="1"/>
      <x:c r="J286" s="1"/>
      <x:c r="K286" s="1"/>
      <x:c r="L286" s="1"/>
      <x:c r="M286" s="1"/>
      <x:c r="N286" s="1"/>
      <x:c r="O286" s="1"/>
      <x:c r="P286" s="1"/>
      <x:c r="Q286" s="1"/>
      <x:c r="R286" s="1"/>
      <x:c r="S286" s="1"/>
      <x:c r="T286" s="1"/>
      <x:c r="U286" s="1"/>
      <x:c r="V286" s="1"/>
      <x:c r="W286" s="1"/>
      <x:c r="X286" s="1"/>
      <x:c r="Y286" s="1"/>
      <x:c r="Z286" s="1"/>
    </x:row>
    <x:row r="287">
      <x:c r="A287" s="1"/>
      <x:c r="B287" s="1"/>
      <x:c r="C287" s="1"/>
      <x:c r="D287" s="1"/>
      <x:c r="E287" s="1"/>
      <x:c r="F287" s="1"/>
      <x:c r="G287" s="1"/>
      <x:c r="H287" s="1"/>
      <x:c r="I287" s="1"/>
      <x:c r="J287" s="1"/>
      <x:c r="K287" s="1"/>
      <x:c r="L287" s="1"/>
      <x:c r="M287" s="1"/>
      <x:c r="N287" s="1"/>
      <x:c r="O287" s="1"/>
      <x:c r="P287" s="1"/>
      <x:c r="Q287" s="1"/>
      <x:c r="R287" s="1"/>
      <x:c r="S287" s="1"/>
      <x:c r="T287" s="1"/>
      <x:c r="U287" s="1"/>
      <x:c r="V287" s="1"/>
      <x:c r="W287" s="1"/>
      <x:c r="X287" s="1"/>
      <x:c r="Y287" s="1"/>
      <x:c r="Z287" s="1"/>
    </x:row>
    <x:row r="288">
      <x:c r="A288" s="1"/>
      <x:c r="B288" s="1"/>
      <x:c r="C288" s="1"/>
      <x:c r="D288" s="1"/>
      <x:c r="E288" s="1"/>
      <x:c r="F288" s="1"/>
      <x:c r="G288" s="1"/>
      <x:c r="H288" s="1"/>
      <x:c r="I288" s="1"/>
      <x:c r="J288" s="1"/>
      <x:c r="K288" s="1"/>
      <x:c r="L288" s="1"/>
      <x:c r="M288" s="1"/>
      <x:c r="N288" s="1"/>
      <x:c r="O288" s="1"/>
      <x:c r="P288" s="1"/>
      <x:c r="Q288" s="1"/>
      <x:c r="R288" s="1"/>
      <x:c r="S288" s="1"/>
      <x:c r="T288" s="1"/>
      <x:c r="U288" s="1"/>
      <x:c r="V288" s="1"/>
      <x:c r="W288" s="1"/>
      <x:c r="X288" s="1"/>
      <x:c r="Y288" s="1"/>
      <x:c r="Z288" s="1"/>
    </x:row>
    <x:row r="289">
      <x:c r="A289" s="1"/>
      <x:c r="B289" s="1"/>
      <x:c r="C289" s="1"/>
      <x:c r="D289" s="1"/>
      <x:c r="E289" s="1"/>
      <x:c r="F289" s="1"/>
      <x:c r="G289" s="1"/>
      <x:c r="H289" s="1"/>
      <x:c r="I289" s="1"/>
      <x:c r="J289" s="1"/>
      <x:c r="K289" s="1"/>
      <x:c r="L289" s="1"/>
      <x:c r="M289" s="1"/>
      <x:c r="N289" s="1"/>
      <x:c r="O289" s="1"/>
      <x:c r="P289" s="1"/>
      <x:c r="Q289" s="1"/>
      <x:c r="R289" s="1"/>
      <x:c r="S289" s="1"/>
      <x:c r="T289" s="1"/>
      <x:c r="U289" s="1"/>
      <x:c r="V289" s="1"/>
      <x:c r="W289" s="1"/>
      <x:c r="X289" s="1"/>
      <x:c r="Y289" s="1"/>
      <x:c r="Z289" s="1"/>
    </x:row>
    <x:row r="290">
      <x:c r="A290" s="1"/>
      <x:c r="B290" s="1"/>
      <x:c r="C290" s="1"/>
      <x:c r="D290" s="1"/>
      <x:c r="E290" s="1"/>
      <x:c r="F290" s="1"/>
      <x:c r="G290" s="1"/>
      <x:c r="H290" s="1"/>
      <x:c r="I290" s="1"/>
      <x:c r="J290" s="1"/>
      <x:c r="K290" s="1"/>
      <x:c r="L290" s="1"/>
      <x:c r="M290" s="1"/>
      <x:c r="N290" s="1"/>
      <x:c r="O290" s="1"/>
      <x:c r="P290" s="1"/>
      <x:c r="Q290" s="1"/>
      <x:c r="R290" s="1"/>
      <x:c r="S290" s="1"/>
      <x:c r="T290" s="1"/>
      <x:c r="U290" s="1"/>
      <x:c r="V290" s="1"/>
      <x:c r="W290" s="1"/>
      <x:c r="X290" s="1"/>
      <x:c r="Y290" s="1"/>
      <x:c r="Z290" s="1"/>
    </x:row>
    <x:row r="291">
      <x:c r="A291" s="1"/>
      <x:c r="B291" s="1"/>
      <x:c r="C291" s="1"/>
      <x:c r="D291" s="1"/>
      <x:c r="E291" s="1"/>
      <x:c r="F291" s="1"/>
      <x:c r="G291" s="1"/>
      <x:c r="H291" s="1"/>
      <x:c r="I291" s="1"/>
      <x:c r="J291" s="1"/>
      <x:c r="K291" s="1"/>
      <x:c r="L291" s="1"/>
      <x:c r="M291" s="1"/>
      <x:c r="N291" s="1"/>
      <x:c r="O291" s="1"/>
      <x:c r="P291" s="1"/>
      <x:c r="Q291" s="1"/>
      <x:c r="R291" s="1"/>
      <x:c r="S291" s="1"/>
      <x:c r="T291" s="1"/>
      <x:c r="U291" s="1"/>
      <x:c r="V291" s="1"/>
      <x:c r="W291" s="1"/>
      <x:c r="X291" s="1"/>
      <x:c r="Y291" s="1"/>
      <x:c r="Z291" s="1"/>
    </x:row>
    <x:row r="292">
      <x:c r="A292" s="1"/>
      <x:c r="B292" s="1"/>
      <x:c r="C292" s="1"/>
      <x:c r="D292" s="1"/>
      <x:c r="E292" s="1"/>
      <x:c r="F292" s="1"/>
      <x:c r="G292" s="1"/>
      <x:c r="H292" s="1"/>
      <x:c r="I292" s="1"/>
      <x:c r="J292" s="1"/>
      <x:c r="K292" s="1"/>
      <x:c r="L292" s="1"/>
      <x:c r="M292" s="1"/>
      <x:c r="N292" s="1"/>
      <x:c r="O292" s="1"/>
      <x:c r="P292" s="1"/>
      <x:c r="Q292" s="1"/>
      <x:c r="R292" s="1"/>
      <x:c r="S292" s="1"/>
      <x:c r="T292" s="1"/>
      <x:c r="U292" s="1"/>
      <x:c r="V292" s="1"/>
      <x:c r="W292" s="1"/>
      <x:c r="X292" s="1"/>
      <x:c r="Y292" s="1"/>
      <x:c r="Z292" s="1"/>
    </x:row>
    <x:row r="293">
      <x:c r="A293" s="1"/>
      <x:c r="B293" s="1"/>
      <x:c r="C293" s="1"/>
      <x:c r="D293" s="1"/>
      <x:c r="E293" s="1"/>
      <x:c r="F293" s="1"/>
      <x:c r="G293" s="1"/>
      <x:c r="H293" s="1"/>
      <x:c r="I293" s="1"/>
      <x:c r="J293" s="1"/>
      <x:c r="K293" s="1"/>
      <x:c r="L293" s="1"/>
      <x:c r="M293" s="1"/>
      <x:c r="N293" s="1"/>
      <x:c r="O293" s="1"/>
      <x:c r="P293" s="1"/>
      <x:c r="Q293" s="1"/>
      <x:c r="R293" s="1"/>
      <x:c r="S293" s="1"/>
      <x:c r="T293" s="1"/>
      <x:c r="U293" s="1"/>
      <x:c r="V293" s="1"/>
      <x:c r="W293" s="1"/>
      <x:c r="X293" s="1"/>
      <x:c r="Y293" s="1"/>
      <x:c r="Z293" s="1"/>
    </x:row>
    <x:row r="294">
      <x:c r="A294" s="1"/>
      <x:c r="B294" s="1"/>
      <x:c r="C294" s="1"/>
      <x:c r="D294" s="1"/>
      <x:c r="E294" s="1"/>
      <x:c r="F294" s="1"/>
      <x:c r="G294" s="1"/>
      <x:c r="H294" s="1"/>
      <x:c r="I294" s="1"/>
      <x:c r="J294" s="1"/>
      <x:c r="K294" s="1"/>
      <x:c r="L294" s="1"/>
      <x:c r="M294" s="1"/>
      <x:c r="N294" s="1"/>
      <x:c r="O294" s="1"/>
      <x:c r="P294" s="1"/>
      <x:c r="Q294" s="1"/>
      <x:c r="R294" s="1"/>
      <x:c r="S294" s="1"/>
      <x:c r="T294" s="1"/>
      <x:c r="U294" s="1"/>
      <x:c r="V294" s="1"/>
      <x:c r="W294" s="1"/>
      <x:c r="X294" s="1"/>
      <x:c r="Y294" s="1"/>
      <x:c r="Z294" s="1"/>
    </x:row>
    <x:row r="295">
      <x:c r="A295" s="1"/>
      <x:c r="B295" s="1"/>
      <x:c r="C295" s="1"/>
      <x:c r="D295" s="1"/>
      <x:c r="E295" s="1"/>
      <x:c r="F295" s="1"/>
      <x:c r="G295" s="1"/>
      <x:c r="H295" s="1"/>
      <x:c r="I295" s="1"/>
      <x:c r="J295" s="1"/>
      <x:c r="K295" s="1"/>
      <x:c r="L295" s="1"/>
      <x:c r="M295" s="1"/>
      <x:c r="N295" s="1"/>
      <x:c r="O295" s="1"/>
      <x:c r="P295" s="1"/>
      <x:c r="Q295" s="1"/>
      <x:c r="R295" s="1"/>
      <x:c r="S295" s="1"/>
      <x:c r="T295" s="1"/>
      <x:c r="U295" s="1"/>
      <x:c r="V295" s="1"/>
      <x:c r="W295" s="1"/>
      <x:c r="X295" s="1"/>
      <x:c r="Y295" s="1"/>
      <x:c r="Z295" s="1"/>
    </x:row>
    <x:row r="296">
      <x:c r="A296" s="1"/>
      <x:c r="B296" s="1"/>
      <x:c r="C296" s="1"/>
      <x:c r="D296" s="1"/>
      <x:c r="E296" s="1"/>
      <x:c r="F296" s="1"/>
      <x:c r="G296" s="1"/>
      <x:c r="H296" s="1"/>
      <x:c r="I296" s="1"/>
      <x:c r="J296" s="1"/>
      <x:c r="K296" s="1"/>
      <x:c r="L296" s="1"/>
      <x:c r="M296" s="1"/>
      <x:c r="N296" s="1"/>
      <x:c r="O296" s="1"/>
      <x:c r="P296" s="1"/>
      <x:c r="Q296" s="1"/>
      <x:c r="R296" s="1"/>
      <x:c r="S296" s="1"/>
      <x:c r="T296" s="1"/>
      <x:c r="U296" s="1"/>
      <x:c r="V296" s="1"/>
      <x:c r="W296" s="1"/>
      <x:c r="X296" s="1"/>
      <x:c r="Y296" s="1"/>
      <x:c r="Z296" s="1"/>
    </x:row>
    <x:row r="297">
      <x:c r="A297" s="1"/>
      <x:c r="B297" s="1"/>
      <x:c r="C297" s="1"/>
      <x:c r="D297" s="1"/>
      <x:c r="E297" s="1"/>
      <x:c r="F297" s="1"/>
      <x:c r="G297" s="1"/>
      <x:c r="H297" s="1"/>
      <x:c r="I297" s="1"/>
      <x:c r="J297" s="1"/>
      <x:c r="K297" s="1"/>
      <x:c r="L297" s="1"/>
      <x:c r="M297" s="1"/>
      <x:c r="N297" s="1"/>
      <x:c r="O297" s="1"/>
      <x:c r="P297" s="1"/>
      <x:c r="Q297" s="1"/>
      <x:c r="R297" s="1"/>
      <x:c r="S297" s="1"/>
      <x:c r="T297" s="1"/>
      <x:c r="U297" s="1"/>
      <x:c r="V297" s="1"/>
      <x:c r="W297" s="1"/>
      <x:c r="X297" s="1"/>
      <x:c r="Y297" s="1"/>
      <x:c r="Z297" s="1"/>
    </x:row>
    <x:row r="298">
      <x:c r="A298" s="1"/>
      <x:c r="B298" s="1"/>
      <x:c r="C298" s="1"/>
      <x:c r="D298" s="1"/>
      <x:c r="E298" s="1"/>
      <x:c r="F298" s="1"/>
      <x:c r="G298" s="1"/>
      <x:c r="H298" s="1"/>
      <x:c r="I298" s="1"/>
      <x:c r="J298" s="1"/>
      <x:c r="K298" s="1"/>
      <x:c r="L298" s="1"/>
      <x:c r="M298" s="1"/>
      <x:c r="N298" s="1"/>
      <x:c r="O298" s="1"/>
      <x:c r="P298" s="1"/>
      <x:c r="Q298" s="1"/>
      <x:c r="R298" s="1"/>
      <x:c r="S298" s="1"/>
      <x:c r="T298" s="1"/>
      <x:c r="U298" s="1"/>
      <x:c r="V298" s="1"/>
      <x:c r="W298" s="1"/>
      <x:c r="X298" s="1"/>
      <x:c r="Y298" s="1"/>
      <x:c r="Z298" s="1"/>
    </x:row>
    <x:row r="299">
      <x:c r="A299" s="1"/>
      <x:c r="B299" s="1"/>
      <x:c r="C299" s="1"/>
      <x:c r="D299" s="1"/>
      <x:c r="E299" s="1"/>
      <x:c r="F299" s="1"/>
      <x:c r="G299" s="1"/>
      <x:c r="H299" s="1"/>
      <x:c r="I299" s="1"/>
      <x:c r="J299" s="1"/>
      <x:c r="K299" s="1"/>
      <x:c r="L299" s="1"/>
      <x:c r="M299" s="1"/>
      <x:c r="N299" s="1"/>
      <x:c r="O299" s="1"/>
      <x:c r="P299" s="1"/>
      <x:c r="Q299" s="1"/>
      <x:c r="R299" s="1"/>
      <x:c r="S299" s="1"/>
      <x:c r="T299" s="1"/>
      <x:c r="U299" s="1"/>
      <x:c r="V299" s="1"/>
      <x:c r="W299" s="1"/>
      <x:c r="X299" s="1"/>
      <x:c r="Y299" s="1"/>
      <x:c r="Z299" s="1"/>
    </x:row>
    <x:row r="300">
      <x:c r="A300" s="1"/>
      <x:c r="B300" s="1"/>
      <x:c r="C300" s="1"/>
      <x:c r="D300" s="1"/>
      <x:c r="E300" s="1"/>
      <x:c r="F300" s="1"/>
      <x:c r="G300" s="1"/>
      <x:c r="H300" s="1"/>
      <x:c r="I300" s="1"/>
      <x:c r="J300" s="1"/>
      <x:c r="K300" s="1"/>
      <x:c r="L300" s="1"/>
      <x:c r="M300" s="1"/>
      <x:c r="N300" s="1"/>
      <x:c r="O300" s="1"/>
      <x:c r="P300" s="1"/>
      <x:c r="Q300" s="1"/>
      <x:c r="R300" s="1"/>
      <x:c r="S300" s="1"/>
      <x:c r="T300" s="1"/>
      <x:c r="U300" s="1"/>
      <x:c r="V300" s="1"/>
      <x:c r="W300" s="1"/>
      <x:c r="X300" s="1"/>
      <x:c r="Y300" s="1"/>
      <x:c r="Z300" s="1"/>
    </x:row>
  </x:sheetData>
  <x:mergeCells>
    <x:mergeCell ref="A1:P1"/>
    <x:mergeCell ref="A2:P3"/>
  </x:mergeCells>
  <x:pageMargins left="0.7" right="0.7" top="0.75" bottom="0.75" header="0.3" footer="0.3"/>
  <x:tableParts count="1">
    <x:tablePart xmlns:r="http://schemas.openxmlformats.org/officeDocument/2006/relationships" r:id="R792dd9954f24418d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8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8" hidden="0" customWidth="1"/>
    <x:col min="14" max="14" width="18" hidden="0" customWidth="1"/>
    <x:col min="15" max="15" width="3" hidden="0" customWidth="1"/>
    <x:col min="16" max="16" width="12" hidden="0" customWidth="1"/>
    <x:col min="17" max="17" width="16" hidden="0" customWidth="1"/>
    <x:col min="18" max="18" width="16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</x:cols>
  <x:sheetData>
    <x:row r="1" ht="30" customHeight="1">
      <x:c r="A1" s="4" t="str">
        <x:v>Modelo principal: variación mensual de la TRM</x:v>
      </x:c>
      <x:c r="B1" s="4" t="str">
        <x:v>Modelo principal: variación mensual de la TRM</x:v>
      </x:c>
      <x:c r="C1" s="4" t="str">
        <x:v>Modelo principal: variación mensual de la TRM</x:v>
      </x:c>
      <x:c r="D1" s="4" t="str">
        <x:v>Modelo principal: variación mensual de la TRM</x:v>
      </x:c>
      <x:c r="E1" s="4" t="str">
        <x:v>Modelo principal: variación mensual de la TRM</x:v>
      </x:c>
      <x:c r="F1" s="4" t="str">
        <x:v>Modelo principal: variación mensual de la TRM</x:v>
      </x:c>
      <x:c r="G1" s="4" t="str">
        <x:v>Modelo principal: variación mensual de la TRM</x:v>
      </x:c>
      <x:c r="H1" s="4" t="str">
        <x:v>Modelo principal: variación mensual de la TRM</x:v>
      </x:c>
      <x:c r="I1" s="4" t="str">
        <x:v>Modelo principal: variación mensual de la TRM</x:v>
      </x:c>
      <x:c r="J1" s="4" t="str">
        <x:v>Modelo principal: variación mensual de la TRM</x:v>
      </x:c>
      <x:c r="K1" s="4" t="str">
        <x:v>Modelo principal: variación mensual de la TRM</x:v>
      </x:c>
      <x:c r="L1" s="4" t="str">
        <x:v>Modelo principal: variación mensual de la TRM</x:v>
      </x:c>
      <x:c r="M1" s="4" t="str">
        <x:v>Modelo principal: variación mensual de la TRM</x:v>
      </x:c>
      <x:c r="N1" s="4" t="str">
        <x:v>Modelo principal: variación mensual de la TRM</x:v>
      </x:c>
      <x:c r="O1" s="4" t="str">
        <x:v>Modelo principal: variación mensual de la TRM</x:v>
      </x:c>
      <x:c r="P1" s="4" t="str">
        <x:v>Modelo principal: variación mensual de la TRM</x:v>
      </x:c>
      <x:c r="Q1" s="4" t="str">
        <x:v>Modelo principal: variación mensual de la TRM</x:v>
      </x:c>
      <x:c r="R1" s="4" t="str">
        <x:v>Modelo principal: variación mensual de la TRM</x:v>
      </x:c>
      <x:c r="S1" s="4" t="str">
        <x:v>Modelo principal: variación mensual de la TRM</x:v>
      </x:c>
      <x:c r="T1" s="4" t="str">
        <x:v>Modelo principal: variación mensual de la TRM</x:v>
      </x:c>
      <x:c r="U1" s="4" t="str">
        <x:v>Modelo principal: variación mensual de la TRM</x:v>
      </x:c>
      <x:c r="V1" s="4" t="str">
        <x:v>Modelo principal: variación mensual de la TRM</x:v>
      </x:c>
      <x:c r="W1" s="4" t="str">
        <x:v>Modelo principal: variación mensual de la TRM</x:v>
      </x:c>
      <x:c r="X1" s="1"/>
      <x:c r="Y1" s="1"/>
      <x:c r="Z1" s="1"/>
    </x:row>
    <x:row r="2" ht="36" customHeight="1">
      <x:c r="A2" s="7" t="str">
        <x:v>OLS con errores estándar HAC (6 meses). BIC seleccionó cero rezagos adicionales de Δln(TRM). Brent, dólar amplio y VIX entran en t; remesas, diferencial de tasas y déficit fiscal entran con un mes de rezago.</x:v>
      </x:c>
      <x:c r="B2" s="7" t="str">
        <x:v>OLS con errores estándar HAC (6 meses). BIC seleccionó cero rezagos adicionales de Δln(TRM). Brent, dólar amplio y VIX entran en t; remesas, diferencial de tasas y déficit fiscal entran con un mes de rezago.</x:v>
      </x:c>
      <x:c r="C2" s="7" t="str">
        <x:v>OLS con errores estándar HAC (6 meses). BIC seleccionó cero rezagos adicionales de Δln(TRM). Brent, dólar amplio y VIX entran en t; remesas, diferencial de tasas y déficit fiscal entran con un mes de rezago.</x:v>
      </x:c>
      <x:c r="D2" s="7" t="str">
        <x:v>OLS con errores estándar HAC (6 meses). BIC seleccionó cero rezagos adicionales de Δln(TRM). Brent, dólar amplio y VIX entran en t; remesas, diferencial de tasas y déficit fiscal entran con un mes de rezago.</x:v>
      </x:c>
      <x:c r="E2" s="7" t="str">
        <x:v>OLS con errores estándar HAC (6 meses). BIC seleccionó cero rezagos adicionales de Δln(TRM). Brent, dólar amplio y VIX entran en t; remesas, diferencial de tasas y déficit fiscal entran con un mes de rezago.</x:v>
      </x:c>
      <x:c r="F2" s="7" t="str">
        <x:v>OLS con errores estándar HAC (6 meses). BIC seleccionó cero rezagos adicionales de Δln(TRM). Brent, dólar amplio y VIX entran en t; remesas, diferencial de tasas y déficit fiscal entran con un mes de rezago.</x:v>
      </x:c>
      <x:c r="G2" s="7" t="str">
        <x:v>OLS con errores estándar HAC (6 meses). BIC seleccionó cero rezagos adicionales de Δln(TRM). Brent, dólar amplio y VIX entran en t; remesas, diferencial de tasas y déficit fiscal entran con un mes de rezago.</x:v>
      </x:c>
      <x:c r="H2" s="7" t="str">
        <x:v>OLS con errores estándar HAC (6 meses). BIC seleccionó cero rezagos adicionales de Δln(TRM). Brent, dólar amplio y VIX entran en t; remesas, diferencial de tasas y déficit fiscal entran con un mes de rezago.</x:v>
      </x:c>
      <x:c r="I2" s="7" t="str">
        <x:v>OLS con errores estándar HAC (6 meses). BIC seleccionó cero rezagos adicionales de Δln(TRM). Brent, dólar amplio y VIX entran en t; remesas, diferencial de tasas y déficit fiscal entran con un mes de rezago.</x:v>
      </x:c>
      <x:c r="J2" s="7" t="str">
        <x:v>OLS con errores estándar HAC (6 meses). BIC seleccionó cero rezagos adicionales de Δln(TRM). Brent, dólar amplio y VIX entran en t; remesas, diferencial de tasas y déficit fiscal entran con un mes de rezago.</x:v>
      </x:c>
      <x:c r="K2" s="7" t="str">
        <x:v>OLS con errores estándar HAC (6 meses). BIC seleccionó cero rezagos adicionales de Δln(TRM). Brent, dólar amplio y VIX entran en t; remesas, diferencial de tasas y déficit fiscal entran con un mes de rezago.</x:v>
      </x:c>
      <x:c r="L2" s="7" t="str">
        <x:v>OLS con errores estándar HAC (6 meses). BIC seleccionó cero rezagos adicionales de Δln(TRM). Brent, dólar amplio y VIX entran en t; remesas, diferencial de tasas y déficit fiscal entran con un mes de rezago.</x:v>
      </x:c>
      <x:c r="M2" s="7" t="str">
        <x:v>OLS con errores estándar HAC (6 meses). BIC seleccionó cero rezagos adicionales de Δln(TRM). Brent, dólar amplio y VIX entran en t; remesas, diferencial de tasas y déficit fiscal entran con un mes de rezago.</x:v>
      </x:c>
      <x:c r="N2" s="7" t="str">
        <x:v>OLS con errores estándar HAC (6 meses). BIC seleccionó cero rezagos adicionales de Δln(TRM). Brent, dólar amplio y VIX entran en t; remesas, diferencial de tasas y déficit fiscal entran con un mes de rezago.</x:v>
      </x:c>
      <x:c r="O2" s="7" t="str">
        <x:v>OLS con errores estándar HAC (6 meses). BIC seleccionó cero rezagos adicionales de Δln(TRM). Brent, dólar amplio y VIX entran en t; remesas, diferencial de tasas y déficit fiscal entran con un mes de rezago.</x:v>
      </x:c>
      <x:c r="P2" s="7" t="str">
        <x:v>OLS con errores estándar HAC (6 meses). BIC seleccionó cero rezagos adicionales de Δln(TRM). Brent, dólar amplio y VIX entran en t; remesas, diferencial de tasas y déficit fiscal entran con un mes de rezago.</x:v>
      </x:c>
      <x:c r="Q2" s="7" t="str">
        <x:v>OLS con errores estándar HAC (6 meses). BIC seleccionó cero rezagos adicionales de Δln(TRM). Brent, dólar amplio y VIX entran en t; remesas, diferencial de tasas y déficit fiscal entran con un mes de rezago.</x:v>
      </x:c>
      <x:c r="R2" s="7" t="str">
        <x:v>OLS con errores estándar HAC (6 meses). BIC seleccionó cero rezagos adicionales de Δln(TRM). Brent, dólar amplio y VIX entran en t; remesas, diferencial de tasas y déficit fiscal entran con un mes de rezago.</x:v>
      </x:c>
      <x:c r="S2" s="7" t="str">
        <x:v>OLS con errores estándar HAC (6 meses). BIC seleccionó cero rezagos adicionales de Δln(TRM). Brent, dólar amplio y VIX entran en t; remesas, diferencial de tasas y déficit fiscal entran con un mes de rezago.</x:v>
      </x:c>
      <x:c r="T2" s="7" t="str">
        <x:v>OLS con errores estándar HAC (6 meses). BIC seleccionó cero rezagos adicionales de Δln(TRM). Brent, dólar amplio y VIX entran en t; remesas, diferencial de tasas y déficit fiscal entran con un mes de rezago.</x:v>
      </x:c>
      <x:c r="U2" s="7" t="str">
        <x:v>OLS con errores estándar HAC (6 meses). BIC seleccionó cero rezagos adicionales de Δln(TRM). Brent, dólar amplio y VIX entran en t; remesas, diferencial de tasas y déficit fiscal entran con un mes de rezago.</x:v>
      </x:c>
      <x:c r="V2" s="7" t="str">
        <x:v>OLS con errores estándar HAC (6 meses). BIC seleccionó cero rezagos adicionales de Δln(TRM). Brent, dólar amplio y VIX entran en t; remesas, diferencial de tasas y déficit fiscal entran con un mes de rezago.</x:v>
      </x:c>
      <x:c r="W2" s="7" t="str">
        <x:v>OLS con errores estándar HAC (6 meses). BIC seleccionó cero rezagos adicionales de Δln(TRM). Brent, dólar amplio y VIX entran en t; remesas, diferencial de tasas y déficit fiscal entran con un mes de rezago.</x:v>
      </x:c>
      <x:c r="X2" s="1"/>
      <x:c r="Y2" s="1"/>
      <x:c r="Z2" s="1"/>
    </x:row>
    <x:row r="3" ht="36" customHeight="1">
      <x:c r="A3" s="7" t="str">
        <x:v>OLS con errores estándar HAC (6 meses). BIC seleccionó cero rezagos adicionales de Δln(TRM). Brent, dólar amplio y VIX entran en t; remesas, diferencial de tasas y déficit fiscal entran con un mes de rezago.</x:v>
      </x:c>
      <x:c r="B3" s="7" t="str">
        <x:v>OLS con errores estándar HAC (6 meses). BIC seleccionó cero rezagos adicionales de Δln(TRM). Brent, dólar amplio y VIX entran en t; remesas, diferencial de tasas y déficit fiscal entran con un mes de rezago.</x:v>
      </x:c>
      <x:c r="C3" s="7" t="str">
        <x:v>OLS con errores estándar HAC (6 meses). BIC seleccionó cero rezagos adicionales de Δln(TRM). Brent, dólar amplio y VIX entran en t; remesas, diferencial de tasas y déficit fiscal entran con un mes de rezago.</x:v>
      </x:c>
      <x:c r="D3" s="7" t="str">
        <x:v>OLS con errores estándar HAC (6 meses). BIC seleccionó cero rezagos adicionales de Δln(TRM). Brent, dólar amplio y VIX entran en t; remesas, diferencial de tasas y déficit fiscal entran con un mes de rezago.</x:v>
      </x:c>
      <x:c r="E3" s="7" t="str">
        <x:v>OLS con errores estándar HAC (6 meses). BIC seleccionó cero rezagos adicionales de Δln(TRM). Brent, dólar amplio y VIX entran en t; remesas, diferencial de tasas y déficit fiscal entran con un mes de rezago.</x:v>
      </x:c>
      <x:c r="F3" s="7" t="str">
        <x:v>OLS con errores estándar HAC (6 meses). BIC seleccionó cero rezagos adicionales de Δln(TRM). Brent, dólar amplio y VIX entran en t; remesas, diferencial de tasas y déficit fiscal entran con un mes de rezago.</x:v>
      </x:c>
      <x:c r="G3" s="7" t="str">
        <x:v>OLS con errores estándar HAC (6 meses). BIC seleccionó cero rezagos adicionales de Δln(TRM). Brent, dólar amplio y VIX entran en t; remesas, diferencial de tasas y déficit fiscal entran con un mes de rezago.</x:v>
      </x:c>
      <x:c r="H3" s="7" t="str">
        <x:v>OLS con errores estándar HAC (6 meses). BIC seleccionó cero rezagos adicionales de Δln(TRM). Brent, dólar amplio y VIX entran en t; remesas, diferencial de tasas y déficit fiscal entran con un mes de rezago.</x:v>
      </x:c>
      <x:c r="I3" s="7" t="str">
        <x:v>OLS con errores estándar HAC (6 meses). BIC seleccionó cero rezagos adicionales de Δln(TRM). Brent, dólar amplio y VIX entran en t; remesas, diferencial de tasas y déficit fiscal entran con un mes de rezago.</x:v>
      </x:c>
      <x:c r="J3" s="7" t="str">
        <x:v>OLS con errores estándar HAC (6 meses). BIC seleccionó cero rezagos adicionales de Δln(TRM). Brent, dólar amplio y VIX entran en t; remesas, diferencial de tasas y déficit fiscal entran con un mes de rezago.</x:v>
      </x:c>
      <x:c r="K3" s="7" t="str">
        <x:v>OLS con errores estándar HAC (6 meses). BIC seleccionó cero rezagos adicionales de Δln(TRM). Brent, dólar amplio y VIX entran en t; remesas, diferencial de tasas y déficit fiscal entran con un mes de rezago.</x:v>
      </x:c>
      <x:c r="L3" s="7" t="str">
        <x:v>OLS con errores estándar HAC (6 meses). BIC seleccionó cero rezagos adicionales de Δln(TRM). Brent, dólar amplio y VIX entran en t; remesas, diferencial de tasas y déficit fiscal entran con un mes de rezago.</x:v>
      </x:c>
      <x:c r="M3" s="7" t="str">
        <x:v>OLS con errores estándar HAC (6 meses). BIC seleccionó cero rezagos adicionales de Δln(TRM). Brent, dólar amplio y VIX entran en t; remesas, diferencial de tasas y déficit fiscal entran con un mes de rezago.</x:v>
      </x:c>
      <x:c r="N3" s="7" t="str">
        <x:v>OLS con errores estándar HAC (6 meses). BIC seleccionó cero rezagos adicionales de Δln(TRM). Brent, dólar amplio y VIX entran en t; remesas, diferencial de tasas y déficit fiscal entran con un mes de rezago.</x:v>
      </x:c>
      <x:c r="O3" s="7" t="str">
        <x:v>OLS con errores estándar HAC (6 meses). BIC seleccionó cero rezagos adicionales de Δln(TRM). Brent, dólar amplio y VIX entran en t; remesas, diferencial de tasas y déficit fiscal entran con un mes de rezago.</x:v>
      </x:c>
      <x:c r="P3" s="7" t="str">
        <x:v>OLS con errores estándar HAC (6 meses). BIC seleccionó cero rezagos adicionales de Δln(TRM). Brent, dólar amplio y VIX entran en t; remesas, diferencial de tasas y déficit fiscal entran con un mes de rezago.</x:v>
      </x:c>
      <x:c r="Q3" s="7" t="str">
        <x:v>OLS con errores estándar HAC (6 meses). BIC seleccionó cero rezagos adicionales de Δln(TRM). Brent, dólar amplio y VIX entran en t; remesas, diferencial de tasas y déficit fiscal entran con un mes de rezago.</x:v>
      </x:c>
      <x:c r="R3" s="7" t="str">
        <x:v>OLS con errores estándar HAC (6 meses). BIC seleccionó cero rezagos adicionales de Δln(TRM). Brent, dólar amplio y VIX entran en t; remesas, diferencial de tasas y déficit fiscal entran con un mes de rezago.</x:v>
      </x:c>
      <x:c r="S3" s="7" t="str">
        <x:v>OLS con errores estándar HAC (6 meses). BIC seleccionó cero rezagos adicionales de Δln(TRM). Brent, dólar amplio y VIX entran en t; remesas, diferencial de tasas y déficit fiscal entran con un mes de rezago.</x:v>
      </x:c>
      <x:c r="T3" s="7" t="str">
        <x:v>OLS con errores estándar HAC (6 meses). BIC seleccionó cero rezagos adicionales de Δln(TRM). Brent, dólar amplio y VIX entran en t; remesas, diferencial de tasas y déficit fiscal entran con un mes de rezago.</x:v>
      </x:c>
      <x:c r="U3" s="7" t="str">
        <x:v>OLS con errores estándar HAC (6 meses). BIC seleccionó cero rezagos adicionales de Δln(TRM). Brent, dólar amplio y VIX entran en t; remesas, diferencial de tasas y déficit fiscal entran con un mes de rezago.</x:v>
      </x:c>
      <x:c r="V3" s="7" t="str">
        <x:v>OLS con errores estándar HAC (6 meses). BIC seleccionó cero rezagos adicionales de Δln(TRM). Brent, dólar amplio y VIX entran en t; remesas, diferencial de tasas y déficit fiscal entran con un mes de rezago.</x:v>
      </x:c>
      <x:c r="W3" s="7" t="str">
        <x:v>OLS con errores estándar HAC (6 meses). BIC seleccionó cero rezagos adicionales de Δln(TRM). Brent, dólar amplio y VIX entran en t; remesas, diferencial de tasas y déficit fiscal entran con un mes de rezago.</x:v>
      </x:c>
      <x:c r="X3" s="1"/>
      <x:c r="Y3" s="1"/>
      <x:c r="Z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>
      <x:c r="A5" s="54" t="str">
        <x:v>Variable</x:v>
      </x:c>
      <x:c r="B5" s="54" t="str">
        <x:v>Coeficiente</x:v>
      </x:c>
      <x:c r="C5" s="54" t="str">
        <x:v>EE HAC</x:v>
      </x:c>
      <x:c r="D5" s="54" t="str">
        <x:v>t</x:v>
      </x:c>
      <x:c r="E5" s="54" t="str">
        <x:v>p-valor</x:v>
      </x:c>
      <x:c r="F5" s="54" t="str">
        <x:v>IC 95% inferior</x:v>
      </x:c>
      <x:c r="G5" s="54" t="str">
        <x:v>IC 95% superior</x:v>
      </x:c>
      <x:c r="H5" s="56"/>
      <x:c r="I5" s="58" t="str">
        <x:v>Indicador</x:v>
      </x:c>
      <x:c r="J5" s="58" t="str">
        <x:v>Valor</x:v>
      </x:c>
      <x:c r="K5" s="58" t="str">
        <x:v>Lectura</x:v>
      </x:c>
      <x:c r="L5" s="58" t="str">
        <x:v>Indicador</x:v>
      </x:c>
      <x:c r="M5" s="58" t="str">
        <x:v>Valor</x:v>
      </x:c>
      <x:c r="N5" s="58" t="str">
        <x:v>Lectura</x:v>
      </x:c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>
      <x:c r="A6" s="56" t="str">
        <x:v>Intercepto</x:v>
      </x:c>
      <x:c r="B6" s="94" t="n">
        <x:v>-0.00045209606279241735</x:v>
      </x:c>
      <x:c r="C6" s="94" t="n">
        <x:v>0.0016433712739334742</x:v>
      </x:c>
      <x:c r="D6" s="94" t="n">
        <x:v>-0.27510281453947255</x:v>
      </x:c>
      <x:c r="E6" s="94" t="n">
        <x:v>0.7834820923312578</x:v>
      </x:c>
      <x:c r="F6" s="94" t="n">
        <x:v>-0.003689935063445146</x:v>
      </x:c>
      <x:c r="G6" s="94" t="n">
        <x:v>0.002785742937860311</x:v>
      </x:c>
      <x:c r="H6" s="56"/>
      <x:c r="I6" s="59" t="str">
        <x:v>R²</x:v>
      </x:c>
      <x:c r="J6" s="91" t="n">
        <x:v>0.5006171263026511</x:v>
      </x:c>
      <x:c r="K6" s="59" t="str">
        <x:v>Variación explicada dentro de muestra</x:v>
      </x:c>
      <x:c r="L6" s="59" t="str">
        <x:v>AIC</x:v>
      </x:c>
      <x:c r="M6" s="92" t="n">
        <x:v>-1106.246508405773</x:v>
      </x:c>
      <x:c r="N6" s="59" t="str">
        <x:v>Comparación relativa</x:v>
      </x:c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>
      <x:c r="A7" s="56" t="str">
        <x:v>Δ ln Brent (t)</x:v>
      </x:c>
      <x:c r="B7" s="94" t="n">
        <x:v>-0.05169227479974915</x:v>
      </x:c>
      <x:c r="C7" s="94" t="n">
        <x:v>0.013659731158865436</x:v>
      </x:c>
      <x:c r="D7" s="94" t="n">
        <x:v>-3.784282003690815</x:v>
      </x:c>
      <x:c r="E7" s="94" t="n">
        <x:v>0.00019627464502224723</x:v>
      </x:c>
      <x:c r="F7" s="94" t="n">
        <x:v>-0.07860524996618509</x:v>
      </x:c>
      <x:c r="G7" s="94" t="n">
        <x:v>-0.024779299633313205</x:v>
      </x:c>
      <x:c r="H7" s="56"/>
      <x:c r="I7" s="59" t="str">
        <x:v>R² ajustado</x:v>
      </x:c>
      <x:c r="J7" s="91" t="n">
        <x:v>0.48554953959626557</x:v>
      </x:c>
      <x:c r="K7" s="59" t="str">
        <x:v>Penaliza número de parámetros</x:v>
      </x:c>
      <x:c r="L7" s="59" t="str">
        <x:v>BIC</x:v>
      </x:c>
      <x:c r="M7" s="92" t="n">
        <x:v>-1078.4013970190372</x:v>
      </x:c>
      <x:c r="N7" s="59" t="str">
        <x:v>Seleccionó p=0</x:v>
      </x:c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>
      <x:c r="A8" s="56" t="str">
        <x:v>Δ ln índice dólar amplio (t)</x:v>
      </x:c>
      <x:c r="B8" s="94" t="n">
        <x:v>1.2150203451631447</x:v>
      </x:c>
      <x:c r="C8" s="94" t="n">
        <x:v>0.15061088283019275</x:v>
      </x:c>
      <x:c r="D8" s="94" t="n">
        <x:v>8.06728121056848</x:v>
      </x:c>
      <x:c r="E8" s="94" t="n">
        <x:v>3.847432891826518e-14</x:v>
      </x:c>
      <x:c r="F8" s="94" t="n">
        <x:v>0.9182804677627581</x:v>
      </x:c>
      <x:c r="G8" s="94" t="n">
        <x:v>1.5117602225635314</x:v>
      </x:c>
      <x:c r="H8" s="56"/>
      <x:c r="I8" s="59" t="str">
        <x:v>Observaciones</x:v>
      </x:c>
      <x:c r="J8" s="59" t="n">
        <x:v>240</x:v>
      </x:c>
      <x:c r="K8" s="59" t="str">
        <x:v>Mayo 2006–abril 2026</x:v>
      </x:c>
      <x:c r="L8" s="59" t="str">
        <x:v>HAC</x:v>
      </x:c>
      <x:c r="M8" s="59" t="n">
        <x:v>6</x:v>
      </x:c>
      <x:c r="N8" s="59" t="str">
        <x:v>Ventana mensual</x:v>
      </x:c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>
      <x:c r="A9" s="56" t="str">
        <x:v>Δ ln VIX (t)</x:v>
      </x:c>
      <x:c r="B9" s="94" t="n">
        <x:v>0.03861768014553797</x:v>
      </x:c>
      <x:c r="C9" s="94" t="n">
        <x:v>0.008854430528492467</x:v>
      </x:c>
      <x:c r="D9" s="94" t="n">
        <x:v>4.3613962548207965</x:v>
      </x:c>
      <x:c r="E9" s="94" t="n">
        <x:v>0.000019443514629043627</x:v>
      </x:c>
      <x:c r="F9" s="94" t="n">
        <x:v>0.021172309797118687</x:v>
      </x:c>
      <x:c r="G9" s="94" t="n">
        <x:v>0.05606305049395725</x:v>
      </x:c>
      <x:c r="H9" s="56"/>
      <x:c r="I9" s="59" t="str">
        <x:v>Frecuencia</x:v>
      </x:c>
      <x:c r="J9" s="59" t="str">
        <x:v>Mensual</x:v>
      </x:c>
      <x:c r="K9" s="59" t="str">
        <x:v>Promedio mensual de series diarias</x:v>
      </x:c>
      <x:c r="L9" s="59" t="str">
        <x:v>Objetivo</x:v>
      </x:c>
      <x:c r="M9" s="59" t="str">
        <x:v>Δln(TRM)</x:v>
      </x:c>
      <x:c r="N9" s="59" t="str">
        <x:v>Aumento = depreciación</x:v>
      </x:c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>
      <x:c r="A10" s="56" t="str">
        <x:v>Δ ln remesas 12m (t−1)</x:v>
      </x:c>
      <x:c r="B10" s="94" t="n">
        <x:v>0.2628979658793943</x:v>
      </x:c>
      <x:c r="C10" s="94" t="n">
        <x:v>0.11579562375807195</x:v>
      </x:c>
      <x:c r="D10" s="94" t="n">
        <x:v>2.2703618439731237</x:v>
      </x:c>
      <x:c r="E10" s="94" t="n">
        <x:v>0.02410362832983869</x:v>
      </x:c>
      <x:c r="F10" s="94" t="n">
        <x:v>0.03475257192262213</x:v>
      </x:c>
      <x:c r="G10" s="94" t="n">
        <x:v>0.4910433598361664</x:v>
      </x:c>
      <x:c r="H10" s="56"/>
      <x:c r="I10" s="56"/>
      <x:c r="J10" s="56"/>
      <x:c r="K10" s="56"/>
      <x:c r="L10" s="56"/>
      <x:c r="M10" s="56"/>
      <x:c r="N10" s="56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>
      <x:c r="A11" s="56" t="str">
        <x:v>Δ diferencial tasas (t−1)</x:v>
      </x:c>
      <x:c r="B11" s="94" t="n">
        <x:v>-0.009908850217863613</x:v>
      </x:c>
      <x:c r="C11" s="94" t="n">
        <x:v>0.004776793981709683</x:v>
      </x:c>
      <x:c r="D11" s="94" t="n">
        <x:v>-2.0743725301540206</x:v>
      </x:c>
      <x:c r="E11" s="94" t="n">
        <x:v>0.03914789710145899</x:v>
      </x:c>
      <x:c r="F11" s="94" t="n">
        <x:v>-0.019320290041223306</x:v>
      </x:c>
      <x:c r="G11" s="94" t="n">
        <x:v>-0.0004974103945039211</x:v>
      </x:c>
      <x:c r="H11" s="56"/>
      <x:c r="I11" s="56"/>
      <x:c r="J11" s="56"/>
      <x:c r="K11" s="56"/>
      <x:c r="L11" s="56"/>
      <x:c r="M11" s="56"/>
      <x:c r="N11" s="56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>
      <x:c r="A12" s="56" t="str">
        <x:v>Δ déficit fiscal 12m/PIB (t−1)</x:v>
      </x:c>
      <x:c r="B12" s="94" t="n">
        <x:v>0.004316655963719971</x:v>
      </x:c>
      <x:c r="C12" s="94" t="n">
        <x:v>0.003279860248991074</x:v>
      </x:c>
      <x:c r="D12" s="94" t="n">
        <x:v>1.3161097229821996</x:v>
      </x:c>
      <x:c r="E12" s="94" t="n">
        <x:v>0.1894360990873046</x:v>
      </x:c>
      <x:c r="F12" s="94" t="n">
        <x:v>-0.002145462243722766</x:v>
      </x:c>
      <x:c r="G12" s="94" t="n">
        <x:v>0.010778774171162707</x:v>
      </x:c>
      <x:c r="H12" s="56"/>
      <x:c r="I12" s="56"/>
      <x:c r="J12" s="56"/>
      <x:c r="K12" s="56"/>
      <x:c r="L12" s="56"/>
      <x:c r="M12" s="56"/>
      <x:c r="N12" s="56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>
      <x:c r="A13" s="56" t="str">
        <x:v>Dummy pandemia 2020</x:v>
      </x:c>
      <x:c r="B13" s="94" t="n">
        <x:v>0.008132674061635627</x:v>
      </x:c>
      <x:c r="C13" s="94" t="n">
        <x:v>0.004688796765543728</x:v>
      </x:c>
      <x:c r="D13" s="94" t="n">
        <x:v>1.7344906312424775</x:v>
      </x:c>
      <x:c r="E13" s="94" t="n">
        <x:v>0.08415926707536746</x:v>
      </x:c>
      <x:c r="F13" s="94" t="n">
        <x:v>-0.0011053899561649042</x:v>
      </x:c>
      <x:c r="G13" s="94" t="n">
        <x:v>0.017370738079436156</x:v>
      </x:c>
      <x:c r="H13" s="56"/>
      <x:c r="I13" s="56"/>
      <x:c r="J13" s="56"/>
      <x:c r="K13" s="56"/>
      <x:c r="L13" s="56"/>
      <x:c r="M13" s="56"/>
      <x:c r="N13" s="56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>
      <x:c r="A14" s="56"/>
      <x:c r="B14" s="56"/>
      <x:c r="C14" s="56"/>
      <x:c r="D14" s="56"/>
      <x:c r="E14" s="56"/>
      <x:c r="F14" s="56"/>
      <x:c r="G14" s="56"/>
      <x:c r="H14" s="56"/>
      <x:c r="I14" s="56"/>
      <x:c r="J14" s="56"/>
      <x:c r="K14" s="56"/>
      <x:c r="L14" s="56"/>
      <x:c r="M14" s="56"/>
      <x:c r="N14" s="56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>
      <x:c r="A15" s="56"/>
      <x:c r="B15" s="56"/>
      <x:c r="C15" s="56"/>
      <x:c r="D15" s="56"/>
      <x:c r="E15" s="56"/>
      <x:c r="F15" s="56"/>
      <x:c r="G15" s="56"/>
      <x:c r="H15" s="56"/>
      <x:c r="I15" s="56"/>
      <x:c r="J15" s="56"/>
      <x:c r="K15" s="56"/>
      <x:c r="L15" s="56"/>
      <x:c r="M15" s="56"/>
      <x:c r="N15" s="56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>
      <x:c r="A16" s="56"/>
      <x:c r="B16" s="56"/>
      <x:c r="C16" s="56"/>
      <x:c r="D16" s="56"/>
      <x:c r="E16" s="56"/>
      <x:c r="F16" s="56"/>
      <x:c r="G16" s="56"/>
      <x:c r="H16" s="56"/>
      <x:c r="I16" s="56"/>
      <x:c r="J16" s="56"/>
      <x:c r="K16" s="56"/>
      <x:c r="L16" s="56"/>
      <x:c r="M16" s="56"/>
      <x:c r="N16" s="56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 ht="42" customHeight="1">
      <x:c r="A17" s="54" t="str">
        <x:v>Mes</x:v>
      </x:c>
      <x:c r="B17" s="54" t="str">
        <x:v>Δln TRM observado</x:v>
      </x:c>
      <x:c r="C17" s="54" t="str">
        <x:v>Constante</x:v>
      </x:c>
      <x:c r="D17" s="54" t="str">
        <x:v>Brent</x:v>
      </x:c>
      <x:c r="E17" s="54" t="str">
        <x:v>Dólar amplio</x:v>
      </x:c>
      <x:c r="F17" s="54" t="str">
        <x:v>VIX</x:v>
      </x:c>
      <x:c r="G17" s="54" t="str">
        <x:v>Remesas t−1</x:v>
      </x:c>
      <x:c r="H17" s="54" t="str">
        <x:v>Tasas t−1</x:v>
      </x:c>
      <x:c r="I17" s="54" t="str">
        <x:v>Fiscal t−1</x:v>
      </x:c>
      <x:c r="J17" s="54" t="str">
        <x:v>Pandemia</x:v>
      </x:c>
      <x:c r="K17" s="54" t="str">
        <x:v>Δln TRM ajustado</x:v>
      </x:c>
      <x:c r="L17" s="54" t="str">
        <x:v>Residuo</x:v>
      </x:c>
      <x:c r="M17" s="54" t="str">
        <x:v>TRM observada</x:v>
      </x:c>
      <x:c r="N17" s="54" t="str">
        <x:v>TRM ajustada 1 paso</x:v>
      </x:c>
      <x:c r="O17" s="1"/>
      <x:c r="P17" s="54" t="str">
        <x:v>Mes</x:v>
      </x:c>
      <x:c r="Q17" s="54" t="str">
        <x:v>TRM observada</x:v>
      </x:c>
      <x:c r="R17" s="54" t="str">
        <x:v>TRM ajustada</x:v>
      </x:c>
      <x:c r="S17" s="1"/>
      <x:c r="T17" s="1"/>
      <x:c r="U17" s="1"/>
      <x:c r="V17" s="1"/>
      <x:c r="W17" s="1"/>
      <x:c r="X17" s="1"/>
      <x:c r="Y17" s="1"/>
      <x:c r="Z17" s="1"/>
    </x:row>
    <x:row r="18">
      <x:c r="A18" s="1" t="str">
        <x:f>'Transformaciones'!A11</x:f>
        <x:v>2006-05</x:v>
      </x:c>
      <x:c r="B18" s="87" t="n">
        <x:f>'Transformaciones'!C11</x:f>
        <x:v>0.03513841918142102</x:v>
      </x:c>
      <x:c r="C18" s="87" t="n">
        <x:f>$B$6</x:f>
        <x:v>-0.00045209606279241735</x:v>
      </x:c>
      <x:c r="D18" s="87" t="n">
        <x:f>$B$7*'Transformaciones'!E11</x:f>
        <x:v>0.0003566160813845691</x:v>
      </x:c>
      <x:c r="E18" s="87" t="n">
        <x:f>$B$8*'Transformaciones'!M11</x:f>
        <x:v>-0.027494162556591276</x:v>
      </x:c>
      <x:c r="F18" s="87" t="n">
        <x:f>$B$9*'Transformaciones'!O11</x:f>
        <x:v>0.007681178630194668</x:v>
      </x:c>
      <x:c r="G18" s="87" t="n">
        <x:f>$B$10*'Transformaciones'!G10</x:f>
        <x:v>0.0016440346461432513</x:v>
      </x:c>
      <x:c r="H18" s="87" t="n">
        <x:f>$B$11*'Transformaciones'!I10</x:f>
        <x:v>0.001981770043572722</x:v>
      </x:c>
      <x:c r="I18" s="87" t="n">
        <x:f>$B$12*'Transformaciones'!K10</x:f>
        <x:v>0.0031393379890081946</x:v>
      </x:c>
      <x:c r="J18" s="87" t="n">
        <x:f>$B$13*'Transformaciones'!P11</x:f>
        <x:v>0</x:v>
      </x:c>
      <x:c r="K18" s="93" t="n">
        <x:f>SUM(C18:J18)</x:f>
        <x:v>-0.013143321229080289</x:v>
      </x:c>
      <x:c r="L18" s="93" t="n">
        <x:f>B18-K18</x:f>
        <x:v>0.04828174041050131</x:v>
      </x:c>
      <x:c r="M18" s="79" t="n">
        <x:f>'Datos_fuente'!B11</x:f>
        <x:v>2418.649355</x:v>
      </x:c>
      <x:c r="N18" s="79" t="n">
        <x:f>EXP('Transformaciones'!B10+K18)</x:f>
        <x:v>2304.647015670126</x:v>
      </x:c>
      <x:c r="O18" s="1"/>
      <x:c r="P18" s="1" t="str">
        <x:f>A18</x:f>
        <x:v>2006-05</x:v>
      </x:c>
      <x:c r="Q18" s="71" t="n">
        <x:f>M18</x:f>
        <x:v>2418.649355</x:v>
      </x:c>
      <x:c r="R18" s="71" t="n">
        <x:f>N18</x:f>
        <x:v>2304.647015670126</x:v>
      </x:c>
      <x:c r="S18" s="1"/>
      <x:c r="T18" s="1"/>
      <x:c r="U18" s="1"/>
      <x:c r="V18" s="1"/>
      <x:c r="W18" s="1"/>
      <x:c r="X18" s="1"/>
      <x:c r="Y18" s="1"/>
      <x:c r="Z18" s="1"/>
    </x:row>
    <x:row r="19">
      <x:c r="A19" s="1" t="str">
        <x:f>'Transformaciones'!A12</x:f>
        <x:v>2006-06</x:v>
      </x:c>
      <x:c r="B19" s="87" t="n">
        <x:f>'Transformaciones'!C12</x:f>
        <x:v>0.04982844845481793</x:v>
      </x:c>
      <x:c r="C19" s="87" t="n">
        <x:f>$B$6</x:f>
        <x:v>-0.00045209606279241735</x:v>
      </x:c>
      <x:c r="D19" s="87" t="n">
        <x:f>$B$7*'Transformaciones'!E12</x:f>
        <x:v>0.0009125865840518714</x:v>
      </x:c>
      <x:c r="E19" s="87" t="n">
        <x:f>$B$8*'Transformaciones'!M12</x:f>
        <x:v>0.014626516674323147</x:v>
      </x:c>
      <x:c r="F19" s="87" t="n">
        <x:f>$B$9*'Transformaciones'!O12</x:f>
        <x:v>0.006078686553506236</x:v>
      </x:c>
      <x:c r="G19" s="87" t="n">
        <x:f>$B$10*'Transformaciones'!G11</x:f>
        <x:v>0.007262803503802575</x:v>
      </x:c>
      <x:c r="H19" s="87" t="n">
        <x:f>$B$11*'Transformaciones'!I11</x:f>
        <x:v>-0.0009109749406627963</x:v>
      </x:c>
      <x:c r="I19" s="87" t="n">
        <x:f>$B$12*'Transformaciones'!K11</x:f>
        <x:v>-0.002111498459054934</x:v>
      </x:c>
      <x:c r="J19" s="87" t="n">
        <x:f>$B$13*'Transformaciones'!P12</x:f>
        <x:v>0</x:v>
      </x:c>
      <x:c r="K19" s="93" t="n">
        <x:f>SUM(C19:J19)</x:f>
        <x:v>0.025406023853173684</x:v>
      </x:c>
      <x:c r="L19" s="93" t="n">
        <x:f>B19-K19</x:f>
        <x:v>0.024422424601644246</x:v>
      </x:c>
      <x:c r="M19" s="79" t="n">
        <x:f>'Datos_fuente'!B12</x:f>
        <x:v>2542.22</x:v>
      </x:c>
      <x:c r="N19" s="79" t="n">
        <x:f>EXP('Transformaciones'!B11+K19)</x:f>
        <x:v>2480.884848887863</x:v>
      </x:c>
      <x:c r="O19" s="1"/>
      <x:c r="P19" s="1" t="str">
        <x:f>A30</x:f>
        <x:v>2007-05</x:v>
      </x:c>
      <x:c r="Q19" s="71" t="n">
        <x:f>M30</x:f>
        <x:v>2009.415484</x:v>
      </x:c>
      <x:c r="R19" s="71" t="n">
        <x:f>N30</x:f>
        <x:v>2120.0840560403044</x:v>
      </x:c>
      <x:c r="S19" s="1"/>
      <x:c r="T19" s="1"/>
      <x:c r="U19" s="1"/>
      <x:c r="V19" s="1"/>
      <x:c r="W19" s="1"/>
      <x:c r="X19" s="1"/>
      <x:c r="Y19" s="1"/>
      <x:c r="Z19" s="1"/>
    </x:row>
    <x:row r="20">
      <x:c r="A20" s="1" t="str">
        <x:f>'Transformaciones'!A13</x:f>
        <x:v>2006-07</x:v>
      </x:c>
      <x:c r="B20" s="87" t="n">
        <x:f>'Transformaciones'!C13</x:f>
        <x:v>-0.011282585427688119</x:v>
      </x:c>
      <x:c r="C20" s="87" t="n">
        <x:f>$B$6</x:f>
        <x:v>-0.00045209606279241735</x:v>
      </x:c>
      <x:c r="D20" s="87" t="n">
        <x:f>$B$7*'Transformaciones'!E13</x:f>
        <x:v>-0.00372206244229697</x:v>
      </x:c>
      <x:c r="E20" s="87" t="n">
        <x:f>$B$8*'Transformaciones'!M13</x:f>
        <x:v>-0.003131165661971326</x:v>
      </x:c>
      <x:c r="F20" s="87" t="n">
        <x:f>$B$9*'Transformaciones'!O13</x:f>
        <x:v>-0.0038179379130858135</x:v>
      </x:c>
      <x:c r="G20" s="87" t="n">
        <x:f>$B$10*'Transformaciones'!G12</x:f>
        <x:v>0.005185809497921535</x:v>
      </x:c>
      <x:c r="H20" s="87" t="n">
        <x:f>$B$11*'Transformaciones'!I12</x:f>
        <x:v>-0.0004102050850827348</x:v>
      </x:c>
      <x:c r="I20" s="87" t="n">
        <x:f>$B$12*'Transformaciones'!K12</x:f>
        <x:v>0.0005817592164052168</x:v>
      </x:c>
      <x:c r="J20" s="87" t="n">
        <x:f>$B$13*'Transformaciones'!P13</x:f>
        <x:v>0</x:v>
      </x:c>
      <x:c r="K20" s="93" t="n">
        <x:f>SUM(C20:J20)</x:f>
        <x:v>-0.005765898450902509</x:v>
      </x:c>
      <x:c r="L20" s="93" t="n">
        <x:f>B20-K20</x:f>
        <x:v>-0.00551668697678561</x:v>
      </x:c>
      <x:c r="M20" s="79" t="n">
        <x:f>'Datos_fuente'!B13</x:f>
        <x:v>2513.698387</x:v>
      </x:c>
      <x:c r="N20" s="79" t="n">
        <x:f>EXP('Transformaciones'!B12+K20)</x:f>
        <x:v>2527.603995332595</x:v>
      </x:c>
      <x:c r="O20" s="1"/>
      <x:c r="P20" s="1" t="str">
        <x:f>A42</x:f>
        <x:v>2008-05</x:v>
      </x:c>
      <x:c r="Q20" s="71" t="n">
        <x:f>M42</x:f>
        <x:v>1775.156129</x:v>
      </x:c>
      <x:c r="R20" s="71" t="n">
        <x:f>N42</x:f>
        <x:v>1776.938175392384</x:v>
      </x:c>
      <x:c r="S20" s="1"/>
      <x:c r="T20" s="1"/>
      <x:c r="U20" s="1"/>
      <x:c r="V20" s="1"/>
      <x:c r="W20" s="1"/>
      <x:c r="X20" s="1"/>
      <x:c r="Y20" s="1"/>
      <x:c r="Z20" s="1"/>
    </x:row>
    <x:row r="21">
      <x:c r="A21" s="1" t="str">
        <x:f>'Transformaciones'!A14</x:f>
        <x:v>2006-08</x:v>
      </x:c>
      <x:c r="B21" s="87" t="n">
        <x:f>'Transformaciones'!C14</x:f>
        <x:v>-0.05088714786488868</x:v>
      </x:c>
      <x:c r="C21" s="87" t="n">
        <x:f>$B$6</x:f>
        <x:v>-0.00045209606279241735</x:v>
      </x:c>
      <x:c r="D21" s="87" t="n">
        <x:f>$B$7*'Transformaciones'!E14</x:f>
        <x:v>0.0003123621076548668</x:v>
      </x:c>
      <x:c r="E21" s="87" t="n">
        <x:f>$B$8*'Transformaciones'!M14</x:f>
        <x:v>-0.008981093504175563</x:v>
      </x:c>
      <x:c r="F21" s="87" t="n">
        <x:f>$B$9*'Transformaciones'!O14</x:f>
        <x:v>-0.0053255358173528045</x:v>
      </x:c>
      <x:c r="G21" s="87" t="n">
        <x:f>$B$10*'Transformaciones'!G13</x:f>
        <x:v>0.0036650677281046557</x:v>
      </x:c>
      <x:c r="H21" s="87" t="n">
        <x:f>$B$11*'Transformaciones'!I13</x:f>
        <x:v>0.00082573751485235</x:v>
      </x:c>
      <x:c r="I21" s="87" t="n">
        <x:f>$B$12*'Transformaciones'!K13</x:f>
        <x:v>-0.0005773545395097408</x:v>
      </x:c>
      <x:c r="J21" s="87" t="n">
        <x:f>$B$13*'Transformaciones'!P14</x:f>
        <x:v>0</x:v>
      </x:c>
      <x:c r="K21" s="93" t="n">
        <x:f>SUM(C21:J21)</x:f>
        <x:v>-0.010532912573218653</x:v>
      </x:c>
      <x:c r="L21" s="93" t="n">
        <x:f>B21-K21</x:f>
        <x:v>-0.04035423529167003</x:v>
      </x:c>
      <x:c r="M21" s="79" t="n">
        <x:f>'Datos_fuente'!B14</x:f>
        <x:v>2388.983548</x:v>
      </x:c>
      <x:c r="N21" s="79" t="n">
        <x:f>EXP('Transformaciones'!B13+K21)</x:f>
        <x:v>2487.3607710531082</x:v>
      </x:c>
      <x:c r="O21" s="1"/>
      <x:c r="P21" s="1" t="str">
        <x:f>A54</x:f>
        <x:v>2009-05</x:v>
      </x:c>
      <x:c r="Q21" s="71" t="n">
        <x:f>M54</x:f>
        <x:v>2227.317742</x:v>
      </x:c>
      <x:c r="R21" s="71" t="n">
        <x:f>N54</x:f>
        <x:v>2257.3664729427514</x:v>
      </x:c>
      <x:c r="S21" s="1"/>
      <x:c r="T21" s="1"/>
      <x:c r="U21" s="1"/>
      <x:c r="V21" s="1"/>
      <x:c r="W21" s="1"/>
      <x:c r="X21" s="1"/>
      <x:c r="Y21" s="1"/>
      <x:c r="Z21" s="1"/>
    </x:row>
    <x:row r="22">
      <x:c r="A22" s="1" t="str">
        <x:f>'Transformaciones'!A15</x:f>
        <x:v>2006-09</x:v>
      </x:c>
      <x:c r="B22" s="87" t="n">
        <x:f>'Transformaciones'!C15</x:f>
        <x:v>0.004062555376928678</x:v>
      </x:c>
      <x:c r="C22" s="87" t="n">
        <x:f>$B$6</x:f>
        <x:v>-0.00045209606279241735</x:v>
      </x:c>
      <x:c r="D22" s="87" t="n">
        <x:f>$B$7*'Transformaciones'!E15</x:f>
        <x:v>0.008640113091585213</x:v>
      </x:c>
      <x:c r="E22" s="87" t="n">
        <x:f>$B$8*'Transformaciones'!M15</x:f>
        <x:v>0.0033228789897038697</x:v>
      </x:c>
      <x:c r="F22" s="87" t="n">
        <x:f>$B$9*'Transformaciones'!O15</x:f>
        <x:v>-0.0035328224642620725</x:v>
      </x:c>
      <x:c r="G22" s="87" t="n">
        <x:f>$B$10*'Transformaciones'!G14</x:f>
        <x:v>0.0024773662330851145</x:v>
      </x:c>
      <x:c r="H22" s="87" t="n">
        <x:f>$B$11*'Transformaciones'!I14</x:f>
        <x:v>-0.0007000123189658606</x:v>
      </x:c>
      <x:c r="I22" s="87" t="n">
        <x:f>$B$12*'Transformaciones'!K14</x:f>
        <x:v>0.00008014955708958656</x:v>
      </x:c>
      <x:c r="J22" s="87" t="n">
        <x:f>$B$13*'Transformaciones'!P15</x:f>
        <x:v>0</x:v>
      </x:c>
      <x:c r="K22" s="93" t="n">
        <x:f>SUM(C22:J22)</x:f>
        <x:v>0.009835577025443432</x:v>
      </x:c>
      <x:c r="L22" s="93" t="n">
        <x:f>B22-K22</x:f>
        <x:v>-0.005773021648514754</x:v>
      </x:c>
      <x:c r="M22" s="79" t="n">
        <x:f>'Datos_fuente'!B15</x:f>
        <x:v>2398.708667</x:v>
      </x:c>
      <x:c r="N22" s="79" t="n">
        <x:f>EXP('Transformaciones'!B14+K22)</x:f>
        <x:v>2412.596512909714</x:v>
      </x:c>
      <x:c r="O22" s="1"/>
      <x:c r="P22" s="1" t="str">
        <x:f>A66</x:f>
        <x:v>2010-05</x:v>
      </x:c>
      <x:c r="Q22" s="71" t="n">
        <x:f>M66</x:f>
        <x:v>1983.593226</x:v>
      </x:c>
      <x:c r="R22" s="71" t="n">
        <x:f>N66</x:f>
        <x:v>2071.5626756355246</x:v>
      </x:c>
      <x:c r="S22" s="1"/>
      <x:c r="T22" s="1"/>
      <x:c r="U22" s="1"/>
      <x:c r="V22" s="1"/>
      <x:c r="W22" s="1"/>
      <x:c r="X22" s="1"/>
      <x:c r="Y22" s="1"/>
      <x:c r="Z22" s="1"/>
    </x:row>
    <x:row r="23">
      <x:c r="A23" s="1" t="str">
        <x:f>'Transformaciones'!A16</x:f>
        <x:v>2006-10</x:v>
      </x:c>
      <x:c r="B23" s="87" t="n">
        <x:f>'Transformaciones'!C16</x:f>
        <x:v>-0.015507999193609123</x:v>
      </x:c>
      <x:c r="C23" s="87" t="n">
        <x:f>$B$6</x:f>
        <x:v>-0.00045209606279241735</x:v>
      </x:c>
      <x:c r="D23" s="87" t="n">
        <x:f>$B$7*'Transformaciones'!E16</x:f>
        <x:v>0.003584116920962416</x:v>
      </x:c>
      <x:c r="E23" s="87" t="n">
        <x:f>$B$8*'Transformaciones'!M16</x:f>
        <x:v>0.004138348824589423</x:v>
      </x:c>
      <x:c r="F23" s="87" t="n">
        <x:f>$B$9*'Transformaciones'!O16</x:f>
        <x:v>-0.002888561192125889</x:v>
      </x:c>
      <x:c r="G23" s="87" t="n">
        <x:f>$B$10*'Transformaciones'!G15</x:f>
        <x:v>0.002489304439619444</x:v>
      </x:c>
      <x:c r="H23" s="87" t="n">
        <x:f>$B$11*'Transformaciones'!I15</x:f>
        <x:v>-0.0016781117333214063</x:v>
      </x:c>
      <x:c r="I23" s="87" t="n">
        <x:f>$B$12*'Transformaciones'!K15</x:f>
        <x:v>-0.0009978215345981447</x:v>
      </x:c>
      <x:c r="J23" s="87" t="n">
        <x:f>$B$13*'Transformaciones'!P16</x:f>
        <x:v>0</x:v>
      </x:c>
      <x:c r="K23" s="93" t="n">
        <x:f>SUM(C23:J23)</x:f>
        <x:v>0.004195179662333426</x:v>
      </x:c>
      <x:c r="L23" s="93" t="n">
        <x:f>B23-K23</x:f>
        <x:v>-0.019703178855942548</x:v>
      </x:c>
      <x:c r="M23" s="79" t="n">
        <x:f>'Datos_fuente'!B16</x:f>
        <x:v>2361.796452</x:v>
      </x:c>
      <x:c r="N23" s="79" t="n">
        <x:f>EXP('Transformaciones'!B15+K23)</x:f>
        <x:v>2408.792818439484</x:v>
      </x:c>
      <x:c r="O23" s="1"/>
      <x:c r="P23" s="1" t="str">
        <x:f>A78</x:f>
        <x:v>2011-05</x:v>
      </x:c>
      <x:c r="Q23" s="71" t="n">
        <x:f>M78</x:f>
        <x:v>1800.50871</x:v>
      </x:c>
      <x:c r="R23" s="71" t="n">
        <x:f>N78</x:f>
        <x:v>1809.5286687191576</x:v>
      </x:c>
      <x:c r="S23" s="1"/>
      <x:c r="T23" s="1"/>
      <x:c r="U23" s="1"/>
      <x:c r="V23" s="1"/>
      <x:c r="W23" s="1"/>
      <x:c r="X23" s="1"/>
      <x:c r="Y23" s="1"/>
      <x:c r="Z23" s="1"/>
    </x:row>
    <x:row r="24">
      <x:c r="A24" s="1" t="str">
        <x:f>'Transformaciones'!A17</x:f>
        <x:v>2006-11</x:v>
      </x:c>
      <x:c r="B24" s="87" t="n">
        <x:f>'Transformaciones'!C17</x:f>
        <x:v>-0.030679472287251208</x:v>
      </x:c>
      <x:c r="C24" s="87" t="n">
        <x:f>$B$6</x:f>
        <x:v>-0.00045209606279241735</x:v>
      </x:c>
      <x:c r="D24" s="87" t="n">
        <x:f>$B$7*'Transformaciones'!E17</x:f>
        <x:v>-0.0008453877824194916</x:v>
      </x:c>
      <x:c r="E24" s="87" t="n">
        <x:f>$B$8*'Transformaciones'!M17</x:f>
        <x:v>-0.009956696543541902</x:v>
      </x:c>
      <x:c r="F24" s="87" t="n">
        <x:f>$B$9*'Transformaciones'!O17</x:f>
        <x:v>-0.0017064968579345004</x:v>
      </x:c>
      <x:c r="G24" s="87" t="n">
        <x:f>$B$10*'Transformaciones'!G16</x:f>
        <x:v>0.003211714020579714</x:v>
      </x:c>
      <x:c r="H24" s="87" t="n">
        <x:f>$B$11*'Transformaciones'!I16</x:f>
        <x:v>-0.002557122635589467</x:v>
      </x:c>
      <x:c r="I24" s="87" t="n">
        <x:f>$B$12*'Transformaciones'!K16</x:f>
        <x:v>0.0010430933187155385</x:v>
      </x:c>
      <x:c r="J24" s="87" t="n">
        <x:f>$B$13*'Transformaciones'!P17</x:f>
        <x:v>0</x:v>
      </x:c>
      <x:c r="K24" s="93" t="n">
        <x:f>SUM(C24:J24)</x:f>
        <x:v>-0.011262992542982526</x:v>
      </x:c>
      <x:c r="L24" s="93" t="n">
        <x:f>B24-K24</x:f>
        <x:v>-0.019416479744268682</x:v>
      </x:c>
      <x:c r="M24" s="79" t="n">
        <x:f>'Datos_fuente'!B17</x:f>
        <x:v>2290.438</x:v>
      </x:c>
      <x:c r="N24" s="79" t="n">
        <x:f>EXP('Transformaciones'!B16+K24)</x:f>
        <x:v>2335.344798189347</x:v>
      </x:c>
      <x:c r="O24" s="1"/>
      <x:c r="P24" s="1" t="str">
        <x:f>A90</x:f>
        <x:v>2012-05</x:v>
      </x:c>
      <x:c r="Q24" s="71" t="n">
        <x:f>M90</x:f>
        <x:v>1793.276774</x:v>
      </x:c>
      <x:c r="R24" s="71" t="n">
        <x:f>N90</x:f>
        <x:v>1828.32084747434</x:v>
      </x:c>
      <x:c r="S24" s="1"/>
      <x:c r="T24" s="1"/>
      <x:c r="U24" s="1"/>
      <x:c r="V24" s="1"/>
      <x:c r="W24" s="1"/>
      <x:c r="X24" s="1"/>
      <x:c r="Y24" s="1"/>
      <x:c r="Z24" s="1"/>
    </x:row>
    <x:row r="25">
      <x:c r="A25" s="1" t="str">
        <x:f>'Transformaciones'!A18</x:f>
        <x:v>2006-12</x:v>
      </x:c>
      <x:c r="B25" s="87" t="n">
        <x:f>'Transformaciones'!C18</x:f>
        <x:v>-0.013066140018598738</x:v>
      </x:c>
      <x:c r="C25" s="87" t="n">
        <x:f>$B$6</x:f>
        <x:v>-0.00045209606279241735</x:v>
      </x:c>
      <x:c r="D25" s="87" t="n">
        <x:f>$B$7*'Transformaciones'!E18</x:f>
        <x:v>-0.0031654065991510807</x:v>
      </x:c>
      <x:c r="E25" s="87" t="n">
        <x:f>$B$8*'Transformaciones'!M18</x:f>
        <x:v>-0.008982055536513033</x:v>
      </x:c>
      <x:c r="F25" s="87" t="n">
        <x:f>$B$9*'Transformaciones'!O18</x:f>
        <x:v>0.0005208205417206302</x:v>
      </x:c>
      <x:c r="G25" s="87" t="n">
        <x:f>$B$10*'Transformaciones'!G17</x:f>
        <x:v>0.002661865334168081</x:v>
      </x:c>
      <x:c r="H25" s="87" t="n">
        <x:f>$B$11*'Transformaciones'!I17</x:f>
        <x:v>-0.0023973024733423393</x:v>
      </x:c>
      <x:c r="I25" s="87" t="n">
        <x:f>$B$12*'Transformaciones'!K17</x:f>
        <x:v>-0.0016883172845128724</x:v>
      </x:c>
      <x:c r="J25" s="87" t="n">
        <x:f>$B$13*'Transformaciones'!P18</x:f>
        <x:v>0</x:v>
      </x:c>
      <x:c r="K25" s="93" t="n">
        <x:f>SUM(C25:J25)</x:f>
        <x:v>-0.01350249208042303</x:v>
      </x:c>
      <x:c r="L25" s="93" t="n">
        <x:f>B25-K25</x:f>
        <x:v>0.0004363520618242932</x:v>
      </x:c>
      <x:c r="M25" s="79" t="n">
        <x:f>'Datos_fuente'!B18</x:f>
        <x:v>2260.705484</x:v>
      </x:c>
      <x:c r="N25" s="79" t="n">
        <x:f>EXP('Transformaciones'!B17+K25)</x:f>
        <x:v>2259.7192356922687</x:v>
      </x:c>
      <x:c r="O25" s="1"/>
      <x:c r="P25" s="1" t="str">
        <x:f>A102</x:f>
        <x:v>2013-05</x:v>
      </x:c>
      <x:c r="Q25" s="71" t="n">
        <x:f>M102</x:f>
        <x:v>1847.92129</x:v>
      </x:c>
      <x:c r="R25" s="71" t="n">
        <x:f>N102</x:f>
        <x:v>1859.1066349959638</x:v>
      </x:c>
      <x:c r="S25" s="1"/>
      <x:c r="T25" s="1"/>
      <x:c r="U25" s="1"/>
      <x:c r="V25" s="1"/>
      <x:c r="W25" s="1"/>
      <x:c r="X25" s="1"/>
      <x:c r="Y25" s="1"/>
      <x:c r="Z25" s="1"/>
    </x:row>
    <x:row r="26">
      <x:c r="A26" s="1" t="str">
        <x:f>'Transformaciones'!A19</x:f>
        <x:v>2007-01</x:v>
      </x:c>
      <x:c r="B26" s="87" t="n">
        <x:f>'Transformaciones'!C19</x:f>
        <x:v>-0.010897919154713165</x:v>
      </x:c>
      <x:c r="C26" s="87" t="n">
        <x:f>$B$6</x:f>
        <x:v>-0.00045209606279241735</x:v>
      </x:c>
      <x:c r="D26" s="87" t="n">
        <x:f>$B$7*'Transformaciones'!E19</x:f>
        <x:v>0.007839290424545673</x:v>
      </x:c>
      <x:c r="E26" s="87" t="n">
        <x:f>$B$8*'Transformaciones'!M19</x:f>
        <x:v>0.01296889663347903</x:v>
      </x:c>
      <x:c r="F26" s="87" t="n">
        <x:f>$B$9*'Transformaciones'!O19</x:f>
        <x:v>0.00027374850408491686</x:v>
      </x:c>
      <x:c r="G26" s="87" t="n">
        <x:f>$B$10*'Transformaciones'!G18</x:f>
        <x:v>0.001866192287979905</x:v>
      </x:c>
      <x:c r="H26" s="87" t="n">
        <x:f>$B$11*'Transformaciones'!I18</x:f>
        <x:v>-0.0012178296577262412</x:v>
      </x:c>
      <x:c r="I26" s="87" t="n">
        <x:f>$B$12*'Transformaciones'!K18</x:f>
        <x:v>-0.0003418147391863314</x:v>
      </x:c>
      <x:c r="J26" s="87" t="n">
        <x:f>$B$13*'Transformaciones'!P19</x:f>
        <x:v>0</x:v>
      </x:c>
      <x:c r="K26" s="93" t="n">
        <x:f>SUM(C26:J26)</x:f>
        <x:v>0.020936387390384534</x:v>
      </x:c>
      <x:c r="L26" s="93" t="n">
        <x:f>B26-K26</x:f>
        <x:v>-0.031834306545097696</x:v>
      </x:c>
      <x:c r="M26" s="79" t="n">
        <x:f>'Datos_fuente'!B19</x:f>
        <x:v>2236.202258</x:v>
      </x:c>
      <x:c r="N26" s="79" t="n">
        <x:f>EXP('Transformaciones'!B18+K26)</x:f>
        <x:v>2308.5354358843088</x:v>
      </x:c>
      <x:c r="O26" s="1"/>
      <x:c r="P26" s="1" t="str">
        <x:f>A114</x:f>
        <x:v>2014-05</x:v>
      </x:c>
      <x:c r="Q26" s="71" t="n">
        <x:f>M114</x:f>
        <x:v>1915.360968</x:v>
      </x:c>
      <x:c r="R26" s="71" t="n">
        <x:f>N114</x:f>
        <x:v>1911.3236328498701</x:v>
      </x:c>
      <x:c r="S26" s="1"/>
      <x:c r="T26" s="1"/>
      <x:c r="U26" s="1"/>
      <x:c r="V26" s="1"/>
      <x:c r="W26" s="1"/>
      <x:c r="X26" s="1"/>
      <x:c r="Y26" s="1"/>
      <x:c r="Z26" s="1"/>
    </x:row>
    <x:row r="27">
      <x:c r="A27" s="1" t="str">
        <x:f>'Transformaciones'!A20</x:f>
        <x:v>2007-02</x:v>
      </x:c>
      <x:c r="B27" s="87" t="n">
        <x:f>'Transformaciones'!C20</x:f>
        <x:v>-0.0038678615098186597</x:v>
      </x:c>
      <x:c r="C27" s="87" t="n">
        <x:f>$B$6</x:f>
        <x:v>-0.00045209606279241735</x:v>
      </x:c>
      <x:c r="D27" s="87" t="n">
        <x:f>$B$7*'Transformaciones'!E20</x:f>
        <x:v>-0.003602311812604072</x:v>
      </x:c>
      <x:c r="E27" s="87" t="n">
        <x:f>$B$8*'Transformaciones'!M20</x:f>
        <x:v>-0.004446165718984764</x:v>
      </x:c>
      <x:c r="F27" s="87" t="n">
        <x:f>$B$9*'Transformaciones'!O20</x:f>
        <x:v>0.00039235386670131376</x:v>
      </x:c>
      <x:c r="G27" s="87" t="n">
        <x:f>$B$10*'Transformaciones'!G19</x:f>
        <x:v>0.0026018041325155546</x:v>
      </x:c>
      <x:c r="H27" s="87" t="n">
        <x:f>$B$11*'Transformaciones'!I19</x:f>
        <x:v>-0.0014991131401103554</x:v>
      </x:c>
      <x:c r="I27" s="87" t="n">
        <x:f>$B$12*'Transformaciones'!K19</x:f>
        <x:v>-0.0030180203847095235</x:v>
      </x:c>
      <x:c r="J27" s="87" t="n">
        <x:f>$B$13*'Transformaciones'!P20</x:f>
        <x:v>0</x:v>
      </x:c>
      <x:c r="K27" s="93" t="n">
        <x:f>SUM(C27:J27)</x:f>
        <x:v>-0.010023549119984265</x:v>
      </x:c>
      <x:c r="L27" s="93" t="n">
        <x:f>B27-K27</x:f>
        <x:v>0.0061556876101656055</x:v>
      </x:c>
      <x:c r="M27" s="79" t="n">
        <x:f>'Datos_fuente'!B20</x:f>
        <x:v>2227.569643</x:v>
      </x:c>
      <x:c r="N27" s="79" t="n">
        <x:f>EXP('Transformaciones'!B19+K27)</x:f>
        <x:v>2213.899537762689</x:v>
      </x:c>
      <x:c r="O27" s="1"/>
      <x:c r="P27" s="1" t="str">
        <x:f>A126</x:f>
        <x:v>2015-05</x:v>
      </x:c>
      <x:c r="Q27" s="71" t="n">
        <x:f>M126</x:f>
        <x:v>2437.535161</x:v>
      </x:c>
      <x:c r="R27" s="71" t="n">
        <x:f>N126</x:f>
        <x:v>2472.6599791808585</x:v>
      </x:c>
      <x:c r="S27" s="1"/>
      <x:c r="T27" s="1"/>
      <x:c r="U27" s="1"/>
      <x:c r="V27" s="1"/>
      <x:c r="W27" s="1"/>
      <x:c r="X27" s="1"/>
      <x:c r="Y27" s="1"/>
      <x:c r="Z27" s="1"/>
    </x:row>
    <x:row r="28">
      <x:c r="A28" s="1" t="str">
        <x:f>'Transformaciones'!A21</x:f>
        <x:v>2007-03</x:v>
      </x:c>
      <x:c r="B28" s="87" t="n">
        <x:f>'Transformaciones'!C21</x:f>
        <x:v>-0.011161657942357017</x:v>
      </x:c>
      <x:c r="C28" s="87" t="n">
        <x:f>$B$6</x:f>
        <x:v>-0.00045209606279241735</x:v>
      </x:c>
      <x:c r="D28" s="87" t="n">
        <x:f>$B$7*'Transformaciones'!E21</x:f>
        <x:v>-0.0038869028070618356</x:v>
      </x:c>
      <x:c r="E28" s="87" t="n">
        <x:f>$B$8*'Transformaciones'!M21</x:f>
        <x:v>-0.005805855411060751</x:v>
      </x:c>
      <x:c r="F28" s="87" t="n">
        <x:f>$B$9*'Transformaciones'!O21</x:f>
        <x:v>0.011852879936227564</x:v>
      </x:c>
      <x:c r="G28" s="87" t="n">
        <x:f>$B$10*'Transformaciones'!G20</x:f>
        <x:v>0.0023639129280978795</x:v>
      </x:c>
      <x:c r="H28" s="87" t="n">
        <x:f>$B$11*'Transformaciones'!I20</x:f>
        <x:v>-0.0024038094369211067</x:v>
      </x:c>
      <x:c r="I28" s="87" t="n">
        <x:f>$B$12*'Transformaciones'!K20</x:f>
        <x:v>0.000003217346139408319</x:v>
      </x:c>
      <x:c r="J28" s="87" t="n">
        <x:f>$B$13*'Transformaciones'!P21</x:f>
        <x:v>0</x:v>
      </x:c>
      <x:c r="K28" s="93" t="n">
        <x:f>SUM(C28:J28)</x:f>
        <x:v>0.0016713464926287403</x:v>
      </x:c>
      <x:c r="L28" s="93" t="n">
        <x:f>B28-K28</x:f>
        <x:v>-0.012833004434985758</x:v>
      </x:c>
      <x:c r="M28" s="79" t="n">
        <x:f>'Datos_fuente'!B21</x:f>
        <x:v>2202.844516</x:v>
      </x:c>
      <x:c r="N28" s="79" t="n">
        <x:f>EXP('Transformaciones'!B20+K28)</x:f>
        <x:v>2231.2957966894764</x:v>
      </x:c>
      <x:c r="O28" s="1"/>
      <x:c r="P28" s="1" t="str">
        <x:f>A138</x:f>
        <x:v>2016-05</x:v>
      </x:c>
      <x:c r="Q28" s="71" t="n">
        <x:f>M138</x:f>
        <x:v>2993.508387</x:v>
      </x:c>
      <x:c r="R28" s="71" t="n">
        <x:f>N138</x:f>
        <x:v>3026.3463937234837</x:v>
      </x:c>
      <x:c r="S28" s="1"/>
      <x:c r="T28" s="1"/>
      <x:c r="U28" s="1"/>
      <x:c r="V28" s="1"/>
      <x:c r="W28" s="1"/>
      <x:c r="X28" s="1"/>
      <x:c r="Y28" s="1"/>
      <x:c r="Z28" s="1"/>
    </x:row>
    <x:row r="29">
      <x:c r="A29" s="1" t="str">
        <x:f>'Transformaciones'!A22</x:f>
        <x:v>2007-04</x:v>
      </x:c>
      <x:c r="B29" s="87" t="n">
        <x:f>'Transformaciones'!C22</x:f>
        <x:v>-0.026656244810353336</x:v>
      </x:c>
      <x:c r="C29" s="87" t="n">
        <x:f>$B$6</x:f>
        <x:v>-0.00045209606279241735</x:v>
      </x:c>
      <x:c r="D29" s="87" t="n">
        <x:f>$B$7*'Transformaciones'!E22</x:f>
        <x:v>-0.004340559590552606</x:v>
      </x:c>
      <x:c r="E29" s="87" t="n">
        <x:f>$B$8*'Transformaciones'!M22</x:f>
        <x:v>-0.017402212316306728</x:v>
      </x:c>
      <x:c r="F29" s="87" t="n">
        <x:f>$B$9*'Transformaciones'!O22</x:f>
        <x:v>-0.006142454006940666</x:v>
      </x:c>
      <x:c r="G29" s="87" t="n">
        <x:f>$B$10*'Transformaciones'!G21</x:f>
        <x:v>0.0009717347394092705</x:v>
      </x:c>
      <x:c r="H29" s="87" t="n">
        <x:f>$B$11*'Transformaciones'!I21</x:f>
        <x:v>-0.00269125742311161</x:v>
      </x:c>
      <x:c r="I29" s="87" t="n">
        <x:f>$B$12*'Transformaciones'!K21</x:f>
        <x:v>0.0007034503064111778</x:v>
      </x:c>
      <x:c r="J29" s="87" t="n">
        <x:f>$B$13*'Transformaciones'!P22</x:f>
        <x:v>0</x:v>
      </x:c>
      <x:c r="K29" s="93" t="n">
        <x:f>SUM(C29:J29)</x:f>
        <x:v>-0.029353394353883577</x:v>
      </x:c>
      <x:c r="L29" s="93" t="n">
        <x:f>B29-K29</x:f>
        <x:v>0.002697149543530241</x:v>
      </x:c>
      <x:c r="M29" s="79" t="n">
        <x:f>'Datos_fuente'!B22</x:f>
        <x:v>2144.900667</x:v>
      </x:c>
      <x:c r="N29" s="79" t="n">
        <x:f>EXP('Transformaciones'!B21+K29)</x:f>
        <x:v>2139.123343799717</x:v>
      </x:c>
      <x:c r="O29" s="1"/>
      <x:c r="P29" s="1" t="str">
        <x:f>A150</x:f>
        <x:v>2017-05</x:v>
      </x:c>
      <x:c r="Q29" s="71" t="n">
        <x:f>M150</x:f>
        <x:v>2923.612903</x:v>
      </x:c>
      <x:c r="R29" s="71" t="n">
        <x:f>N150</x:f>
        <x:v>2852.2611558891167</x:v>
      </x:c>
      <x:c r="S29" s="1"/>
      <x:c r="T29" s="1"/>
      <x:c r="U29" s="1"/>
      <x:c r="V29" s="1"/>
      <x:c r="W29" s="1"/>
      <x:c r="X29" s="1"/>
      <x:c r="Y29" s="1"/>
      <x:c r="Z29" s="1"/>
    </x:row>
    <x:row r="30">
      <x:c r="A30" s="1" t="str">
        <x:f>'Transformaciones'!A23</x:f>
        <x:v>2007-05</x:v>
      </x:c>
      <x:c r="B30" s="87" t="n">
        <x:f>'Transformaciones'!C23</x:f>
        <x:v>-0.06524936641756351</x:v>
      </x:c>
      <x:c r="C30" s="87" t="n">
        <x:f>$B$6</x:f>
        <x:v>-0.00045209606279241735</x:v>
      </x:c>
      <x:c r="D30" s="87" t="n">
        <x:f>$B$7*'Transformaciones'!E23</x:f>
        <x:v>0.00020993207605582532</x:v>
      </x:c>
      <x:c r="E30" s="87" t="n">
        <x:f>$B$8*'Transformaciones'!M23</x:f>
        <x:v>-0.01161257409632914</x:v>
      </x:c>
      <x:c r="F30" s="87" t="n">
        <x:f>$B$9*'Transformaciones'!O23</x:f>
        <x:v>0.0010739945352948102</x:v>
      </x:c>
      <x:c r="G30" s="87" t="n">
        <x:f>$B$10*'Transformaciones'!G22</x:f>
        <x:v>0.002285409316094007</x:v>
      </x:c>
      <x:c r="H30" s="87" t="n">
        <x:f>$B$11*'Transformaciones'!I22</x:f>
        <x:v>-0.0020968405599942996</x:v>
      </x:c>
      <x:c r="I30" s="87" t="n">
        <x:f>$B$12*'Transformaciones'!K22</x:f>
        <x:v>-0.0010453304515686715</x:v>
      </x:c>
      <x:c r="J30" s="87" t="n">
        <x:f>$B$13*'Transformaciones'!P23</x:f>
        <x:v>0</x:v>
      </x:c>
      <x:c r="K30" s="93" t="n">
        <x:f>SUM(C30:J30)</x:f>
        <x:v>-0.011637505243239886</x:v>
      </x:c>
      <x:c r="L30" s="93" t="n">
        <x:f>B30-K30</x:f>
        <x:v>-0.05361186117432363</x:v>
      </x:c>
      <x:c r="M30" s="79" t="n">
        <x:f>'Datos_fuente'!B23</x:f>
        <x:v>2009.415484</x:v>
      </x:c>
      <x:c r="N30" s="79" t="n">
        <x:f>EXP('Transformaciones'!B22+K30)</x:f>
        <x:v>2120.0840560403044</x:v>
      </x:c>
      <x:c r="O30" s="1"/>
      <x:c r="P30" s="1" t="str">
        <x:f>A162</x:f>
        <x:v>2018-05</x:v>
      </x:c>
      <x:c r="Q30" s="71" t="n">
        <x:f>M162</x:f>
        <x:v>2861.825806</x:v>
      </x:c>
      <x:c r="R30" s="71" t="n">
        <x:f>N162</x:f>
        <x:v>2850.0031100428205</x:v>
      </x:c>
      <x:c r="S30" s="1"/>
      <x:c r="T30" s="1"/>
      <x:c r="U30" s="1"/>
      <x:c r="V30" s="1"/>
      <x:c r="W30" s="1"/>
      <x:c r="X30" s="1"/>
      <x:c r="Y30" s="1"/>
      <x:c r="Z30" s="1"/>
    </x:row>
    <x:row r="31">
      <x:c r="A31" s="1" t="str">
        <x:f>'Transformaciones'!A24</x:f>
        <x:v>2007-06</x:v>
      </x:c>
      <x:c r="B31" s="87" t="n">
        <x:f>'Transformaciones'!C24</x:f>
        <x:v>-0.043679583515122467</x:v>
      </x:c>
      <x:c r="C31" s="87" t="n">
        <x:f>$B$6</x:f>
        <x:v>-0.00045209606279241735</x:v>
      </x:c>
      <x:c r="D31" s="87" t="n">
        <x:f>$B$7*'Transformaciones'!E24</x:f>
        <x:v>-0.0028672501603129487</x:v>
      </x:c>
      <x:c r="E31" s="87" t="n">
        <x:f>$B$8*'Transformaciones'!M24</x:f>
        <x:v>-0.0035665377353100228</x:v>
      </x:c>
      <x:c r="F31" s="87" t="n">
        <x:f>$B$9*'Transformaciones'!O24</x:f>
        <x:v>0.004516680912014249</x:v>
      </x:c>
      <x:c r="G31" s="87" t="n">
        <x:f>$B$10*'Transformaciones'!G23</x:f>
        <x:v>-0.0017945730139661636</x:v>
      </x:c>
      <x:c r="H31" s="87" t="n">
        <x:f>$B$11*'Transformaciones'!I23</x:f>
        <x:v>-0.0031964032944868342</x:v>
      </x:c>
      <x:c r="I31" s="87" t="n">
        <x:f>$B$12*'Transformaciones'!K23</x:f>
        <x:v>-0.002497843488780489</x:v>
      </x:c>
      <x:c r="J31" s="87" t="n">
        <x:f>$B$13*'Transformaciones'!P24</x:f>
        <x:v>0</x:v>
      </x:c>
      <x:c r="K31" s="93" t="n">
        <x:f>SUM(C31:J31)</x:f>
        <x:v>-0.009858022843634628</x:v>
      </x:c>
      <x:c r="L31" s="93" t="n">
        <x:f>B31-K31</x:f>
        <x:v>-0.03382156067148784</x:v>
      </x:c>
      <x:c r="M31" s="79" t="n">
        <x:f>'Datos_fuente'!B24</x:f>
        <x:v>1923.534333</x:v>
      </x:c>
      <x:c r="N31" s="79" t="n">
        <x:f>EXP('Transformaciones'!B23+K31)</x:f>
        <x:v>1989.703938321584</x:v>
      </x:c>
      <x:c r="O31" s="1"/>
      <x:c r="P31" s="1" t="str">
        <x:f>A174</x:f>
        <x:v>2019-05</x:v>
      </x:c>
      <x:c r="Q31" s="71" t="n">
        <x:f>M174</x:f>
        <x:v>3304.494516</x:v>
      </x:c>
      <x:c r="R31" s="71" t="n">
        <x:f>N174</x:f>
        <x:v>3225.2593772962546</x:v>
      </x:c>
      <x:c r="S31" s="1"/>
      <x:c r="T31" s="1"/>
      <x:c r="U31" s="1"/>
      <x:c r="V31" s="1"/>
      <x:c r="W31" s="1"/>
      <x:c r="X31" s="1"/>
      <x:c r="Y31" s="1"/>
      <x:c r="Z31" s="1"/>
    </x:row>
    <x:row r="32">
      <x:c r="A32" s="1" t="str">
        <x:f>'Transformaciones'!A25</x:f>
        <x:v>2007-07</x:v>
      </x:c>
      <x:c r="B32" s="87" t="n">
        <x:f>'Transformaciones'!C25</x:f>
        <x:v>0.01461004290450063</x:v>
      </x:c>
      <x:c r="C32" s="87" t="n">
        <x:f>$B$6</x:f>
        <x:v>-0.00045209606279241735</x:v>
      </x:c>
      <x:c r="D32" s="87" t="n">
        <x:f>$B$7*'Transformaciones'!E25</x:f>
        <x:v>-0.004113277559898907</x:v>
      </x:c>
      <x:c r="E32" s="87" t="n">
        <x:f>$B$8*'Transformaciones'!M25</x:f>
        <x:v>-0.016044982410911884</x:v>
      </x:c>
      <x:c r="F32" s="87" t="n">
        <x:f>$B$9*'Transformaciones'!O25</x:f>
        <x:v>0.005584574554310666</x:v>
      </x:c>
      <x:c r="G32" s="87" t="n">
        <x:f>$B$10*'Transformaciones'!G24</x:f>
        <x:v>-0.0004934991599961975</x:v>
      </x:c>
      <x:c r="H32" s="87" t="n">
        <x:f>$B$11*'Transformaciones'!I24</x:f>
        <x:v>-0.0027489068362313344</x:v>
      </x:c>
      <x:c r="I32" s="87" t="n">
        <x:f>$B$12*'Transformaciones'!K24</x:f>
        <x:v>0.0009558866075571695</x:v>
      </x:c>
      <x:c r="J32" s="87" t="n">
        <x:f>$B$13*'Transformaciones'!P25</x:f>
        <x:v>0</x:v>
      </x:c>
      <x:c r="K32" s="93" t="n">
        <x:f>SUM(C32:J32)</x:f>
        <x:v>-0.017312300867962902</x:v>
      </x:c>
      <x:c r="L32" s="93" t="n">
        <x:f>B32-K32</x:f>
        <x:v>0.03192234377246353</x:v>
      </x:c>
      <x:c r="M32" s="79" t="n">
        <x:f>'Datos_fuente'!B25</x:f>
        <x:v>1951.843548</x:v>
      </x:c>
      <x:c r="N32" s="79" t="n">
        <x:f>EXP('Transformaciones'!B24+K32)</x:f>
        <x:v>1890.520128387833</x:v>
      </x:c>
      <x:c r="O32" s="1"/>
      <x:c r="P32" s="1" t="str">
        <x:f>A186</x:f>
        <x:v>2020-05</x:v>
      </x:c>
      <x:c r="Q32" s="71" t="n">
        <x:f>M186</x:f>
        <x:v>3858.191613</x:v>
      </x:c>
      <x:c r="R32" s="71" t="n">
        <x:f>N186</x:f>
        <x:v>3818.2946632891867</x:v>
      </x:c>
      <x:c r="S32" s="1"/>
      <x:c r="T32" s="1"/>
      <x:c r="U32" s="1"/>
      <x:c r="V32" s="1"/>
      <x:c r="W32" s="1"/>
      <x:c r="X32" s="1"/>
      <x:c r="Y32" s="1"/>
      <x:c r="Z32" s="1"/>
    </x:row>
    <x:row r="33">
      <x:c r="A33" s="1" t="str">
        <x:f>'Transformaciones'!A26</x:f>
        <x:v>2007-08</x:v>
      </x:c>
      <x:c r="B33" s="87" t="n">
        <x:f>'Transformaciones'!C26</x:f>
        <x:v>0.05203021676663333</x:v>
      </x:c>
      <x:c r="C33" s="87" t="n">
        <x:f>$B$6</x:f>
        <x:v>-0.00045209606279241735</x:v>
      </x:c>
      <x:c r="D33" s="87" t="n">
        <x:f>$B$7*'Transformaciones'!E26</x:f>
        <x:v>0.004320944805579374</x:v>
      </x:c>
      <x:c r="E33" s="87" t="n">
        <x:f>$B$8*'Transformaciones'!M26</x:f>
        <x:v>0.007205445281100263</x:v>
      </x:c>
      <x:c r="F33" s="87" t="n">
        <x:f>$B$9*'Transformaciones'!O26</x:f>
        <x:v>0.01431769309598924</x:v>
      </x:c>
      <x:c r="G33" s="87" t="n">
        <x:f>$B$10*'Transformaciones'!G25</x:f>
        <x:v>0.0036296196152675784</x:v>
      </x:c>
      <x:c r="H33" s="87" t="n">
        <x:f>$B$11*'Transformaciones'!I25</x:f>
        <x:v>-0.0015470591927480345</x:v>
      </x:c>
      <x:c r="I33" s="87" t="n">
        <x:f>$B$12*'Transformaciones'!K25</x:f>
        <x:v>0.001005423882315146</x:v>
      </x:c>
      <x:c r="J33" s="87" t="n">
        <x:f>$B$13*'Transformaciones'!P26</x:f>
        <x:v>0</x:v>
      </x:c>
      <x:c r="K33" s="93" t="n">
        <x:f>SUM(C33:J33)</x:f>
        <x:v>0.02847997142471115</x:v>
      </x:c>
      <x:c r="L33" s="93" t="n">
        <x:f>B33-K33</x:f>
        <x:v>0.02355024534192218</x:v>
      </x:c>
      <x:c r="M33" s="79" t="n">
        <x:f>'Datos_fuente'!B26</x:f>
        <x:v>2056.086774</x:v>
      </x:c>
      <x:c r="N33" s="79" t="n">
        <x:f>EXP('Transformaciones'!B25+K33)</x:f>
        <x:v>2008.2311437085193</x:v>
      </x:c>
      <x:c r="O33" s="1"/>
      <x:c r="P33" s="1" t="str">
        <x:f>A198</x:f>
        <x:v>2021-05</x:v>
      </x:c>
      <x:c r="Q33" s="71" t="n">
        <x:f>M198</x:f>
        <x:v>3735.666129</x:v>
      </x:c>
      <x:c r="R33" s="71" t="n">
        <x:f>N198</x:f>
        <x:v>3644.0558323059327</x:v>
      </x:c>
      <x:c r="S33" s="1"/>
      <x:c r="T33" s="1"/>
      <x:c r="U33" s="1"/>
      <x:c r="V33" s="1"/>
      <x:c r="W33" s="1"/>
      <x:c r="X33" s="1"/>
      <x:c r="Y33" s="1"/>
      <x:c r="Z33" s="1"/>
    </x:row>
    <x:row r="34">
      <x:c r="A34" s="1" t="str">
        <x:f>'Transformaciones'!A27</x:f>
        <x:v>2007-09</x:v>
      </x:c>
      <x:c r="B34" s="87" t="n">
        <x:f>'Transformaciones'!C27</x:f>
        <x:v>0.027479120264764845</x:v>
      </x:c>
      <x:c r="C34" s="87" t="n">
        <x:f>$B$6</x:f>
        <x:v>-0.00045209606279241735</x:v>
      </x:c>
      <x:c r="D34" s="87" t="n">
        <x:f>$B$7*'Transformaciones'!E27</x:f>
        <x:v>-0.004484074426973415</x:v>
      </x:c>
      <x:c r="E34" s="87" t="n">
        <x:f>$B$8*'Transformaciones'!M27</x:f>
        <x:v>-0.017275802090092236</x:v>
      </x:c>
      <x:c r="F34" s="87" t="n">
        <x:f>$B$9*'Transformaciones'!O27</x:f>
        <x:v>-0.004629251435033614</x:v>
      </x:c>
      <x:c r="G34" s="87" t="n">
        <x:f>$B$10*'Transformaciones'!G26</x:f>
        <x:v>0.00507280039597138</x:v>
      </x:c>
      <x:c r="H34" s="87" t="n">
        <x:f>$B$11*'Transformaciones'!I26</x:f>
        <x:v>-0.004695516444506045</x:v>
      </x:c>
      <x:c r="I34" s="87" t="n">
        <x:f>$B$12*'Transformaciones'!K26</x:f>
        <x:v>-0.0005140119557980487</x:v>
      </x:c>
      <x:c r="J34" s="87" t="n">
        <x:f>$B$13*'Transformaciones'!P27</x:f>
        <x:v>0</x:v>
      </x:c>
      <x:c r="K34" s="93" t="n">
        <x:f>SUM(C34:J34)</x:f>
        <x:v>-0.026977952019224396</x:v>
      </x:c>
      <x:c r="L34" s="93" t="n">
        <x:f>B34-K34</x:f>
        <x:v>0.054457072283989244</x:v>
      </x:c>
      <x:c r="M34" s="79" t="n">
        <x:f>'Datos_fuente'!B27</x:f>
        <x:v>2113.369667</x:v>
      </x:c>
      <x:c r="N34" s="79" t="n">
        <x:f>EXP('Transformaciones'!B26+K34)</x:f>
        <x:v>2001.359300467349</x:v>
      </x:c>
      <x:c r="O34" s="1"/>
      <x:c r="P34" s="1" t="str">
        <x:f>A210</x:f>
        <x:v>2022-05</x:v>
      </x:c>
      <x:c r="Q34" s="71" t="n">
        <x:f>M210</x:f>
        <x:v>4019.079355</x:v>
      </x:c>
      <x:c r="R34" s="71" t="n">
        <x:f>N210</x:f>
        <x:v>3867.602623542247</x:v>
      </x:c>
      <x:c r="S34" s="1"/>
      <x:c r="T34" s="1"/>
      <x:c r="U34" s="1"/>
      <x:c r="V34" s="1"/>
      <x:c r="W34" s="1"/>
      <x:c r="X34" s="1"/>
      <x:c r="Y34" s="1"/>
      <x:c r="Z34" s="1"/>
    </x:row>
    <x:row r="35">
      <x:c r="A35" s="1" t="str">
        <x:f>'Transformaciones'!A28</x:f>
        <x:v>2007-10</x:v>
      </x:c>
      <x:c r="B35" s="87" t="n">
        <x:f>'Transformaciones'!C28</x:f>
        <x:v>-0.05459357456620051</x:v>
      </x:c>
      <x:c r="C35" s="87" t="n">
        <x:f>$B$6</x:f>
        <x:v>-0.00045209606279241735</x:v>
      </x:c>
      <x:c r="D35" s="87" t="n">
        <x:f>$B$7*'Transformaciones'!E28</x:f>
        <x:v>-0.0033499341771341938</x:v>
      </x:c>
      <x:c r="E35" s="87" t="n">
        <x:f>$B$8*'Transformaciones'!M28</x:f>
        <x:v>-0.02706665675459308</x:v>
      </x:c>
      <x:c r="F35" s="87" t="n">
        <x:f>$B$9*'Transformaciones'!O28</x:f>
        <x:v>-0.005774786988310128</x:v>
      </x:c>
      <x:c r="G35" s="87" t="n">
        <x:f>$B$10*'Transformaciones'!G27</x:f>
        <x:v>0.004875001244683536</x:v>
      </x:c>
      <x:c r="H35" s="87" t="n">
        <x:f>$B$11*'Transformaciones'!I27</x:f>
        <x:v>-0.0007927080174290809</x:v>
      </x:c>
      <x:c r="I35" s="87" t="n">
        <x:f>$B$12*'Transformaciones'!K27</x:f>
        <x:v>0.0010373134588297654</x:v>
      </x:c>
      <x:c r="J35" s="87" t="n">
        <x:f>$B$13*'Transformaciones'!P28</x:f>
        <x:v>0</x:v>
      </x:c>
      <x:c r="K35" s="93" t="n">
        <x:f>SUM(C35:J35)</x:f>
        <x:v>-0.031523867296745604</x:v>
      </x:c>
      <x:c r="L35" s="93" t="n">
        <x:f>B35-K35</x:f>
        <x:v>-0.023069707269454905</x:v>
      </x:c>
      <x:c r="M35" s="79" t="n">
        <x:f>'Datos_fuente'!B28</x:f>
        <x:v>2001.086129</x:v>
      </x:c>
      <x:c r="N35" s="79" t="n">
        <x:f>EXP('Transformaciones'!B27+K35)</x:f>
        <x:v>2047.787219238155</x:v>
      </x:c>
      <x:c r="O35" s="1"/>
      <x:c r="P35" s="1" t="str">
        <x:f>A222</x:f>
        <x:v>2023-05</x:v>
      </x:c>
      <x:c r="Q35" s="71" t="n">
        <x:f>M222</x:f>
        <x:v>4540.089032</x:v>
      </x:c>
      <x:c r="R35" s="71" t="n">
        <x:f>N222</x:f>
        <x:v>4571.162417651084</x:v>
      </x:c>
      <x:c r="S35" s="1"/>
      <x:c r="T35" s="1"/>
      <x:c r="U35" s="1"/>
      <x:c r="V35" s="1"/>
      <x:c r="W35" s="1"/>
      <x:c r="X35" s="1"/>
      <x:c r="Y35" s="1"/>
      <x:c r="Z35" s="1"/>
    </x:row>
    <x:row r="36">
      <x:c r="A36" s="1" t="str">
        <x:f>'Transformaciones'!A29</x:f>
        <x:v>2007-11</x:v>
      </x:c>
      <x:c r="B36" s="87" t="n">
        <x:f>'Transformaciones'!C29</x:f>
        <x:v>0.022371041458117524</x:v>
      </x:c>
      <x:c r="C36" s="87" t="n">
        <x:f>$B$6</x:f>
        <x:v>-0.00045209606279241735</x:v>
      </x:c>
      <x:c r="D36" s="87" t="n">
        <x:f>$B$7*'Transformaciones'!E29</x:f>
        <x:v>-0.005966557950434333</x:v>
      </x:c>
      <x:c r="E36" s="87" t="n">
        <x:f>$B$8*'Transformaciones'!M29</x:f>
        <x:v>-0.01824303510060731</x:v>
      </x:c>
      <x:c r="F36" s="87" t="n">
        <x:f>$B$9*'Transformaciones'!O29</x:f>
        <x:v>0.011253052414591349</x:v>
      </x:c>
      <x:c r="G36" s="87" t="n">
        <x:f>$B$10*'Transformaciones'!G28</x:f>
        <x:v>0.006011336776308894</x:v>
      </x:c>
      <x:c r="H36" s="87" t="n">
        <x:f>$B$11*'Transformaciones'!I28</x:f>
        <x:v>-0.0017835930392154564</x:v>
      </x:c>
      <x:c r="I36" s="87" t="n">
        <x:f>$B$12*'Transformaciones'!K28</x:f>
        <x:v>0.00029969892267719554</x:v>
      </x:c>
      <x:c r="J36" s="87" t="n">
        <x:f>$B$13*'Transformaciones'!P29</x:f>
        <x:v>0</x:v>
      </x:c>
      <x:c r="K36" s="93" t="n">
        <x:f>SUM(C36:J36)</x:f>
        <x:v>-0.008881194039472075</x:v>
      </x:c>
      <x:c r="L36" s="93" t="n">
        <x:f>B36-K36</x:f>
        <x:v>0.0312522354975896</x:v>
      </x:c>
      <x:c r="M36" s="79" t="n">
        <x:f>'Datos_fuente'!B29</x:f>
        <x:v>2046.357</x:v>
      </x:c>
      <x:c r="N36" s="79" t="n">
        <x:f>EXP('Transformaciones'!B28+K36)</x:f>
        <x:v>1983.3927801285727</x:v>
      </x:c>
      <x:c r="O36" s="1"/>
      <x:c r="P36" s="1" t="str">
        <x:f>A234</x:f>
        <x:v>2024-05</x:v>
      </x:c>
      <x:c r="Q36" s="71" t="n">
        <x:f>M234</x:f>
        <x:v>3869.100645</x:v>
      </x:c>
      <x:c r="R36" s="71" t="n">
        <x:f>N234</x:f>
        <x:v>3901.358819101147</x:v>
      </x:c>
      <x:c r="S36" s="1"/>
      <x:c r="T36" s="1"/>
      <x:c r="U36" s="1"/>
      <x:c r="V36" s="1"/>
      <x:c r="W36" s="1"/>
      <x:c r="X36" s="1"/>
      <x:c r="Y36" s="1"/>
      <x:c r="Z36" s="1"/>
    </x:row>
    <x:row r="37">
      <x:c r="A37" s="1" t="str">
        <x:f>'Transformaciones'!A30</x:f>
        <x:v>2007-12</x:v>
      </x:c>
      <x:c r="B37" s="87" t="n">
        <x:f>'Transformaciones'!C30</x:f>
        <x:v>-0.016020515023585702</x:v>
      </x:c>
      <x:c r="C37" s="87" t="n">
        <x:f>$B$6</x:f>
        <x:v>-0.00045209606279241735</x:v>
      </x:c>
      <x:c r="D37" s="87" t="n">
        <x:f>$B$7*'Transformaciones'!E30</x:f>
        <x:v>0.000838775579340922</x:v>
      </x:c>
      <x:c r="E37" s="87" t="n">
        <x:f>$B$8*'Transformaciones'!M30</x:f>
        <x:v>0.012919434208709802</x:v>
      </x:c>
      <x:c r="F37" s="87" t="n">
        <x:f>$B$9*'Transformaciones'!O30</x:f>
        <x:v>-0.006443445958491756</x:v>
      </x:c>
      <x:c r="G37" s="87" t="n">
        <x:f>$B$10*'Transformaciones'!G29</x:f>
        <x:v>0.00750700773277664</x:v>
      </x:c>
      <x:c r="H37" s="87" t="n">
        <x:f>$B$11*'Transformaciones'!I29</x:f>
        <x:v>-0.003088258321203775</x:v>
      </x:c>
      <x:c r="I37" s="87" t="n">
        <x:f>$B$12*'Transformaciones'!K29</x:f>
        <x:v>0.00033052717162332753</x:v>
      </x:c>
      <x:c r="J37" s="87" t="n">
        <x:f>$B$13*'Transformaciones'!P30</x:f>
        <x:v>0</x:v>
      </x:c>
      <x:c r="K37" s="93" t="n">
        <x:f>SUM(C37:J37)</x:f>
        <x:v>0.011611944349962742</x:v>
      </x:c>
      <x:c r="L37" s="93" t="n">
        <x:f>B37-K37</x:f>
        <x:v>-0.027632459373548444</x:v>
      </x:c>
      <x:c r="M37" s="79" t="n">
        <x:f>'Datos_fuente'!B30</x:f>
        <x:v>2013.834516</x:v>
      </x:c>
      <x:c r="N37" s="79" t="n">
        <x:f>EXP('Transformaciones'!B29+K37)</x:f>
        <x:v>2070.257681739383</x:v>
      </x:c>
      <x:c r="O37" s="1"/>
      <x:c r="P37" s="1" t="str">
        <x:f>A246</x:f>
        <x:v>2025-05</x:v>
      </x:c>
      <x:c r="Q37" s="71" t="n">
        <x:f>M246</x:f>
        <x:v>4203.377097</x:v>
      </x:c>
      <x:c r="R37" s="71" t="n">
        <x:f>N246</x:f>
        <x:v>4153.232440736634</x:v>
      </x:c>
      <x:c r="S37" s="1"/>
      <x:c r="T37" s="1"/>
      <x:c r="U37" s="1"/>
      <x:c r="V37" s="1"/>
      <x:c r="W37" s="1"/>
      <x:c r="X37" s="1"/>
      <x:c r="Y37" s="1"/>
      <x:c r="Z37" s="1"/>
    </x:row>
    <x:row r="38">
      <x:c r="A38" s="1" t="str">
        <x:f>'Transformaciones'!A31</x:f>
        <x:v>2008-01</x:v>
      </x:c>
      <x:c r="B38" s="87" t="n">
        <x:f>'Transformaciones'!C31</x:f>
        <x:v>-0.01533689232879265</x:v>
      </x:c>
      <x:c r="C38" s="87" t="n">
        <x:f>$B$6</x:f>
        <x:v>-0.00045209606279241735</x:v>
      </x:c>
      <x:c r="D38" s="87" t="n">
        <x:f>$B$7*'Transformaciones'!E31</x:f>
        <x:v>-0.0007064924452223161</x:v>
      </x:c>
      <x:c r="E38" s="87" t="n">
        <x:f>$B$8*'Transformaciones'!M31</x:f>
        <x:v>-0.00823335505812354</x:v>
      </x:c>
      <x:c r="F38" s="87" t="n">
        <x:f>$B$9*'Transformaciones'!O31</x:f>
        <x:v>0.006794788171872569</x:v>
      </x:c>
      <x:c r="G38" s="87" t="n">
        <x:f>$B$10*'Transformaciones'!G30</x:f>
        <x:v>0.00309897563588423</x:v>
      </x:c>
      <x:c r="H38" s="87" t="n">
        <x:f>$B$11*'Transformaciones'!I30</x:f>
        <x:v>-0.004541556346551202</x:v>
      </x:c>
      <x:c r="I38" s="87" t="n">
        <x:f>$B$12*'Transformaciones'!K30</x:f>
        <x:v>-0.00034786864197596337</x:v>
      </x:c>
      <x:c r="J38" s="87" t="n">
        <x:f>$B$13*'Transformaciones'!P31</x:f>
        <x:v>0</x:v>
      </x:c>
      <x:c r="K38" s="93" t="n">
        <x:f>SUM(C38:J38)</x:f>
        <x:v>-0.00438760474690864</x:v>
      </x:c>
      <x:c r="L38" s="93" t="n">
        <x:f>B38-K38</x:f>
        <x:v>-0.010949287581884012</x:v>
      </x:c>
      <x:c r="M38" s="79" t="n">
        <x:f>'Datos_fuente'!B31</x:f>
        <x:v>1983.184194</x:v>
      </x:c>
      <x:c r="N38" s="79" t="n">
        <x:f>EXP('Transformaciones'!B30+K38)</x:f>
        <x:v>2005.0179620391214</x:v>
      </x:c>
      <x:c r="O38" s="1"/>
      <x:c r="P38" s="1" t="str">
        <x:f>A257</x:f>
        <x:v>2026-04</x:v>
      </x:c>
      <x:c r="Q38" s="71" t="n">
        <x:f>M257</x:f>
        <x:v>3617.518667</x:v>
      </x:c>
      <x:c r="R38" s="71" t="n">
        <x:f>N257</x:f>
        <x:v>3626.696007044202</x:v>
      </x:c>
      <x:c r="S38" s="1"/>
      <x:c r="T38" s="1"/>
      <x:c r="U38" s="1"/>
      <x:c r="V38" s="1"/>
      <x:c r="W38" s="1"/>
      <x:c r="X38" s="1"/>
      <x:c r="Y38" s="1"/>
      <x:c r="Z38" s="1"/>
    </x:row>
    <x:row r="39">
      <x:c r="A39" s="1" t="str">
        <x:f>'Transformaciones'!A32</x:f>
        <x:v>2008-02</x:v>
      </x:c>
      <x:c r="B39" s="87" t="n">
        <x:f>'Transformaciones'!C32</x:f>
        <x:v>-0.0400673319501923</x:v>
      </x:c>
      <x:c r="C39" s="87" t="n">
        <x:f>$B$6</x:f>
        <x:v>-0.00045209606279241735</x:v>
      </x:c>
      <x:c r="D39" s="87" t="n">
        <x:f>$B$7*'Transformaciones'!E32</x:f>
        <x:v>-0.0015514016110895308</x:v>
      </x:c>
      <x:c r="E39" s="87" t="n">
        <x:f>$B$8*'Transformaciones'!M32</x:f>
        <x:v>-0.010286882542876314</x:v>
      </x:c>
      <x:c r="F39" s="87" t="n">
        <x:f>$B$9*'Transformaciones'!O32</x:f>
        <x:v>-0.0005425923662208086</x:v>
      </x:c>
      <x:c r="G39" s="87" t="n">
        <x:f>$B$10*'Transformaciones'!G31</x:f>
        <x:v>0.004445391275339117</x:v>
      </x:c>
      <x:c r="H39" s="87" t="n">
        <x:f>$B$11*'Transformaciones'!I31</x:f>
        <x:v>-0.002972655065359082</x:v>
      </x:c>
      <x:c r="I39" s="87" t="n">
        <x:f>$B$12*'Transformaciones'!K31</x:f>
        <x:v>-0.0010554994009052358</x:v>
      </x:c>
      <x:c r="J39" s="87" t="n">
        <x:f>$B$13*'Transformaciones'!P32</x:f>
        <x:v>0</x:v>
      </x:c>
      <x:c r="K39" s="93" t="n">
        <x:f>SUM(C39:J39)</x:f>
        <x:v>-0.012415735773904271</x:v>
      </x:c>
      <x:c r="L39" s="93" t="n">
        <x:f>B39-K39</x:f>
        <x:v>-0.027651596176288026</x:v>
      </x:c>
      <x:c r="M39" s="79" t="n">
        <x:f>'Datos_fuente'!B32</x:f>
        <x:v>1905.294138</x:v>
      </x:c>
      <x:c r="N39" s="79" t="n">
        <x:f>EXP('Transformaciones'!B31+K39)</x:f>
        <x:v>1958.7137268273966</x:v>
      </x:c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>
      <x:c r="A40" s="1" t="str">
        <x:f>'Transformaciones'!A33</x:f>
        <x:v>2008-03</x:v>
      </x:c>
      <x:c r="B40" s="87" t="n">
        <x:f>'Transformaciones'!C33</x:f>
        <x:v>-0.032974135656160364</x:v>
      </x:c>
      <x:c r="C40" s="87" t="n">
        <x:f>$B$6</x:f>
        <x:v>-0.00045209606279241735</x:v>
      </x:c>
      <x:c r="D40" s="87" t="n">
        <x:f>$B$7*'Transformaciones'!E33</x:f>
        <x:v>-0.004504731505598545</x:v>
      </x:c>
      <x:c r="E40" s="87" t="n">
        <x:f>$B$8*'Transformaciones'!M33</x:f>
        <x:v>-0.024976200999894324</x:v>
      </x:c>
      <x:c r="F40" s="87" t="n">
        <x:f>$B$9*'Transformaciones'!O33</x:f>
        <x:v>0.0024217687574231727</x:v>
      </x:c>
      <x:c r="G40" s="87" t="n">
        <x:f>$B$10*'Transformaciones'!G32</x:f>
        <x:v>0.0033536804926129204</x:v>
      </x:c>
      <x:c r="H40" s="87" t="n">
        <x:f>$B$11*'Transformaciones'!I32</x:f>
        <x:v>-0.009939601819254542</x:v>
      </x:c>
      <x:c r="I40" s="87" t="n">
        <x:f>$B$12*'Transformaciones'!K32</x:f>
        <x:v>0.0005776123776871074</x:v>
      </x:c>
      <x:c r="J40" s="87" t="n">
        <x:f>$B$13*'Transformaciones'!P33</x:f>
        <x:v>0</x:v>
      </x:c>
      <x:c r="K40" s="93" t="n">
        <x:f>SUM(C40:J40)</x:f>
        <x:v>-0.033519568759816626</x:v>
      </x:c>
      <x:c r="L40" s="93" t="n">
        <x:f>B40-K40</x:f>
        <x:v>0.0005454331036562621</x:v>
      </x:c>
      <x:c r="M40" s="79" t="n">
        <x:f>'Datos_fuente'!B33</x:f>
        <x:v>1843.493226</x:v>
      </x:c>
      <x:c r="N40" s="79" t="n">
        <x:f>EXP('Transformaciones'!B32+K40)</x:f>
        <x:v>1842.4879979354268</x:v>
      </x:c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>
      <x:c r="A41" s="1" t="str">
        <x:f>'Transformaciones'!A34</x:f>
        <x:v>2008-04</x:v>
      </x:c>
      <x:c r="B41" s="87" t="n">
        <x:f>'Transformaciones'!C34</x:f>
        <x:v>-0.02659986224359212</x:v>
      </x:c>
      <x:c r="C41" s="87" t="n">
        <x:f>$B$6</x:f>
        <x:v>-0.00045209606279241735</x:v>
      </x:c>
      <x:c r="D41" s="87" t="n">
        <x:f>$B$7*'Transformaciones'!E34</x:f>
        <x:v>-0.0026426354600370154</x:v>
      </x:c>
      <x:c r="E41" s="87" t="n">
        <x:f>$B$8*'Transformaciones'!M34</x:f>
        <x:v>-0.0040970405519755</x:v>
      </x:c>
      <x:c r="F41" s="87" t="n">
        <x:f>$B$9*'Transformaciones'!O34</x:f>
        <x:v>-0.008831733541102074</x:v>
      </x:c>
      <x:c r="G41" s="87" t="n">
        <x:f>$B$10*'Transformaciones'!G33</x:f>
        <x:v>0.0029014909515460126</x:v>
      </x:c>
      <x:c r="H41" s="87" t="n">
        <x:f>$B$11*'Transformaciones'!I33</x:f>
        <x:v>-0.005716381524969967</x:v>
      </x:c>
      <x:c r="I41" s="87" t="n">
        <x:f>$B$12*'Transformaciones'!K33</x:f>
        <x:v>-0.0009662172458761684</x:v>
      </x:c>
      <x:c r="J41" s="87" t="n">
        <x:f>$B$13*'Transformaciones'!P34</x:f>
        <x:v>0</x:v>
      </x:c>
      <x:c r="K41" s="93" t="n">
        <x:f>SUM(C41:J41)</x:f>
        <x:v>-0.01980461343520713</x:v>
      </x:c>
      <x:c r="L41" s="93" t="n">
        <x:f>B41-K41</x:f>
        <x:v>-0.006795248808384991</x:v>
      </x:c>
      <x:c r="M41" s="79" t="n">
        <x:f>'Datos_fuente'!B34</x:f>
        <x:v>1795.103</x:v>
      </x:c>
      <x:c r="N41" s="79" t="n">
        <x:f>EXP('Transformaciones'!B33+K41)</x:f>
        <x:v>1807.342710362542</x:v>
      </x:c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>
      <x:c r="A42" s="1" t="str">
        <x:f>'Transformaciones'!A35</x:f>
        <x:v>2008-05</x:v>
      </x:c>
      <x:c r="B42" s="87" t="n">
        <x:f>'Transformaciones'!C35</x:f>
        <x:v>-0.011174022850453547</x:v>
      </x:c>
      <x:c r="C42" s="87" t="n">
        <x:f>$B$6</x:f>
        <x:v>-0.00045209606279241735</x:v>
      </x:c>
      <x:c r="D42" s="87" t="n">
        <x:f>$B$7*'Transformaciones'!E35</x:f>
        <x:v>-0.006127156110645061</x:v>
      </x:c>
      <x:c r="E42" s="87" t="n">
        <x:f>$B$8*'Transformaciones'!M35</x:f>
        <x:v>0.003881509880330482</x:v>
      </x:c>
      <x:c r="F42" s="87" t="n">
        <x:f>$B$9*'Transformaciones'!O35</x:f>
        <x:v>-0.006328782910883111</x:v>
      </x:c>
      <x:c r="G42" s="87" t="n">
        <x:f>$B$10*'Transformaciones'!G34</x:f>
        <x:v>0.0049805620028239945</x:v>
      </x:c>
      <x:c r="H42" s="87" t="n">
        <x:f>$B$11*'Transformaciones'!I34</x:f>
        <x:v>-0.003269920571894993</x:v>
      </x:c>
      <x:c r="I42" s="87" t="n">
        <x:f>$B$12*'Transformaciones'!K34</x:f>
        <x:v>-0.0028547611323365405</x:v>
      </x:c>
      <x:c r="J42" s="87" t="n">
        <x:f>$B$13*'Transformaciones'!P35</x:f>
        <x:v>0</x:v>
      </x:c>
      <x:c r="K42" s="93" t="n">
        <x:f>SUM(C42:J42)</x:f>
        <x:v>-0.010170644905397645</x:v>
      </x:c>
      <x:c r="L42" s="93" t="n">
        <x:f>B42-K42</x:f>
        <x:v>-0.0010033779450559013</x:v>
      </x:c>
      <x:c r="M42" s="79" t="n">
        <x:f>'Datos_fuente'!B35</x:f>
        <x:v>1775.156129</x:v>
      </x:c>
      <x:c r="N42" s="79" t="n">
        <x:f>EXP('Transformaciones'!B34+K42)</x:f>
        <x:v>1776.938175392384</x:v>
      </x:c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>
      <x:c r="A43" s="1" t="str">
        <x:f>'Transformaciones'!A36</x:f>
        <x:v>2008-06</x:v>
      </x:c>
      <x:c r="B43" s="87" t="n">
        <x:f>'Transformaciones'!C36</x:f>
        <x:v>-0.024446263298544046</x:v>
      </x:c>
      <x:c r="C43" s="87" t="n">
        <x:f>$B$6</x:f>
        <x:v>-0.00045209606279241735</x:v>
      </x:c>
      <x:c r="D43" s="87" t="n">
        <x:f>$B$7*'Transformaciones'!E36</x:f>
        <x:v>-0.0038617993900550845</x:v>
      </x:c>
      <x:c r="E43" s="87" t="n">
        <x:f>$B$8*'Transformaciones'!M36</x:f>
        <x:v>0.0034703215437945373</x:v>
      </x:c>
      <x:c r="F43" s="87" t="n">
        <x:f>$B$9*'Transformaciones'!O36</x:f>
        <x:v>0.007297518892842479</x:v>
      </x:c>
      <x:c r="G43" s="87" t="n">
        <x:f>$B$10*'Transformaciones'!G35</x:f>
        <x:v>0.003646340928046426</x:v>
      </x:c>
      <x:c r="H43" s="87" t="n">
        <x:f>$B$11*'Transformaciones'!I35</x:f>
        <x:v>-0.002972655065359082</x:v>
      </x:c>
      <x:c r="I43" s="87" t="n">
        <x:f>$B$12*'Transformaciones'!K35</x:f>
        <x:v>0.0020630072006867393</x:v>
      </x:c>
      <x:c r="J43" s="87" t="n">
        <x:f>$B$13*'Transformaciones'!P36</x:f>
        <x:v>0</x:v>
      </x:c>
      <x:c r="K43" s="93" t="n">
        <x:f>SUM(C43:J43)</x:f>
        <x:v>0.009190638047163597</x:v>
      </x:c>
      <x:c r="L43" s="93" t="n">
        <x:f>B43-K43</x:f>
        <x:v>-0.03363690134570764</x:v>
      </x:c>
      <x:c r="M43" s="79" t="n">
        <x:f>'Datos_fuente'!B36</x:f>
        <x:v>1732.286333</x:v>
      </x:c>
      <x:c r="N43" s="79" t="n">
        <x:f>EXP('Transformaciones'!B35+K43)</x:f>
        <x:v>1791.5461484581074</x:v>
      </x:c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>
      <x:c r="A44" s="1" t="str">
        <x:f>'Transformaciones'!A37</x:f>
        <x:v>2008-07</x:v>
      </x:c>
      <x:c r="B44" s="87" t="n">
        <x:f>'Transformaciones'!C37</x:f>
        <x:v>0.027758245328208808</x:v>
      </x:c>
      <x:c r="C44" s="87" t="n">
        <x:f>$B$6</x:f>
        <x:v>-0.00045209606279241735</x:v>
      </x:c>
      <x:c r="D44" s="87" t="n">
        <x:f>$B$7*'Transformaciones'!E37</x:f>
        <x:v>-0.00015439039755088115</x:v>
      </x:c>
      <x:c r="E44" s="87" t="n">
        <x:f>$B$8*'Transformaciones'!M37</x:f>
        <x:v>-0.008669098166239978</x:v>
      </x:c>
      <x:c r="F44" s="87" t="n">
        <x:f>$B$9*'Transformaciones'!O37</x:f>
        <x:v>0.0036811254373144554</x:v>
      </x:c>
      <x:c r="G44" s="87" t="n">
        <x:f>$B$10*'Transformaciones'!G36</x:f>
        <x:v>0.0015284936378363622</x:v>
      </x:c>
      <x:c r="H44" s="87" t="n">
        <x:f>$B$11*'Transformaciones'!I36</x:f>
        <x:v>0.00019817700435726803</x:v>
      </x:c>
      <x:c r="I44" s="87" t="n">
        <x:f>$B$12*'Transformaciones'!K36</x:f>
        <x:v>-0.0029540985834673075</x:v>
      </x:c>
      <x:c r="J44" s="87" t="n">
        <x:f>$B$13*'Transformaciones'!P37</x:f>
        <x:v>0</x:v>
      </x:c>
      <x:c r="K44" s="93" t="n">
        <x:f>SUM(C44:J44)</x:f>
        <x:v>-0.006821887130542497</x:v>
      </x:c>
      <x:c r="L44" s="93" t="n">
        <x:f>B44-K44</x:f>
        <x:v>0.03458013245875131</x:v>
      </x:c>
      <x:c r="M44" s="79" t="n">
        <x:f>'Datos_fuente'!B37</x:f>
        <x:v>1781.045161</x:v>
      </x:c>
      <x:c r="N44" s="79" t="n">
        <x:f>EXP('Transformaciones'!B36+K44)</x:f>
        <x:v>1720.5090883495732</x:v>
      </x:c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>
      <x:c r="A45" s="1" t="str">
        <x:f>'Transformaciones'!A38</x:f>
        <x:v>2008-08</x:v>
      </x:c>
      <x:c r="B45" s="87" t="n">
        <x:f>'Transformaciones'!C38</x:f>
        <x:v>0.03662079021394682</x:v>
      </x:c>
      <x:c r="C45" s="87" t="n">
        <x:f>$B$6</x:f>
        <x:v>-0.00045209606279241735</x:v>
      </x:c>
      <x:c r="D45" s="87" t="n">
        <x:f>$B$7*'Transformaciones'!E38</x:f>
        <x:v>0.008202998018993959</x:v>
      </x:c>
      <x:c r="E45" s="87" t="n">
        <x:f>$B$8*'Transformaciones'!M38</x:f>
        <x:v>0.03451688528374934</x:v>
      </x:c>
      <x:c r="F45" s="87" t="n">
        <x:f>$B$9*'Transformaciones'!O38</x:f>
        <x:v>-0.006234715375710642</x:v>
      </x:c>
      <x:c r="G45" s="87" t="n">
        <x:f>$B$10*'Transformaciones'!G37</x:f>
        <x:v>0.0052749009863065025</x:v>
      </x:c>
      <x:c r="H45" s="87" t="n">
        <x:f>$B$11*'Transformaciones'!I37</x:f>
        <x:v>-0.00022055183222447185</x:v>
      </x:c>
      <x:c r="I45" s="87" t="n">
        <x:f>$B$12*'Transformaciones'!K37</x:f>
        <x:v>-0.0005489254188817476</x:v>
      </x:c>
      <x:c r="J45" s="87" t="n">
        <x:f>$B$13*'Transformaciones'!P38</x:f>
        <x:v>0</x:v>
      </x:c>
      <x:c r="K45" s="93" t="n">
        <x:f>SUM(C45:J45)</x:f>
        <x:v>0.04053849559944052</x:v>
      </x:c>
      <x:c r="L45" s="93" t="n">
        <x:f>B45-K45</x:f>
        <x:v>-0.0039177053854937</x:v>
      </x:c>
      <x:c r="M45" s="79" t="n">
        <x:f>'Datos_fuente'!B38</x:f>
        <x:v>1847.477419</x:v>
      </x:c>
      <x:c r="N45" s="79" t="n">
        <x:f>EXP('Transformaciones'!B37+K45)</x:f>
        <x:v>1854.7294876926353</x:v>
      </x:c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>
      <x:c r="A46" s="1" t="str">
        <x:f>'Transformaciones'!A39</x:f>
        <x:v>2008-09</x:v>
      </x:c>
      <x:c r="B46" s="87" t="n">
        <x:f>'Transformaciones'!C39</x:f>
        <x:v>0.11188372836738125</x:v>
      </x:c>
      <x:c r="C46" s="87" t="n">
        <x:f>$B$6</x:f>
        <x:v>-0.00045209606279241735</x:v>
      </x:c>
      <x:c r="D46" s="87" t="n">
        <x:f>$B$7*'Transformaciones'!E39</x:f>
        <x:v>0.007878451407201056</x:v>
      </x:c>
      <x:c r="E46" s="87" t="n">
        <x:f>$B$8*'Transformaciones'!M39</x:f>
        <x:v>0.031287272244801545</x:v>
      </x:c>
      <x:c r="F46" s="87" t="n">
        <x:f>$B$9*'Transformaciones'!O39</x:f>
        <x:v>0.014643502603463143</x:v>
      </x:c>
      <x:c r="G46" s="87" t="n">
        <x:f>$B$10*'Transformaciones'!G38</x:f>
        <x:v>-0.0023305006517832243</x:v>
      </x:c>
      <x:c r="H46" s="87" t="n">
        <x:f>$B$11*'Transformaciones'!I38</x:f>
        <x:v>-0.0022566607222414313</x:v>
      </x:c>
      <x:c r="I46" s="87" t="n">
        <x:f>$B$12*'Transformaciones'!K38</x:f>
        <x:v>0.0020473639416401365</x:v>
      </x:c>
      <x:c r="J46" s="87" t="n">
        <x:f>$B$13*'Transformaciones'!P39</x:f>
        <x:v>0</x:v>
      </x:c>
      <x:c r="K46" s="93" t="n">
        <x:f>SUM(C46:J46)</x:f>
        <x:v>0.050817332760288804</x:v>
      </x:c>
      <x:c r="L46" s="93" t="n">
        <x:f>B46-K46</x:f>
        <x:v>0.06106639560709245</x:v>
      </x:c>
      <x:c r="M46" s="79" t="n">
        <x:f>'Datos_fuente'!B39</x:f>
        <x:v>2066.187</x:v>
      </x:c>
      <x:c r="N46" s="79" t="n">
        <x:f>EXP('Transformaciones'!B38+K46)</x:f>
        <x:v>1943.787684075163</x:v>
      </x:c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>
      <x:c r="A47" s="1" t="str">
        <x:f>'Transformaciones'!A40</x:f>
        <x:v>2008-10</x:v>
      </x:c>
      <x:c r="B47" s="87" t="n">
        <x:f>'Transformaciones'!C40</x:f>
        <x:v>0.10234815195094793</x:v>
      </x:c>
      <x:c r="C47" s="87" t="n">
        <x:f>$B$6</x:f>
        <x:v>-0.00045209606279241735</x:v>
      </x:c>
      <x:c r="D47" s="87" t="n">
        <x:f>$B$7*'Transformaciones'!E40</x:f>
        <x:v>0.015832423907936818</x:v>
      </x:c>
      <x:c r="E47" s="87" t="n">
        <x:f>$B$8*'Transformaciones'!M40</x:f>
        <x:v>0.08700396287127038</x:v>
      </x:c>
      <x:c r="F47" s="87" t="n">
        <x:f>$B$9*'Transformaciones'!O40</x:f>
        <x:v>0.027212310893561624</x:v>
      </x:c>
      <x:c r="G47" s="87" t="n">
        <x:f>$B$10*'Transformaciones'!G39</x:f>
        <x:v>0.004089204723391612</x:v>
      </x:c>
      <x:c r="H47" s="87" t="n">
        <x:f>$B$11*'Transformaciones'!I39</x:f>
        <x:v>-0.0018826815413940815</x:v>
      </x:c>
      <x:c r="I47" s="87" t="n">
        <x:f>$B$12*'Transformaciones'!K39</x:f>
        <x:v>-0.0003968481616168661</x:v>
      </x:c>
      <x:c r="J47" s="87" t="n">
        <x:f>$B$13*'Transformaciones'!P40</x:f>
        <x:v>0</x:v>
      </x:c>
      <x:c r="K47" s="93" t="n">
        <x:f>SUM(C47:J47)</x:f>
        <x:v>0.13140627663035706</x:v>
      </x:c>
      <x:c r="L47" s="93" t="n">
        <x:f>B47-K47</x:f>
        <x:v>-0.02905812467940913</x:v>
      </x:c>
      <x:c r="M47" s="79" t="n">
        <x:f>'Datos_fuente'!B40</x:f>
        <x:v>2288.858065</x:v>
      </x:c>
      <x:c r="N47" s="79" t="n">
        <x:f>EXP('Transformaciones'!B39+K47)</x:f>
        <x:v>2356.3437431180537</x:v>
      </x:c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>
      <x:c r="A48" s="1" t="str">
        <x:f>'Transformaciones'!A41</x:f>
        <x:v>2008-11</x:v>
      </x:c>
      <x:c r="B48" s="87" t="n">
        <x:f>'Transformaciones'!C41</x:f>
        <x:v>0.019384961661350175</x:v>
      </x:c>
      <x:c r="C48" s="87" t="n">
        <x:f>$B$6</x:f>
        <x:v>-0.00045209606279241735</x:v>
      </x:c>
      <x:c r="D48" s="87" t="n">
        <x:f>$B$7*'Transformaciones'!E41</x:f>
        <x:v>0.016072966853501323</x:v>
      </x:c>
      <x:c r="E48" s="87" t="n">
        <x:f>$B$8*'Transformaciones'!M41</x:f>
        <x:v>0.033330423890279154</x:v>
      </x:c>
      <x:c r="F48" s="87" t="n">
        <x:f>$B$9*'Transformaciones'!O41</x:f>
        <x:v>0.0009302369539699265</x:v>
      </x:c>
      <x:c r="G48" s="87" t="n">
        <x:f>$B$10*'Transformaciones'!G40</x:f>
        <x:v>-0.00035304561198200323</x:v>
      </x:c>
      <x:c r="H48" s="87" t="n">
        <x:f>$B$11*'Transformaciones'!I40</x:f>
        <x:v>-0.008323434183005433</x:v>
      </x:c>
      <x:c r="I48" s="87" t="n">
        <x:f>$B$12*'Transformaciones'!K40</x:f>
        <x:v>-0.0002759971489779692</x:v>
      </x:c>
      <x:c r="J48" s="87" t="n">
        <x:f>$B$13*'Transformaciones'!P41</x:f>
        <x:v>0</x:v>
      </x:c>
      <x:c r="K48" s="93" t="n">
        <x:f>SUM(C48:J48)</x:f>
        <x:v>0.040929054690992575</x:v>
      </x:c>
      <x:c r="L48" s="93" t="n">
        <x:f>B48-K48</x:f>
        <x:v>-0.0215440930296424</x:v>
      </x:c>
      <x:c r="M48" s="79" t="n">
        <x:f>'Datos_fuente'!B41</x:f>
        <x:v>2333.660333</x:v>
      </x:c>
      <x:c r="N48" s="79" t="n">
        <x:f>EXP('Transformaciones'!B40+K48)</x:f>
        <x:v>2384.4824204718852</x:v>
      </x:c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>
      <x:c r="A49" s="1" t="str">
        <x:f>'Transformaciones'!A42</x:f>
        <x:v>2008-12</x:v>
      </x:c>
      <x:c r="B49" s="87" t="n">
        <x:f>'Transformaciones'!C42</x:f>
        <x:v>-0.03583674759006694</x:v>
      </x:c>
      <x:c r="C49" s="87" t="n">
        <x:f>$B$6</x:f>
        <x:v>-0.00045209606279241735</x:v>
      </x:c>
      <x:c r="D49" s="87" t="n">
        <x:f>$B$7*'Transformaciones'!E42</x:f>
        <x:v>0.014078984609464204</x:v>
      </x:c>
      <x:c r="E49" s="87" t="n">
        <x:f>$B$8*'Transformaciones'!M42</x:f>
        <x:v>-0.013390252452874679</x:v>
      </x:c>
      <x:c r="F49" s="87" t="n">
        <x:f>$B$9*'Transformaciones'!O42</x:f>
        <x:v>-0.006907315100302946</x:v>
      </x:c>
      <x:c r="G49" s="87" t="n">
        <x:f>$B$10*'Transformaciones'!G41</x:f>
        <x:v>-0.007522330921137923</x:v>
      </x:c>
      <x:c r="H49" s="87" t="n">
        <x:f>$B$11*'Transformaciones'!I41</x:f>
        <x:v>-0.005747133126360896</x:v>
      </x:c>
      <x:c r="I49" s="87" t="n">
        <x:f>$B$12*'Transformaciones'!K41</x:f>
        <x:v>0.002732262257866775</x:v>
      </x:c>
      <x:c r="J49" s="87" t="n">
        <x:f>$B$13*'Transformaciones'!P42</x:f>
        <x:v>0</x:v>
      </x:c>
      <x:c r="K49" s="93" t="n">
        <x:f>SUM(C49:J49)</x:f>
        <x:v>-0.017207880796137883</x:v>
      </x:c>
      <x:c r="L49" s="93" t="n">
        <x:f>B49-K49</x:f>
        <x:v>-0.01862886679392906</x:v>
      </x:c>
      <x:c r="M49" s="79" t="n">
        <x:f>'Datos_fuente'!B42</x:f>
        <x:v>2251.510323</x:v>
      </x:c>
      <x:c r="N49" s="79" t="n">
        <x:f>EXP('Transformaciones'!B41+K49)</x:f>
        <x:v>2293.846522263618</x:v>
      </x:c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>
      <x:c r="A50" s="1" t="str">
        <x:f>'Transformaciones'!A43</x:f>
        <x:v>2009-01</x:v>
      </x:c>
      <x:c r="B50" s="87" t="n">
        <x:f>'Transformaciones'!C43</x:f>
        <x:v>0.0008860372217656121</x:v>
      </x:c>
      <x:c r="C50" s="87" t="n">
        <x:f>$B$6</x:f>
        <x:v>-0.00045209606279241735</x:v>
      </x:c>
      <x:c r="D50" s="87" t="n">
        <x:f>$B$7*'Transformaciones'!E43</x:f>
        <x:v>-0.004332853785401</x:v>
      </x:c>
      <x:c r="E50" s="87" t="n">
        <x:f>$B$8*'Transformaciones'!M43</x:f>
        <x:v>0.00838108488794365</x:v>
      </x:c>
      <x:c r="F50" s="87" t="n">
        <x:f>$B$9*'Transformaciones'!O43</x:f>
        <x:v>-0.006156001547195127</x:v>
      </x:c>
      <x:c r="G50" s="87" t="n">
        <x:f>$B$10*'Transformaciones'!G42</x:f>
        <x:v>0.000263308892652229</x:v>
      </x:c>
      <x:c r="H50" s="87" t="n">
        <x:f>$B$11*'Transformaciones'!I42</x:f>
        <x:v>-0.0006808338979107991</x:v>
      </x:c>
      <x:c r="I50" s="87" t="n">
        <x:f>$B$12*'Transformaciones'!K42</x:f>
        <x:v>-0.000041907222743000474</x:v>
      </x:c>
      <x:c r="J50" s="87" t="n">
        <x:f>$B$13*'Transformaciones'!P43</x:f>
        <x:v>0</x:v>
      </x:c>
      <x:c r="K50" s="93" t="n">
        <x:f>SUM(C50:J50)</x:f>
        <x:v>-0.003019298735446465</x:v>
      </x:c>
      <x:c r="L50" s="93" t="n">
        <x:f>B50-K50</x:f>
        <x:v>0.003905335957212077</x:v>
      </x:c>
      <x:c r="M50" s="79" t="n">
        <x:f>'Datos_fuente'!B43</x:f>
        <x:v>2253.506129</x:v>
      </x:c>
      <x:c r="N50" s="79" t="n">
        <x:f>EXP('Transformaciones'!B42+K50)</x:f>
        <x:v>2244.7225929777624</x:v>
      </x:c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>
      <x:c r="A51" s="1" t="str">
        <x:f>'Transformaciones'!A44</x:f>
        <x:v>2009-02</x:v>
      </x:c>
      <x:c r="B51" s="87" t="n">
        <x:f>'Transformaciones'!C44</x:f>
        <x:v>0.1087290128291114</x:v>
      </x:c>
      <x:c r="C51" s="87" t="n">
        <x:f>$B$6</x:f>
        <x:v>-0.00045209606279241735</x:v>
      </x:c>
      <x:c r="D51" s="87" t="n">
        <x:f>$B$7*'Transformaciones'!E44</x:f>
        <x:v>0.00013674694734389138</x:v>
      </x:c>
      <x:c r="E51" s="87" t="n">
        <x:f>$B$8*'Transformaciones'!M44</x:f>
        <x:v>0.03133419235324691</x:v>
      </x:c>
      <x:c r="F51" s="87" t="n">
        <x:f>$B$9*'Transformaciones'!O44</x:f>
        <x:v>0.0007595340326205431</x:v>
      </x:c>
      <x:c r="G51" s="87" t="n">
        <x:f>$B$10*'Transformaciones'!G43</x:f>
        <x:v>-0.0034053513672988034</x:v>
      </x:c>
      <x:c r="H51" s="87" t="n">
        <x:f>$B$11*'Transformaciones'!I43</x:f>
        <x:v>0.0032571349545553363</x:v>
      </x:c>
      <x:c r="I51" s="87" t="n">
        <x:f>$B$12*'Transformaciones'!K43</x:f>
        <x:v>-0.0024477551972054</x:v>
      </x:c>
      <x:c r="J51" s="87" t="n">
        <x:f>$B$13*'Transformaciones'!P44</x:f>
        <x:v>0</x:v>
      </x:c>
      <x:c r="K51" s="93" t="n">
        <x:f>SUM(C51:J51)</x:f>
        <x:v>0.029182405660470062</x:v>
      </x:c>
      <x:c r="L51" s="93" t="n">
        <x:f>B51-K51</x:f>
        <x:v>0.07954660716864134</x:v>
      </x:c>
      <x:c r="M51" s="79" t="n">
        <x:f>'Datos_fuente'!B44</x:f>
        <x:v>2512.344286</x:v>
      </x:c>
      <x:c r="N51" s="79" t="n">
        <x:f>EXP('Transformaciones'!B43+K51)</x:f>
        <x:v>2320.2378189079254</x:v>
      </x:c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>
      <x:c r="A52" s="1" t="str">
        <x:f>'Transformaciones'!A45</x:f>
        <x:v>2009-03</x:v>
      </x:c>
      <x:c r="B52" s="87" t="n">
        <x:f>'Transformaciones'!C45</x:f>
        <x:v>-0.01714599449406151</x:v>
      </x:c>
      <x:c r="C52" s="87" t="n">
        <x:f>$B$6</x:f>
        <x:v>-0.00045209606279241735</x:v>
      </x:c>
      <x:c r="D52" s="87" t="n">
        <x:f>$B$7*'Transformaciones'!E45</x:f>
        <x:v>-0.0037010719273749032</x:v>
      </x:c>
      <x:c r="E52" s="87" t="n">
        <x:f>$B$8*'Transformaciones'!M45</x:f>
        <x:v>0.0054863063573510115</x:v>
      </x:c>
      <x:c r="F52" s="87" t="n">
        <x:f>$B$9*'Transformaciones'!O45</x:f>
        <x:v>-0.0006624662825998579</x:v>
      </x:c>
      <x:c r="G52" s="87" t="n">
        <x:f>$B$10*'Transformaciones'!G44</x:f>
        <x:v>0.0009389639748046157</x:v>
      </x:c>
      <x:c r="H52" s="87" t="n">
        <x:f>$B$11*'Transformaciones'!I44</x:f>
        <x:v>0.005471100868876286</x:v>
      </x:c>
      <x:c r="I52" s="87" t="n">
        <x:f>$B$12*'Transformaciones'!K44</x:f>
        <x:v>-0.000590108427620403</x:v>
      </x:c>
      <x:c r="J52" s="87" t="n">
        <x:f>$B$13*'Transformaciones'!P45</x:f>
        <x:v>0</x:v>
      </x:c>
      <x:c r="K52" s="93" t="n">
        <x:f>SUM(C52:J52)</x:f>
        <x:v>0.006490628500644331</x:v>
      </x:c>
      <x:c r="L52" s="93" t="n">
        <x:f>B52-K52</x:f>
        <x:v>-0.02363662299470584</x:v>
      </x:c>
      <x:c r="M52" s="79" t="n">
        <x:f>'Datos_fuente'!B45</x:f>
        <x:v>2469.634839</x:v>
      </x:c>
      <x:c r="N52" s="79" t="n">
        <x:f>EXP('Transformaciones'!B44+K52)</x:f>
        <x:v>2528.7040144521548</x:v>
      </x:c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>
      <x:c r="A53" s="1" t="str">
        <x:f>'Transformaciones'!A46</x:f>
        <x:v>2009-04</x:v>
      </x:c>
      <x:c r="B53" s="87" t="n">
        <x:f>'Transformaciones'!C46</x:f>
        <x:v>-0.03923807025050596</x:v>
      </x:c>
      <x:c r="C53" s="87" t="n">
        <x:f>$B$6</x:f>
        <x:v>-0.00045209606279241735</x:v>
      </x:c>
      <x:c r="D53" s="87" t="n">
        <x:f>$B$7*'Transformaciones'!E46</x:f>
        <x:v>-0.003894112120376229</x:v>
      </x:c>
      <x:c r="E53" s="87" t="n">
        <x:f>$B$8*'Transformaciones'!M46</x:f>
        <x:v>-0.032420082245546676</x:v>
      </x:c>
      <x:c r="F53" s="87" t="n">
        <x:f>$B$9*'Transformaciones'!O46</x:f>
        <x:v>-0.006288608229123999</x:v>
      </x:c>
      <x:c r="G53" s="87" t="n">
        <x:f>$B$10*'Transformaciones'!G45</x:f>
        <x:v>-0.00019751497375801314</x:v>
      </x:c>
      <x:c r="H53" s="87" t="n">
        <x:f>$B$11*'Transformaciones'!I45</x:f>
        <x:v>0.01192692227555025</x:v>
      </x:c>
      <x:c r="I53" s="87" t="n">
        <x:f>$B$12*'Transformaciones'!K45</x:f>
        <x:v>0.0005884500719988845</x:v>
      </x:c>
      <x:c r="J53" s="87" t="n">
        <x:f>$B$13*'Transformaciones'!P46</x:f>
        <x:v>0</x:v>
      </x:c>
      <x:c r="K53" s="93" t="n">
        <x:f>SUM(C53:J53)</x:f>
        <x:v>-0.0307370412840482</x:v>
      </x:c>
      <x:c r="L53" s="93" t="n">
        <x:f>B53-K53</x:f>
        <x:v>-0.008501028966457762</x:v>
      </x:c>
      <x:c r="M53" s="79" t="n">
        <x:f>'Datos_fuente'!B46</x:f>
        <x:v>2374.607667</x:v>
      </x:c>
      <x:c r="N53" s="79" t="n">
        <x:f>EXP('Transformaciones'!B45+K53)</x:f>
        <x:v>2394.880322690076</x:v>
      </x:c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>
      <x:c r="A54" s="1" t="str">
        <x:f>'Transformaciones'!A47</x:f>
        <x:v>2009-05</x:v>
      </x:c>
      <x:c r="B54" s="87" t="n">
        <x:f>'Transformaciones'!C47</x:f>
        <x:v>-0.06403417575670378</x:v>
      </x:c>
      <x:c r="C54" s="87" t="n">
        <x:f>$B$6</x:f>
        <x:v>-0.00045209606279241735</x:v>
      </x:c>
      <x:c r="D54" s="87" t="n">
        <x:f>$B$7*'Transformaciones'!E47</x:f>
        <x:v>-0.006859035227876382</x:v>
      </x:c>
      <x:c r="E54" s="87" t="n">
        <x:f>$B$8*'Transformaciones'!M47</x:f>
        <x:v>-0.03878610616175709</x:v>
      </x:c>
      <x:c r="F54" s="87" t="n">
        <x:f>$B$9*'Transformaciones'!O47</x:f>
        <x:v>-0.006727809383480367</x:v>
      </x:c>
      <x:c r="G54" s="87" t="n">
        <x:f>$B$10*'Transformaciones'!G46</x:f>
        <x:v>-0.003683302261223269</x:v>
      </x:c>
      <x:c r="H54" s="87" t="n">
        <x:f>$B$11*'Transformaciones'!I46</x:f>
        <x:v>0.007374102400232497</x:v>
      </x:c>
      <x:c r="I54" s="87" t="n">
        <x:f>$B$12*'Transformaciones'!K46</x:f>
        <x:v>-0.0014991279401990096</x:v>
      </x:c>
      <x:c r="J54" s="87" t="n">
        <x:f>$B$13*'Transformaciones'!P47</x:f>
        <x:v>0</x:v>
      </x:c>
      <x:c r="K54" s="93" t="n">
        <x:f>SUM(C54:J54)</x:f>
        <x:v>-0.050633374637096044</x:v>
      </x:c>
      <x:c r="L54" s="93" t="n">
        <x:f>B54-K54</x:f>
        <x:v>-0.013400801119607737</x:v>
      </x:c>
      <x:c r="M54" s="79" t="n">
        <x:f>'Datos_fuente'!B47</x:f>
        <x:v>2227.317742</x:v>
      </x:c>
      <x:c r="N54" s="79" t="n">
        <x:f>EXP('Transformaciones'!B46+K54)</x:f>
        <x:v>2257.3664729427514</x:v>
      </x:c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>
      <x:c r="A55" s="1" t="str">
        <x:f>'Transformaciones'!A48</x:f>
        <x:v>2009-06</x:v>
      </x:c>
      <x:c r="B55" s="87" t="n">
        <x:f>'Transformaciones'!C48</x:f>
        <x:v>-0.06389223648377662</x:v>
      </x:c>
      <x:c r="C55" s="87" t="n">
        <x:f>$B$6</x:f>
        <x:v>-0.00045209606279241735</x:v>
      </x:c>
      <x:c r="D55" s="87" t="n">
        <x:f>$B$7*'Transformaciones'!E48</x:f>
        <x:v>-0.00930912833887801</x:v>
      </x:c>
      <x:c r="E55" s="87" t="n">
        <x:f>$B$8*'Transformaciones'!M48</x:f>
        <x:v>-0.018944969893585236</x:v>
      </x:c>
      <x:c r="F55" s="87" t="n">
        <x:f>$B$9*'Transformaciones'!O48</x:f>
        <x:v>-0.0035883844544280317</x:v>
      </x:c>
      <x:c r="G55" s="87" t="n">
        <x:f>$B$10*'Transformaciones'!G47</x:f>
        <x:v>-0.003623195359410421</x:v>
      </x:c>
      <x:c r="H55" s="87" t="n">
        <x:f>$B$11*'Transformaciones'!I47</x:f>
        <x:v>0.00924719473109904</x:v>
      </x:c>
      <x:c r="I55" s="87" t="n">
        <x:f>$B$12*'Transformaciones'!K47</x:f>
        <x:v>0.003555793679742441</x:v>
      </x:c>
      <x:c r="J55" s="87" t="n">
        <x:f>$B$13*'Transformaciones'!P48</x:f>
        <x:v>0</x:v>
      </x:c>
      <x:c r="K55" s="93" t="n">
        <x:f>SUM(C55:J55)</x:f>
        <x:v>-0.023114785698252635</x:v>
      </x:c>
      <x:c r="L55" s="93" t="n">
        <x:f>B55-K55</x:f>
        <x:v>-0.040777450785523986</x:v>
      </x:c>
      <x:c r="M55" s="79" t="n">
        <x:f>'Datos_fuente'!B48</x:f>
        <x:v>2089.460333</x:v>
      </x:c>
      <x:c r="N55" s="79" t="n">
        <x:f>EXP('Transformaciones'!B47+K55)</x:f>
        <x:v>2176.4242319854784</x:v>
      </x:c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>
      <x:c r="A56" s="1" t="str">
        <x:f>'Transformaciones'!A49</x:f>
        <x:v>2009-07</x:v>
      </x:c>
      <x:c r="B56" s="87" t="n">
        <x:f>'Transformaciones'!C49</x:f>
        <x:v>-0.01943698367259028</x:v>
      </x:c>
      <x:c r="C56" s="87" t="n">
        <x:f>$B$6</x:f>
        <x:v>-0.00045209606279241735</x:v>
      </x:c>
      <x:c r="D56" s="87" t="n">
        <x:f>$B$7*'Transformaciones'!E49</x:f>
        <x:v>0.0032446027902564884</x:v>
      </x:c>
      <x:c r="E56" s="87" t="n">
        <x:f>$B$8*'Transformaciones'!M49</x:f>
        <x:v>-0.004843009788576025</x:v>
      </x:c>
      <x:c r="F56" s="87" t="n">
        <x:f>$B$9*'Transformaciones'!O49</x:f>
        <x:v>-0.004162662492109718</x:v>
      </x:c>
      <x:c r="G56" s="87" t="n">
        <x:f>$B$10*'Transformaciones'!G48</x:f>
        <x:v>-0.0028498967898358514</x:v>
      </x:c>
      <x:c r="H56" s="87" t="n">
        <x:f>$B$11*'Transformaciones'!I48</x:f>
        <x:v>0.012486216743445534</x:v>
      </x:c>
      <x:c r="I56" s="87" t="n">
        <x:f>$B$12*'Transformaciones'!K48</x:f>
        <x:v>0.00325359803347242</x:v>
      </x:c>
      <x:c r="J56" s="87" t="n">
        <x:f>$B$13*'Transformaciones'!P49</x:f>
        <x:v>0</x:v>
      </x:c>
      <x:c r="K56" s="93" t="n">
        <x:f>SUM(C56:J56)</x:f>
        <x:v>0.00667675243386043</x:v>
      </x:c>
      <x:c r="L56" s="93" t="n">
        <x:f>B56-K56</x:f>
        <x:v>-0.02611373610645071</x:v>
      </x:c>
      <x:c r="M56" s="79" t="n">
        <x:f>'Datos_fuente'!B49</x:f>
        <x:v>2049.239677</x:v>
      </x:c>
      <x:c r="N56" s="79" t="n">
        <x:f>EXP('Transformaciones'!B48+K56)</x:f>
        <x:v>2103.457819239488</x:v>
      </x:c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>
      <x:c r="A57" s="1" t="str">
        <x:f>'Transformaciones'!A50</x:f>
        <x:v>2009-08</x:v>
      </x:c>
      <x:c r="B57" s="87" t="n">
        <x:f>'Transformaciones'!C50</x:f>
        <x:v>-0.015551195189779321</x:v>
      </x:c>
      <x:c r="C57" s="87" t="n">
        <x:f>$B$6</x:f>
        <x:v>-0.00045209606279241735</x:v>
      </x:c>
      <x:c r="D57" s="87" t="n">
        <x:f>$B$7*'Transformaciones'!E50</x:f>
        <x:v>-0.0061017955783004155</x:v>
      </x:c>
      <x:c r="E57" s="87" t="n">
        <x:f>$B$8*'Transformaciones'!M50</x:f>
        <x:v>-0.01646427089976064</x:v>
      </x:c>
      <x:c r="F57" s="87" t="n">
        <x:f>$B$9*'Transformaciones'!O50</x:f>
        <x:v>-0.001238251130192102</x:v>
      </x:c>
      <x:c r="G57" s="87" t="n">
        <x:f>$B$10*'Transformaciones'!G49</x:f>
        <x:v>-0.008879470098397657</x:v>
      </x:c>
      <x:c r="H57" s="87" t="n">
        <x:f>$B$11*'Transformaciones'!I49</x:f>
        <x:v>0.003137802572293092</x:v>
      </x:c>
      <x:c r="I57" s="87" t="n">
        <x:f>$B$12*'Transformaciones'!K49</x:f>
        <x:v>0.001479949335601464</x:v>
      </x:c>
      <x:c r="J57" s="87" t="n">
        <x:f>$B$13*'Transformaciones'!P50</x:f>
        <x:v>0</x:v>
      </x:c>
      <x:c r="K57" s="93" t="n">
        <x:f>SUM(C57:J57)</x:f>
        <x:v>-0.02851813186154868</x:v>
      </x:c>
      <x:c r="L57" s="93" t="n">
        <x:f>B57-K57</x:f>
        <x:v>0.012966936671769357</x:v>
      </x:c>
      <x:c r="M57" s="79" t="n">
        <x:f>'Datos_fuente'!B50</x:f>
        <x:v>2017.618065</x:v>
      </x:c>
      <x:c r="N57" s="79" t="n">
        <x:f>EXP('Transformaciones'!B49+K57)</x:f>
        <x:v>1991.6246311421298</x:v>
      </x:c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>
      <x:c r="A58" s="1" t="str">
        <x:f>'Transformaciones'!A51</x:f>
        <x:v>2009-09</x:v>
      </x:c>
      <x:c r="B58" s="87" t="n">
        <x:f>'Transformaciones'!C51</x:f>
        <x:v>-0.019814723315751515</x:v>
      </x:c>
      <x:c r="C58" s="87" t="n">
        <x:f>$B$6</x:f>
        <x:v>-0.00045209606279241735</x:v>
      </x:c>
      <x:c r="D58" s="87" t="n">
        <x:f>$B$7*'Transformaciones'!E51</x:f>
        <x:v>0.0035881541569211116</x:v>
      </x:c>
      <x:c r="E58" s="87" t="n">
        <x:f>$B$8*'Transformaciones'!M51</x:f>
        <x:v>-0.009165741969306506</x:v>
      </x:c>
      <x:c r="F58" s="87" t="n">
        <x:f>$B$9*'Transformaciones'!O51</x:f>
        <x:v>-0.0006307516585237772</x:v>
      </x:c>
      <x:c r="G58" s="87" t="n">
        <x:f>$B$10*'Transformaciones'!G50</x:f>
        <x:v>-0.003937759817149239</x:v>
      </x:c>
      <x:c r="H58" s="87" t="n">
        <x:f>$B$11*'Transformaciones'!I50</x:f>
        <x:v>0</x:v>
      </x:c>
      <x:c r="I58" s="87" t="n">
        <x:f>$B$12*'Transformaciones'!K50</x:f>
        <x:v>-0.001596601204601942</x:v>
      </x:c>
      <x:c r="J58" s="87" t="n">
        <x:f>$B$13*'Transformaciones'!P51</x:f>
        <x:v>0</x:v>
      </x:c>
      <x:c r="K58" s="93" t="n">
        <x:f>SUM(C58:J58)</x:f>
        <x:v>-0.012194796555452771</x:v>
      </x:c>
      <x:c r="L58" s="93" t="n">
        <x:f>B58-K58</x:f>
        <x:v>-0.007619926760298743</x:v>
      </x:c>
      <x:c r="M58" s="79" t="n">
        <x:f>'Datos_fuente'!B51</x:f>
        <x:v>1978.033</x:v>
      </x:c>
      <x:c r="N58" s="79" t="n">
        <x:f>EXP('Transformaciones'!B50+K58)</x:f>
        <x:v>1993.1630382729754</x:v>
      </x:c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>
      <x:c r="A59" s="1" t="str">
        <x:f>'Transformaciones'!A52</x:f>
        <x:v>2009-10</x:v>
      </x:c>
      <x:c r="B59" s="87" t="n">
        <x:f>'Transformaciones'!C52</x:f>
        <x:v>-0.039512289762449804</x:v>
      </x:c>
      <x:c r="C59" s="87" t="n">
        <x:f>$B$6</x:f>
        <x:v>-0.00045209606279241735</x:v>
      </x:c>
      <x:c r="D59" s="87" t="n">
        <x:f>$B$7*'Transformaciones'!E52</x:f>
        <x:v>-0.0037738718074266614</x:v>
      </x:c>
      <x:c r="E59" s="87" t="n">
        <x:f>$B$8*'Transformaciones'!M52</x:f>
        <x:v>-0.01835127586092856</x:v>
      </x:c>
      <x:c r="F59" s="87" t="n">
        <x:f>$B$9*'Transformaciones'!O52</x:f>
        <x:v>-0.001059199830168083</x:v>
      </x:c>
      <x:c r="G59" s="87" t="n">
        <x:f>$B$10*'Transformaciones'!G51</x:f>
        <x:v>-0.010053164158056505</x:v>
      </x:c>
      <x:c r="H59" s="87" t="n">
        <x:f>$B$11*'Transformaciones'!I51</x:f>
        <x:v>0.00039635400871454484</x:v>
      </x:c>
      <x:c r="I59" s="87" t="n">
        <x:f>$B$12*'Transformaciones'!K51</x:f>
        <x:v>0.0005209597991878616</x:v>
      </x:c>
      <x:c r="J59" s="87" t="n">
        <x:f>$B$13*'Transformaciones'!P52</x:f>
        <x:v>0</x:v>
      </x:c>
      <x:c r="K59" s="93" t="n">
        <x:f>SUM(C59:J59)</x:f>
        <x:v>-0.03277229391146982</x:v>
      </x:c>
      <x:c r="L59" s="93" t="n">
        <x:f>B59-K59</x:f>
        <x:v>-0.0067399958509799865</x:v>
      </x:c>
      <x:c r="M59" s="79" t="n">
        <x:f>'Datos_fuente'!B52</x:f>
        <x:v>1901.400323</x:v>
      </x:c>
      <x:c r="N59" s="79" t="n">
        <x:f>EXP('Transformaciones'!B51+K59)</x:f>
        <x:v>1914.2590384541918</x:v>
      </x:c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>
      <x:c r="A60" s="1" t="str">
        <x:f>'Transformaciones'!A53</x:f>
        <x:v>2009-11</x:v>
      </x:c>
      <x:c r="B60" s="87" t="n">
        <x:f>'Transformaciones'!C53</x:f>
        <x:v>0.0389288801009533</x:v>
      </x:c>
      <x:c r="C60" s="87" t="n">
        <x:f>$B$6</x:f>
        <x:v>-0.00045209606279241735</x:v>
      </x:c>
      <x:c r="D60" s="87" t="n">
        <x:f>$B$7*'Transformaciones'!E53</x:f>
        <x:v>-0.002693612736969463</x:v>
      </x:c>
      <x:c r="E60" s="87" t="n">
        <x:f>$B$8*'Transformaciones'!M53</x:f>
        <x:v>-0.006075153183674305</x:v>
      </x:c>
      <x:c r="F60" s="87" t="n">
        <x:f>$B$9*'Transformaciones'!O53</x:f>
        <x:v>-0.0007448209291083087</x:v>
      </x:c>
      <x:c r="G60" s="87" t="n">
        <x:f>$B$10*'Transformaciones'!G52</x:f>
        <x:v>-0.0054847049009364695</x:v>
      </x:c>
      <x:c r="H60" s="87" t="n">
        <x:f>$B$11*'Transformaciones'!I52</x:f>
        <x:v>0.0041617170915027165</x:v>
      </x:c>
      <x:c r="I60" s="87" t="n">
        <x:f>$B$12*'Transformaciones'!K52</x:f>
        <x:v>0.0022564104731857</x:v>
      </x:c>
      <x:c r="J60" s="87" t="n">
        <x:f>$B$13*'Transformaciones'!P53</x:f>
        <x:v>0</x:v>
      </x:c>
      <x:c r="K60" s="93" t="n">
        <x:f>SUM(C60:J60)</x:f>
        <x:v>-0.00903226024879255</x:v>
      </x:c>
      <x:c r="L60" s="93" t="n">
        <x:f>B60-K60</x:f>
        <x:v>0.04796114034974585</x:v>
      </x:c>
      <x:c r="M60" s="79" t="n">
        <x:f>'Datos_fuente'!B53</x:f>
        <x:v>1976.879333</x:v>
      </x:c>
      <x:c r="N60" s="79" t="n">
        <x:f>EXP('Transformaciones'!B52+K60)</x:f>
        <x:v>1884.3037072178772</x:v>
      </x:c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>
      <x:c r="A61" s="1" t="str">
        <x:f>'Transformaciones'!A54</x:f>
        <x:v>2009-12</x:v>
      </x:c>
      <x:c r="B61" s="87" t="n">
        <x:f>'Transformaciones'!C54</x:f>
        <x:v>0.020593649383908286</x:v>
      </x:c>
      <x:c r="C61" s="87" t="n">
        <x:f>$B$6</x:f>
        <x:v>-0.00045209606279241735</x:v>
      </x:c>
      <x:c r="D61" s="87" t="n">
        <x:f>$B$7*'Transformaciones'!E54</x:f>
        <x:v>0.0015090483398475445</x:v>
      </x:c>
      <x:c r="E61" s="87" t="n">
        <x:f>$B$8*'Transformaciones'!M54</x:f>
        <x:v>0.006060102260353864</x:v>
      </x:c>
      <x:c r="F61" s="87" t="n">
        <x:f>$B$9*'Transformaciones'!O54</x:f>
        <x:v>-0.004377642042895024</x:v>
      </x:c>
      <x:c r="G61" s="87" t="n">
        <x:f>$B$10*'Transformaciones'!G53</x:f>
        <x:v>0.0015025656035979231</x:v>
      </x:c>
      <x:c r="H61" s="87" t="n">
        <x:f>$B$11*'Transformaciones'!I53</x:f>
        <x:v>0.0011560325287203722</x:v>
      </x:c>
      <x:c r="I61" s="87" t="n">
        <x:f>$B$12*'Transformaciones'!K53</x:f>
        <x:v>-0.0010913450156277119</x:v>
      </x:c>
      <x:c r="J61" s="87" t="n">
        <x:f>$B$13*'Transformaciones'!P54</x:f>
        <x:v>0</x:v>
      </x:c>
      <x:c r="K61" s="93" t="n">
        <x:f>SUM(C61:J61)</x:f>
        <x:v>0.004306665611204552</x:v>
      </x:c>
      <x:c r="L61" s="93" t="n">
        <x:f>B61-K61</x:f>
        <x:v>0.016286983772703732</x:v>
      </x:c>
      <x:c r="M61" s="79" t="n">
        <x:f>'Datos_fuente'!B54</x:f>
        <x:v>2018.012581</x:v>
      </x:c>
      <x:c r="N61" s="79" t="n">
        <x:f>EXP('Transformaciones'!B53+K61)</x:f>
        <x:v>1985.4114505421808</x:v>
      </x:c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>
      <x:c r="A62" s="1" t="str">
        <x:f>'Transformaciones'!A55</x:f>
        <x:v>2010-01</x:v>
      </x:c>
      <x:c r="B62" s="87" t="n">
        <x:f>'Transformaciones'!C55</x:f>
        <x:v>-0.017287113581644142</x:v>
      </x:c>
      <x:c r="C62" s="87" t="n">
        <x:f>$B$6</x:f>
        <x:v>-0.00045209606279241735</x:v>
      </x:c>
      <x:c r="D62" s="87" t="n">
        <x:f>$B$7*'Transformaciones'!E55</x:f>
        <x:v>-0.0011744435305858967</x:v>
      </x:c>
      <x:c r="E62" s="87" t="n">
        <x:f>$B$8*'Transformaciones'!M55</x:f>
        <x:v>0.0023903347449028755</x:v>
      </x:c>
      <x:c r="F62" s="87" t="n">
        <x:f>$B$9*'Transformaciones'!O55</x:f>
        <x:v>-0.0010998650518041291</x:v>
      </x:c>
      <x:c r="G62" s="87" t="n">
        <x:f>$B$10*'Transformaciones'!G54</x:f>
        <x:v>-0.0015642612416706249</x:v>
      </x:c>
      <x:c r="H62" s="87" t="n">
        <x:f>$B$11*'Transformaciones'!I54</x:f>
        <x:v>0.0037983925802114343</x:v>
      </x:c>
      <x:c r="I62" s="87" t="n">
        <x:f>$B$12*'Transformaciones'!K54</x:f>
        <x:v>0.003372328583835571</x:v>
      </x:c>
      <x:c r="J62" s="87" t="n">
        <x:f>$B$13*'Transformaciones'!P55</x:f>
        <x:v>0</x:v>
      </x:c>
      <x:c r="K62" s="93" t="n">
        <x:f>SUM(C62:J62)</x:f>
        <x:v>0.005270390022096813</x:v>
      </x:c>
      <x:c r="L62" s="93" t="n">
        <x:f>B62-K62</x:f>
        <x:v>-0.022557503603740956</x:v>
      </x:c>
      <x:c r="M62" s="79" t="n">
        <x:f>'Datos_fuente'!B55</x:f>
        <x:v>1983.426774</x:v>
      </x:c>
      <x:c r="N62" s="79" t="n">
        <x:f>EXP('Transformaciones'!B54+K62)</x:f>
        <x:v>2028.6763708531823</x:v>
      </x:c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>
      <x:c r="A63" s="1" t="str">
        <x:f>'Transformaciones'!A56</x:f>
        <x:v>2010-02</x:v>
      </x:c>
      <x:c r="B63" s="87" t="n">
        <x:f>'Transformaciones'!C56</x:f>
        <x:v>-0.016112994547637705</x:v>
      </x:c>
      <x:c r="C63" s="87" t="n">
        <x:f>$B$6</x:f>
        <x:v>-0.00045209606279241735</x:v>
      </x:c>
      <x:c r="D63" s="87" t="n">
        <x:f>$B$7*'Transformaciones'!E56</x:f>
        <x:v>0.0016657108918281586</x:v>
      </x:c>
      <x:c r="E63" s="87" t="n">
        <x:f>$B$8*'Transformaciones'!M56</x:f>
        <x:v>0.018863789095470228</x:v>
      </x:c>
      <x:c r="F63" s="87" t="n">
        <x:f>$B$9*'Transformaciones'!O56</x:f>
        <x:v>0.0033947868514055406</x:v>
      </x:c>
      <x:c r="G63" s="87" t="n">
        <x:f>$B$10*'Transformaciones'!G55</x:f>
        <x:v>-0.003489341937834132</x:v>
      </x:c>
      <x:c r="H63" s="87" t="n">
        <x:f>$B$11*'Transformaciones'!I55</x:f>
        <x:v>-0.00009908850217863842</x:v>
      </x:c>
      <x:c r="I63" s="87" t="n">
        <x:f>$B$12*'Transformaciones'!K55</x:f>
        <x:v>-0.002214477613822932</x:v>
      </x:c>
      <x:c r="J63" s="87" t="n">
        <x:f>$B$13*'Transformaciones'!P56</x:f>
        <x:v>0</x:v>
      </x:c>
      <x:c r="K63" s="93" t="n">
        <x:f>SUM(C63:J63)</x:f>
        <x:v>0.017669282722075803</x:v>
      </x:c>
      <x:c r="L63" s="93" t="n">
        <x:f>B63-K63</x:f>
        <x:v>-0.03378227726971351</x:v>
      </x:c>
      <x:c r="M63" s="79" t="n">
        <x:f>'Datos_fuente'!B56</x:f>
        <x:v>1951.723929</x:v>
      </x:c>
      <x:c r="N63" s="79" t="n">
        <x:f>EXP('Transformaciones'!B55+K63)</x:f>
        <x:v>2018.7839505208858</x:v>
      </x:c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>
      <x:c r="A64" s="1" t="str">
        <x:f>'Transformaciones'!A57</x:f>
        <x:v>2010-03</x:v>
      </x:c>
      <x:c r="B64" s="87" t="n">
        <x:f>'Transformaciones'!C57</x:f>
        <x:v>-0.02213772816348758</x:v>
      </x:c>
      <x:c r="C64" s="87" t="n">
        <x:f>$B$6</x:f>
        <x:v>-0.00045209606279241735</x:v>
      </x:c>
      <x:c r="D64" s="87" t="n">
        <x:f>$B$7*'Transformaciones'!E57</x:f>
        <x:v>-0.0034401726361414898</x:v>
      </x:c>
      <x:c r="E64" s="87" t="n">
        <x:f>$B$8*'Transformaciones'!M57</x:f>
        <x:v>-0.009572820882489902</x:v>
      </x:c>
      <x:c r="F64" s="87" t="n">
        <x:f>$B$9*'Transformaciones'!O57</x:f>
        <x:v>-0.009188176458125617</x:v>
      </x:c>
      <x:c r="G64" s="87" t="n">
        <x:f>$B$10*'Transformaciones'!G56</x:f>
        <x:v>-0.006696168390787587</x:v>
      </x:c>
      <x:c r="H64" s="87" t="n">
        <x:f>$B$11*'Transformaciones'!I56</x:f>
        <x:v>0.00019817700435727242</x:v>
      </x:c>
      <x:c r="I64" s="87" t="n">
        <x:f>$B$12*'Transformaciones'!K56</x:f>
        <x:v>-0.002190258739272498</x:v>
      </x:c>
      <x:c r="J64" s="87" t="n">
        <x:f>$B$13*'Transformaciones'!P57</x:f>
        <x:v>0</x:v>
      </x:c>
      <x:c r="K64" s="93" t="n">
        <x:f>SUM(C64:J64)</x:f>
        <x:v>-0.031341516165252235</x:v>
      </x:c>
      <x:c r="L64" s="93" t="n">
        <x:f>B64-K64</x:f>
        <x:v>0.009203788001764655</x:v>
      </x:c>
      <x:c r="M64" s="79" t="n">
        <x:f>'Datos_fuente'!B57</x:f>
        <x:v>1908.991935</x:v>
      </x:c>
      <x:c r="N64" s="79" t="n">
        <x:f>EXP('Transformaciones'!B56+K64)</x:f>
        <x:v>1891.5025855252504</x:v>
      </x:c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>
      <x:c r="A65" s="1" t="str">
        <x:f>'Transformaciones'!A58</x:f>
        <x:v>2010-04</x:v>
      </x:c>
      <x:c r="B65" s="87" t="n">
        <x:f>'Transformaciones'!C58</x:f>
        <x:v>0.014796839308575116</x:v>
      </x:c>
      <x:c r="C65" s="87" t="n">
        <x:f>$B$6</x:f>
        <x:v>-0.00045209606279241735</x:v>
      </x:c>
      <x:c r="D65" s="87" t="n">
        <x:f>$B$7*'Transformaciones'!E58</x:f>
        <x:v>-0.0037860844241502157</x:v>
      </x:c>
      <x:c r="E65" s="87" t="n">
        <x:f>$B$8*'Transformaciones'!M58</x:f>
        <x:v>-0.0066809577805090085</x:v>
      </x:c>
      <x:c r="F65" s="87" t="n">
        <x:f>$B$9*'Transformaciones'!O58</x:f>
        <x:v>-0.0007530395198858256</x:v>
      </x:c>
      <x:c r="G65" s="87" t="n">
        <x:f>$B$10*'Transformaciones'!G57</x:f>
        <x:v>-0.0016655647868913733</x:v>
      </x:c>
      <x:c r="H65" s="87" t="n">
        <x:f>$B$11*'Transformaciones'!I57</x:f>
        <x:v>0.0002972655065359108</x:v>
      </x:c>
      <x:c r="I65" s="87" t="n">
        <x:f>$B$12*'Transformaciones'!K57</x:f>
        <x:v>-0.00014406815537307526</x:v>
      </x:c>
      <x:c r="J65" s="87" t="n">
        <x:f>$B$13*'Transformaciones'!P58</x:f>
        <x:v>0</x:v>
      </x:c>
      <x:c r="K65" s="93" t="n">
        <x:f>SUM(C65:J65)</x:f>
        <x:v>-0.013184545223066006</x:v>
      </x:c>
      <x:c r="L65" s="93" t="n">
        <x:f>B65-K65</x:f>
        <x:v>0.02798138453164112</x:v>
      </x:c>
      <x:c r="M65" s="79" t="n">
        <x:f>'Datos_fuente'!B58</x:f>
        <x:v>1937.449</x:v>
      </x:c>
      <x:c r="N65" s="79" t="n">
        <x:f>EXP('Transformaciones'!B57+K65)</x:f>
        <x:v>1883.9879398621606</x:v>
      </x:c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>
      <x:c r="A66" s="1" t="str">
        <x:f>'Transformaciones'!A59</x:f>
        <x:v>2010-05</x:v>
      </x:c>
      <x:c r="B66" s="87" t="n">
        <x:f>'Transformaciones'!C59</x:f>
        <x:v>0.023537801305710815</x:v>
      </x:c>
      <x:c r="C66" s="87" t="n">
        <x:f>$B$6</x:f>
        <x:v>-0.00045209606279241735</x:v>
      </x:c>
      <x:c r="D66" s="87" t="n">
        <x:f>$B$7*'Transformaciones'!E59</x:f>
        <x:v>0.005711340661898803</x:v>
      </x:c>
      <x:c r="E66" s="87" t="n">
        <x:f>$B$8*'Transformaciones'!M59</x:f>
        <x:v>0.037344722214216565</x:v>
      </x:c>
      <x:c r="F66" s="87" t="n">
        <x:f>$B$9*'Transformaciones'!O59</x:f>
        <x:v>0.023389392066642683</x:v>
      </x:c>
      <x:c r="G66" s="87" t="n">
        <x:f>$B$10*'Transformaciones'!G58</x:f>
        <x:v>-0.0015199185005109663</x:v>
      </x:c>
      <x:c r="H66" s="87" t="n">
        <x:f>$B$11*'Transformaciones'!I58</x:f>
        <x:v>0.00039635400871454484</x:v>
      </x:c>
      <x:c r="I66" s="87" t="n">
        <x:f>$B$12*'Transformaciones'!K58</x:f>
        <x:v>0.0020612845312080177</x:v>
      </x:c>
      <x:c r="J66" s="87" t="n">
        <x:f>$B$13*'Transformaciones'!P59</x:f>
        <x:v>0</x:v>
      </x:c>
      <x:c r="K66" s="93" t="n">
        <x:f>SUM(C66:J66)</x:f>
        <x:v>0.06693107891937723</x:v>
      </x:c>
      <x:c r="L66" s="93" t="n">
        <x:f>B66-K66</x:f>
        <x:v>-0.04339327761366642</x:v>
      </x:c>
      <x:c r="M66" s="79" t="n">
        <x:f>'Datos_fuente'!B59</x:f>
        <x:v>1983.593226</x:v>
      </x:c>
      <x:c r="N66" s="79" t="n">
        <x:f>EXP('Transformaciones'!B58+K66)</x:f>
        <x:v>2071.5626756355246</x:v>
      </x:c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>
      <x:c r="A67" s="1" t="str">
        <x:f>'Transformaciones'!A60</x:f>
        <x:v>2010-06</x:v>
      </x:c>
      <x:c r="B67" s="87" t="n">
        <x:f>'Transformaciones'!C60</x:f>
        <x:v>-0.029025491354669697</x:v>
      </x:c>
      <x:c r="C67" s="87" t="n">
        <x:f>$B$6</x:f>
        <x:v>-0.00045209606279241735</x:v>
      </x:c>
      <x:c r="D67" s="87" t="n">
        <x:f>$B$7*'Transformaciones'!E60</x:f>
        <x:v>0.0008126457308837563</x:v>
      </x:c>
      <x:c r="E67" s="87" t="n">
        <x:f>$B$8*'Transformaciones'!M60</x:f>
        <x:v>0.00672209091173618</x:v>
      </x:c>
      <x:c r="F67" s="87" t="n">
        <x:f>$B$9*'Transformaciones'!O60</x:f>
        <x:v>-0.002514966291047492</x:v>
      </x:c>
      <x:c r="G67" s="87" t="n">
        <x:f>$B$10*'Transformaciones'!G59</x:f>
        <x:v>-0.000795824751023385</x:v>
      </x:c>
      <x:c r="H67" s="87" t="n">
        <x:f>$B$11*'Transformaciones'!I59</x:f>
        <x:v>0.004634784774528696</x:v>
      </x:c>
      <x:c r="I67" s="87" t="n">
        <x:f>$B$12*'Transformaciones'!K59</x:f>
        <x:v>-0.00006622277743705197</x:v>
      </x:c>
      <x:c r="J67" s="87" t="n">
        <x:f>$B$13*'Transformaciones'!P60</x:f>
        <x:v>0</x:v>
      </x:c>
      <x:c r="K67" s="93" t="n">
        <x:f>SUM(C67:J67)</x:f>
        <x:v>0.008340411534848286</x:v>
      </x:c>
      <x:c r="L67" s="93" t="n">
        <x:f>B67-K67</x:f>
        <x:v>-0.03736590288951798</x:v>
      </x:c>
      <x:c r="M67" s="79" t="n">
        <x:f>'Datos_fuente'!B60</x:f>
        <x:v>1926.846</x:v>
      </x:c>
      <x:c r="N67" s="79" t="n">
        <x:f>EXP('Transformaciones'!B59+K67)</x:f>
        <x:v>2000.20639384665</x:v>
      </x:c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>
      <x:c r="A68" s="1" t="str">
        <x:f>'Transformaciones'!A61</x:f>
        <x:v>2010-07</x:v>
      </x:c>
      <x:c r="B68" s="87" t="n">
        <x:f>'Transformaciones'!C61</x:f>
        <x:v>-0.02758983781523039</x:v>
      </x:c>
      <x:c r="C68" s="87" t="n">
        <x:f>$B$6</x:f>
        <x:v>-0.00045209606279241735</x:v>
      </x:c>
      <x:c r="D68" s="87" t="n">
        <x:f>$B$7*'Transformaciones'!E61</x:f>
        <x:v>-0.0005632677307084966</x:v>
      </x:c>
      <x:c r="E68" s="87" t="n">
        <x:f>$B$8*'Transformaciones'!M61</x:f>
        <x:v>-0.020484359089134988</x:v>
      </x:c>
      <x:c r="F68" s="87" t="n">
        <x:f>$B$9*'Transformaciones'!O61</x:f>
        <x:v>-0.006069620635190885</x:v>
      </x:c>
      <x:c r="G68" s="87" t="n">
        <x:f>$B$10*'Transformaciones'!G60</x:f>
        <x:v>0.0004060023096934371</x:v>
      </x:c>
      <x:c r="H68" s="87" t="n">
        <x:f>$B$11*'Transformaciones'!I60</x:f>
        <x:v>0.00012146333004583783</x:v>
      </x:c>
      <x:c r="I68" s="87" t="n">
        <x:f>$B$12*'Transformaciones'!K60</x:f>
        <x:v>0.0012635970408201999</x:v>
      </x:c>
      <x:c r="J68" s="87" t="n">
        <x:f>$B$13*'Transformaciones'!P61</x:f>
        <x:v>0</x:v>
      </x:c>
      <x:c r="K68" s="93" t="n">
        <x:f>SUM(C68:J68)</x:f>
        <x:v>-0.02577828083726731</x:v>
      </x:c>
      <x:c r="L68" s="93" t="n">
        <x:f>B68-K68</x:f>
        <x:v>-0.0018115569779630775</x:v>
      </x:c>
      <x:c r="M68" s="79" t="n">
        <x:f>'Datos_fuente'!B61</x:f>
        <x:v>1874.41129</x:v>
      </x:c>
      <x:c r="N68" s="79" t="n">
        <x:f>EXP('Transformaciones'!B60+K68)</x:f>
        <x:v>1877.8099703740809</x:v>
      </x:c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>
      <x:c r="A69" s="1" t="str">
        <x:f>'Transformaciones'!A62</x:f>
        <x:v>2010-08</x:v>
      </x:c>
      <x:c r="B69" s="87" t="n">
        <x:f>'Transformaciones'!C62</x:f>
        <x:v>-0.02879865281356775</x:v>
      </x:c>
      <x:c r="C69" s="87" t="n">
        <x:f>$B$6</x:f>
        <x:v>-0.00045209606279241735</x:v>
      </x:c>
      <x:c r="D69" s="87" t="n">
        <x:f>$B$7*'Transformaciones'!E62</x:f>
        <x:v>-0.0009887268951842064</x:v>
      </x:c>
      <x:c r="E69" s="87" t="n">
        <x:f>$B$8*'Transformaciones'!M62</x:f>
        <x:v>-0.009977395720891503</x:v>
      </x:c>
      <x:c r="F69" s="87" t="n">
        <x:f>$B$9*'Transformaciones'!O62</x:f>
        <x:v>-0.0012579074410802265</x:v>
      </x:c>
      <x:c r="G69" s="87" t="n">
        <x:f>$B$10*'Transformaciones'!G61</x:f>
        <x:v>0.0018303887133422538</x:v>
      </x:c>
      <x:c r="H69" s="87" t="n">
        <x:f>$B$11*'Transformaciones'!I61</x:f>
        <x:v>0</x:v>
      </x:c>
      <x:c r="I69" s="87" t="n">
        <x:f>$B$12*'Transformaciones'!K61</x:f>
        <x:v>-0.0004662389285490347</x:v>
      </x:c>
      <x:c r="J69" s="87" t="n">
        <x:f>$B$13*'Transformaciones'!P62</x:f>
        <x:v>0</x:v>
      </x:c>
      <x:c r="K69" s="93" t="n">
        <x:f>SUM(C69:J69)</x:f>
        <x:v>-0.011311976335155134</x:v>
      </x:c>
      <x:c r="L69" s="93" t="n">
        <x:f>B69-K69</x:f>
        <x:v>-0.017486676478412615</x:v>
      </x:c>
      <x:c r="M69" s="79" t="n">
        <x:f>'Datos_fuente'!B62</x:f>
        <x:v>1821.200645</x:v>
      </x:c>
      <x:c r="N69" s="79" t="n">
        <x:f>EXP('Transformaciones'!B61+K69)</x:f>
        <x:v>1853.3274685147776</x:v>
      </x:c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>
      <x:c r="A70" s="1" t="str">
        <x:f>'Transformaciones'!A63</x:f>
        <x:v>2010-09</x:v>
      </x:c>
      <x:c r="B70" s="87" t="n">
        <x:f>'Transformaciones'!C63</x:f>
        <x:v>-0.008507593053932005</x:v>
      </x:c>
      <x:c r="C70" s="87" t="n">
        <x:f>$B$6</x:f>
        <x:v>-0.00045209606279241735</x:v>
      </x:c>
      <x:c r="D70" s="87" t="n">
        <x:f>$B$7*'Transformaciones'!E63</x:f>
        <x:v>-0.0005346370763180504</x:v>
      </x:c>
      <x:c r="E70" s="87" t="n">
        <x:f>$B$8*'Transformaciones'!M63</x:f>
        <x:v>-0.011986239943707677</x:v>
      </x:c>
      <x:c r="F70" s="87" t="n">
        <x:f>$B$9*'Transformaciones'!O63</x:f>
        <x:v>-0.003644045951725112</x:v>
      </x:c>
      <x:c r="G70" s="87" t="n">
        <x:f>$B$10*'Transformaciones'!G62</x:f>
        <x:v>0.002206856022563367</x:v>
      </x:c>
      <x:c r="H70" s="87" t="n">
        <x:f>$B$11*'Transformaciones'!I62</x:f>
        <x:v>0.00009908850217863401</x:v>
      </x:c>
      <x:c r="I70" s="87" t="n">
        <x:f>$B$12*'Transformaciones'!K62</x:f>
        <x:v>0.00048562929533819445</x:v>
      </x:c>
      <x:c r="J70" s="87" t="n">
        <x:f>$B$13*'Transformaciones'!P63</x:f>
        <x:v>0</x:v>
      </x:c>
      <x:c r="K70" s="93" t="n">
        <x:f>SUM(C70:J70)</x:f>
        <x:v>-0.01382544521446306</x:v>
      </x:c>
      <x:c r="L70" s="93" t="n">
        <x:f>B70-K70</x:f>
        <x:v>0.005317852160531055</x:v>
      </x:c>
      <x:c r="M70" s="79" t="n">
        <x:f>'Datos_fuente'!B63</x:f>
        <x:v>1805.772333</x:v>
      </x:c>
      <x:c r="N70" s="79" t="n">
        <x:f>EXP('Transformaciones'!B62+K70)</x:f>
        <x:v>1796.19499071295</x:v>
      </x:c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>
      <x:c r="A71" s="1" t="str">
        <x:f>'Transformaciones'!A64</x:f>
        <x:v>2010-10</x:v>
      </x:c>
      <x:c r="B71" s="87" t="n">
        <x:f>'Transformaciones'!C64</x:f>
        <x:v>0.0015686037595941116</x:v>
      </x:c>
      <x:c r="C71" s="87" t="n">
        <x:f>$B$6</x:f>
        <x:v>-0.00045209606279241735</x:v>
      </x:c>
      <x:c r="D71" s="87" t="n">
        <x:f>$B$7*'Transformaciones'!E64</x:f>
        <x:v>-0.0031083526463979417</x:v>
      </x:c>
      <x:c r="E71" s="87" t="n">
        <x:f>$B$8*'Transformaciones'!M64</x:f>
        <x:v>-0.03364546481544766</x:v>
      </x:c>
      <x:c r="F71" s="87" t="n">
        <x:f>$B$9*'Transformaciones'!O64</x:f>
        <x:v>-0.003864518197138344</x:v>
      </x:c>
      <x:c r="G71" s="87" t="n">
        <x:f>$B$10*'Transformaciones'!G63</x:f>
        <x:v>0.0011068143339567893</x:v>
      </x:c>
      <x:c r="H71" s="87" t="n">
        <x:f>$B$11*'Transformaciones'!I63</x:f>
        <x:v>0</x:v>
      </x:c>
      <x:c r="I71" s="87" t="n">
        <x:f>$B$12*'Transformaciones'!K63</x:f>
        <x:v>-0.0013663528690752603</x:v>
      </x:c>
      <x:c r="J71" s="87" t="n">
        <x:f>$B$13*'Transformaciones'!P64</x:f>
        <x:v>0</x:v>
      </x:c>
      <x:c r="K71" s="93" t="n">
        <x:f>SUM(C71:J71)</x:f>
        <x:v>-0.04132997025689483</x:v>
      </x:c>
      <x:c r="L71" s="93" t="n">
        <x:f>B71-K71</x:f>
        <x:v>0.042898574016488944</x:v>
      </x:c>
      <x:c r="M71" s="79" t="n">
        <x:f>'Datos_fuente'!B64</x:f>
        <x:v>1808.607097</x:v>
      </x:c>
      <x:c r="N71" s="79" t="n">
        <x:f>EXP('Transformaciones'!B63+K71)</x:f>
        <x:v>1732.6610663132694</x:v>
      </x:c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>
      <x:c r="A72" s="1" t="str">
        <x:f>'Transformaciones'!A65</x:f>
        <x:v>2010-11</x:v>
      </x:c>
      <x:c r="B72" s="87" t="n">
        <x:f>'Transformaciones'!C65</x:f>
        <x:v>0.02962788165616903</x:v>
      </x:c>
      <x:c r="C72" s="87" t="n">
        <x:f>$B$6</x:f>
        <x:v>-0.00045209606279241735</x:v>
      </x:c>
      <x:c r="D72" s="87" t="n">
        <x:f>$B$7*'Transformaciones'!E65</x:f>
        <x:v>-0.0016068605889287284</x:v>
      </x:c>
      <x:c r="E72" s="87" t="n">
        <x:f>$B$8*'Transformaciones'!M65</x:f>
        <x:v>0.003770197398753811</x:v>
      </x:c>
      <x:c r="F72" s="87" t="n">
        <x:f>$B$9*'Transformaciones'!O65</x:f>
        <x:v>-0.0005298455042228798</x:v>
      </x:c>
      <x:c r="G72" s="87" t="n">
        <x:f>$B$10*'Transformaciones'!G64</x:f>
        <x:v>0.0005851319814947885</x:v>
      </x:c>
      <x:c r="H72" s="87" t="n">
        <x:f>$B$11*'Transformaciones'!I64</x:f>
        <x:v>0</x:v>
      </x:c>
      <x:c r="I72" s="87" t="n">
        <x:f>$B$12*'Transformaciones'!K64</x:f>
        <x:v>-0.0009622402977868247</x:v>
      </x:c>
      <x:c r="J72" s="87" t="n">
        <x:f>$B$13*'Transformaciones'!P65</x:f>
        <x:v>0</x:v>
      </x:c>
      <x:c r="K72" s="93" t="n">
        <x:f>SUM(C72:J72)</x:f>
        <x:v>0.0008042869265177495</x:v>
      </x:c>
      <x:c r="L72" s="93" t="n">
        <x:f>B72-K72</x:f>
        <x:v>0.02882359472965128</x:v>
      </x:c>
      <x:c r="M72" s="79" t="n">
        <x:f>'Datos_fuente'!B65</x:f>
        <x:v>1862.994</x:v>
      </x:c>
      <x:c r="N72" s="79" t="n">
        <x:f>EXP('Transformaciones'!B64+K72)</x:f>
        <x:v>1810.0623211737673</x:v>
      </x:c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>
      <x:c r="A73" s="1" t="str">
        <x:f>'Transformaciones'!A66</x:f>
        <x:v>2010-12</x:v>
      </x:c>
      <x:c r="B73" s="87" t="n">
        <x:f>'Transformaciones'!C66</x:f>
        <x:v>0.03135379201791366</x:v>
      </x:c>
      <x:c r="C73" s="87" t="n">
        <x:f>$B$6</x:f>
        <x:v>-0.00045209606279241735</x:v>
      </x:c>
      <x:c r="D73" s="87" t="n">
        <x:f>$B$7*'Transformaciones'!E66</x:f>
        <x:v>-0.003612206800616196</x:v>
      </x:c>
      <x:c r="E73" s="87" t="n">
        <x:f>$B$8*'Transformaciones'!M66</x:f>
        <x:v>0.009013558036159663</x:v>
      </x:c>
      <x:c r="F73" s="87" t="n">
        <x:f>$B$9*'Transformaciones'!O66</x:f>
        <x:v>-0.005187881458668107</x:v>
      </x:c>
      <x:c r="G73" s="87" t="n">
        <x:f>$B$10*'Transformaciones'!G65</x:f>
        <x:v>0.0013233435389908435</x:v>
      </x:c>
      <x:c r="H73" s="87" t="n">
        <x:f>$B$11*'Transformaciones'!I65</x:f>
        <x:v>0</x:v>
      </x:c>
      <x:c r="I73" s="87" t="n">
        <x:f>$B$12*'Transformaciones'!K65</x:f>
        <x:v>-0.0006639607347570601</x:v>
      </x:c>
      <x:c r="J73" s="87" t="n">
        <x:f>$B$13*'Transformaciones'!P66</x:f>
        <x:v>0</x:v>
      </x:c>
      <x:c r="K73" s="93" t="n">
        <x:f>SUM(C73:J73)</x:f>
        <x:v>0.00042075651831672645</x:v>
      </x:c>
      <x:c r="L73" s="93" t="n">
        <x:f>B73-K73</x:f>
        <x:v>0.030933035499596934</x:v>
      </x:c>
      <x:c r="M73" s="79" t="n">
        <x:f>'Datos_fuente'!B66</x:f>
        <x:v>1922.33129</x:v>
      </x:c>
      <x:c r="N73" s="79" t="n">
        <x:f>EXP('Transformaciones'!B65+K73)</x:f>
        <x:v>1863.778031800763</x:v>
      </x:c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>
      <x:c r="A74" s="1" t="str">
        <x:f>'Transformaciones'!A67</x:f>
        <x:v>2011-01</x:v>
      </x:c>
      <x:c r="B74" s="87" t="n">
        <x:f>'Transformaciones'!C67</x:f>
        <x:v>-0.02916467772071485</x:v>
      </x:c>
      <x:c r="C74" s="87" t="n">
        <x:f>$B$6</x:f>
        <x:v>-0.00045209606279241735</x:v>
      </x:c>
      <x:c r="D74" s="87" t="n">
        <x:f>$B$7*'Transformaciones'!E67</x:f>
        <x:v>-0.0027928778203039823</x:v>
      </x:c>
      <x:c r="E74" s="87" t="n">
        <x:f>$B$8*'Transformaciones'!M67</x:f>
        <x:v>-0.014372428486140183</x:v>
      </x:c>
      <x:c r="F74" s="87" t="n">
        <x:f>$B$9*'Transformaciones'!O67</x:f>
        <x:v>-0.0005624656203279737</x:v>
      </x:c>
      <x:c r="G74" s="87" t="n">
        <x:f>$B$10*'Transformaciones'!G66</x:f>
        <x:v>0.0005999825914137627</x:v>
      </x:c>
      <x:c r="H74" s="87" t="n">
        <x:f>$B$11*'Transformaciones'!I66</x:f>
        <x:v>-0.00009908850217863401</x:v>
      </x:c>
      <x:c r="I74" s="87" t="n">
        <x:f>$B$12*'Transformaciones'!K66</x:f>
        <x:v>0.003112327528729367</x:v>
      </x:c>
      <x:c r="J74" s="87" t="n">
        <x:f>$B$13*'Transformaciones'!P67</x:f>
        <x:v>0</x:v>
      </x:c>
      <x:c r="K74" s="93" t="n">
        <x:f>SUM(C74:J74)</x:f>
        <x:v>-0.014566646371600059</x:v>
      </x:c>
      <x:c r="L74" s="93" t="n">
        <x:f>B74-K74</x:f>
        <x:v>-0.01459803134911479</x:v>
      </x:c>
      <x:c r="M74" s="79" t="n">
        <x:f>'Datos_fuente'!B67</x:f>
        <x:v>1867.076774</x:v>
      </x:c>
      <x:c r="N74" s="79" t="n">
        <x:f>EXP('Transformaciones'!B66+K74)</x:f>
        <x:v>1894.5323302444867</x:v>
      </x:c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>
      <x:c r="A75" s="1" t="str">
        <x:f>'Transformaciones'!A68</x:f>
        <x:v>2011-02</x:v>
      </x:c>
      <x:c r="B75" s="87" t="n">
        <x:f>'Transformaciones'!C68</x:f>
        <x:v>0.00815839505198035</x:v>
      </x:c>
      <x:c r="C75" s="87" t="n">
        <x:f>$B$6</x:f>
        <x:v>-0.00045209606279241735</x:v>
      </x:c>
      <x:c r="D75" s="87" t="n">
        <x:f>$B$7*'Transformaciones'!E68</x:f>
        <x:v>-0.0037152756303896113</x:v>
      </x:c>
      <x:c r="E75" s="87" t="n">
        <x:f>$B$8*'Transformaciones'!M68</x:f>
        <x:v>-0.009672818529152019</x:v>
      </x:c>
      <x:c r="F75" s="87" t="n">
        <x:f>$B$9*'Transformaciones'!O68</x:f>
        <x:v>0.0002545216147599892</x:v>
      </x:c>
      <x:c r="G75" s="87" t="n">
        <x:f>$B$10*'Transformaciones'!G67</x:f>
        <x:v>0.0017087834524998377</x:v>
      </x:c>
      <x:c r="H75" s="87" t="n">
        <x:f>$B$11*'Transformaciones'!I67</x:f>
        <x:v>-0.00009908850217863842</x:v>
      </x:c>
      <x:c r="I75" s="87" t="n">
        <x:f>$B$12*'Transformaciones'!K67</x:f>
        <x:v>-0.003348274834325717</x:v>
      </x:c>
      <x:c r="J75" s="87" t="n">
        <x:f>$B$13*'Transformaciones'!P68</x:f>
        <x:v>0</x:v>
      </x:c>
      <x:c r="K75" s="93" t="n">
        <x:f>SUM(C75:J75)</x:f>
        <x:v>-0.015324248491578575</x:v>
      </x:c>
      <x:c r="L75" s="93" t="n">
        <x:f>B75-K75</x:f>
        <x:v>0.023482643543558925</x:v>
      </x:c>
      <x:c r="M75" s="79" t="n">
        <x:f>'Datos_fuente'!B68</x:f>
        <x:v>1882.371429</x:v>
      </x:c>
      <x:c r="N75" s="79" t="n">
        <x:f>EXP('Transformaciones'!B67+K75)</x:f>
        <x:v>1838.6833352576707</x:v>
      </x:c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>
      <x:c r="A76" s="1" t="str">
        <x:f>'Transformaciones'!A69</x:f>
        <x:v>2011-03</x:v>
      </x:c>
      <x:c r="B76" s="87" t="n">
        <x:f>'Transformaciones'!C69</x:f>
        <x:v>-0.00029572925696452756</x:v>
      </x:c>
      <x:c r="C76" s="87" t="n">
        <x:f>$B$6</x:f>
        <x:v>-0.00045209606279241735</x:v>
      </x:c>
      <x:c r="D76" s="87" t="n">
        <x:f>$B$7*'Transformaciones'!E69</x:f>
        <x:v>-0.005177895484611557</x:v>
      </x:c>
      <x:c r="E76" s="87" t="n">
        <x:f>$B$8*'Transformaciones'!M69</x:f>
        <x:v>-0.01242412654052054</x:v>
      </x:c>
      <x:c r="F76" s="87" t="n">
        <x:f>$B$9*'Transformaciones'!O69</x:f>
        <x:v>0.006683732340449497</x:v>
      </x:c>
      <x:c r="G76" s="87" t="n">
        <x:f>$B$10*'Transformaciones'!G68</x:f>
        <x:v>0.0030469342267675508</x:v>
      </x:c>
      <x:c r="H76" s="87" t="n">
        <x:f>$B$11*'Transformaciones'!I68</x:f>
        <x:v>-0.0001875603748771969</x:v>
      </x:c>
      <x:c r="I76" s="87" t="n">
        <x:f>$B$12*'Transformaciones'!K68</x:f>
        <x:v>0.00023519773555487415</x:v>
      </x:c>
      <x:c r="J76" s="87" t="n">
        <x:f>$B$13*'Transformaciones'!P69</x:f>
        <x:v>0</x:v>
      </x:c>
      <x:c r="K76" s="93" t="n">
        <x:f>SUM(C76:J76)</x:f>
        <x:v>-0.008275814160029793</x:v>
      </x:c>
      <x:c r="L76" s="93" t="n">
        <x:f>B76-K76</x:f>
        <x:v>0.007980084903065265</x:v>
      </x:c>
      <x:c r="M76" s="79" t="n">
        <x:f>'Datos_fuente'!B69</x:f>
        <x:v>1881.814839</x:v>
      </x:c>
      <x:c r="N76" s="79" t="n">
        <x:f>EXP('Transformaciones'!B68+K76)</x:f>
        <x:v>1866.8575563809588</x:v>
      </x:c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>
      <x:c r="A77" s="1" t="str">
        <x:f>'Transformaciones'!A70</x:f>
        <x:v>2011-04</x:v>
      </x:c>
      <x:c r="B77" s="87" t="n">
        <x:f>'Transformaciones'!C70</x:f>
        <x:v>-0.03900152272987878</x:v>
      </x:c>
      <x:c r="C77" s="87" t="n">
        <x:f>$B$6</x:f>
        <x:v>-0.00045209606279241735</x:v>
      </x:c>
      <x:c r="D77" s="87" t="n">
        <x:f>$B$7*'Transformaciones'!E70</x:f>
        <x:v>-0.0037456122598977662</x:v>
      </x:c>
      <x:c r="E77" s="87" t="n">
        <x:f>$B$8*'Transformaciones'!M70</x:f>
        <x:v>-0.021693368192981375</x:v>
      </x:c>
      <x:c r="F77" s="87" t="n">
        <x:f>$B$9*'Transformaciones'!O70</x:f>
        <x:v>-0.009405091285764377</x:v>
      </x:c>
      <x:c r="G77" s="87" t="n">
        <x:f>$B$10*'Transformaciones'!G69</x:f>
        <x:v>-0.00013053523896733296</x:v>
      </x:c>
      <x:c r="H77" s="87" t="n">
        <x:f>$B$11*'Transformaciones'!I69</x:f>
        <x:v>-0.0033860185072691097</x:v>
      </x:c>
      <x:c r="I77" s="87" t="n">
        <x:f>$B$12*'Transformaciones'!K69</x:f>
        <x:v>-0.0010169393779463458</x:v>
      </x:c>
      <x:c r="J77" s="87" t="n">
        <x:f>$B$13*'Transformaciones'!P70</x:f>
        <x:v>0</x:v>
      </x:c>
      <x:c r="K77" s="93" t="n">
        <x:f>SUM(C77:J77)</x:f>
        <x:v>-0.03982966092561872</x:v>
      </x:c>
      <x:c r="L77" s="93" t="n">
        <x:f>B77-K77</x:f>
        <x:v>0.0008281381957399442</x:v>
      </x:c>
      <x:c r="M77" s="79" t="n">
        <x:f>'Datos_fuente'!B70</x:f>
        <x:v>1809.834</x:v>
      </x:c>
      <x:c r="N77" s="79" t="n">
        <x:f>EXP('Transformaciones'!B69+K77)</x:f>
        <x:v>1808.3358277690986</x:v>
      </x:c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>
      <x:c r="A78" s="1" t="str">
        <x:f>'Transformaciones'!A71</x:f>
        <x:v>2011-05</x:v>
      </x:c>
      <x:c r="B78" s="87" t="n">
        <x:f>'Transformaciones'!C71</x:f>
        <x:v>-0.005165886724466162</x:v>
      </x:c>
      <x:c r="C78" s="87" t="n">
        <x:f>$B$6</x:f>
        <x:v>-0.00045209606279241735</x:v>
      </x:c>
      <x:c r="D78" s="87" t="n">
        <x:f>$B$7*'Transformaciones'!E71</x:f>
        <x:v>0.003590030844480098</x:v>
      </x:c>
      <x:c r="E78" s="87" t="n">
        <x:f>$B$8*'Transformaciones'!M71</x:f>
        <x:v>0.00034994166790140984</x:v>
      </x:c>
      <x:c r="F78" s="87" t="n">
        <x:f>$B$9*'Transformaciones'!O71</x:f>
        <x:v>0.0015549806788073117</x:v>
      </x:c>
      <x:c r="G78" s="87" t="n">
        <x:f>$B$10*'Transformaciones'!G70</x:f>
        <x:v>-0.0006167177058909753</x:v>
      </x:c>
      <x:c r="H78" s="87" t="n">
        <x:f>$B$11*'Transformaciones'!I70</x:f>
        <x:v>-0.002074465742035951</x:v>
      </x:c>
      <x:c r="I78" s="87" t="n">
        <x:f>$B$12*'Transformaciones'!K70</x:f>
        <x:v>-0.0025203947009991446</x:v>
      </x:c>
      <x:c r="J78" s="87" t="n">
        <x:f>$B$13*'Transformaciones'!P71</x:f>
        <x:v>0</x:v>
      </x:c>
      <x:c r="K78" s="93" t="n">
        <x:f>SUM(C78:J78)</x:f>
        <x:v>-0.0001687210205296684</x:v>
      </x:c>
      <x:c r="L78" s="93" t="n">
        <x:f>B78-K78</x:f>
        <x:v>-0.004997165703936494</x:v>
      </x:c>
      <x:c r="M78" s="79" t="n">
        <x:f>'Datos_fuente'!B71</x:f>
        <x:v>1800.50871</x:v>
      </x:c>
      <x:c r="N78" s="79" t="n">
        <x:f>EXP('Transformaciones'!B70+K78)</x:f>
        <x:v>1809.5286687191576</x:v>
      </x:c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>
      <x:c r="A79" s="1" t="str">
        <x:f>'Transformaciones'!A72</x:f>
        <x:v>2011-06</x:v>
      </x:c>
      <x:c r="B79" s="87" t="n">
        <x:f>'Transformaciones'!C72</x:f>
        <x:v>-0.009682544441075969</x:v>
      </x:c>
      <x:c r="C79" s="87" t="n">
        <x:f>$B$6</x:f>
        <x:v>-0.00045209606279241735</x:v>
      </x:c>
      <x:c r="D79" s="87" t="n">
        <x:f>$B$7*'Transformaciones'!E72</x:f>
        <x:v>0.0005222380790928564</x:v>
      </x:c>
      <x:c r="E79" s="87" t="n">
        <x:f>$B$8*'Transformaciones'!M72</x:f>
        <x:v>-0.00007197301934424269</x:v>
      </x:c>
      <x:c r="F79" s="87" t="n">
        <x:f>$B$9*'Transformaciones'!O72</x:f>
        <x:v>0.004807098478067157</x:v>
      </x:c>
      <x:c r="G79" s="87" t="n">
        <x:f>$B$10*'Transformaciones'!G71</x:f>
        <x:v>0.0012797076443919397</x:v>
      </x:c>
      <x:c r="H79" s="87" t="n">
        <x:f>$B$11*'Transformaciones'!I71</x:f>
        <x:v>-0.0025763010566445415</x:v>
      </x:c>
      <x:c r="I79" s="87" t="n">
        <x:f>$B$12*'Transformaciones'!K71</x:f>
        <x:v>-0.0013244946274274803</x:v>
      </x:c>
      <x:c r="J79" s="87" t="n">
        <x:f>$B$13*'Transformaciones'!P72</x:f>
        <x:v>0</x:v>
      </x:c>
      <x:c r="K79" s="93" t="n">
        <x:f>SUM(C79:J79)</x:f>
        <x:v>0.0021841794353432715</x:v>
      </x:c>
      <x:c r="L79" s="93" t="n">
        <x:f>B79-K79</x:f>
        <x:v>-0.01186672387641924</x:v>
      </x:c>
      <x:c r="M79" s="79" t="n">
        <x:f>'Datos_fuente'!B72</x:f>
        <x:v>1783.159333</x:v>
      </x:c>
      <x:c r="N79" s="79" t="n">
        <x:f>EXP('Transformaciones'!B71+K79)</x:f>
        <x:v>1804.4456420153726</x:v>
      </x:c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>
      <x:c r="A80" s="1" t="str">
        <x:f>'Transformaciones'!A73</x:f>
        <x:v>2011-07</x:v>
      </x:c>
      <x:c r="B80" s="87" t="n">
        <x:f>'Transformaciones'!C73</x:f>
        <x:v>-0.012167689442350138</x:v>
      </x:c>
      <x:c r="C80" s="87" t="n">
        <x:f>$B$6</x:f>
        <x:v>-0.00045209606279241735</x:v>
      </x:c>
      <x:c r="D80" s="87" t="n">
        <x:f>$B$7*'Transformaciones'!E73</x:f>
        <x:v>-0.00140672018669933</x:v>
      </x:c>
      <x:c r="E80" s="87" t="n">
        <x:f>$B$8*'Transformaciones'!M73</x:f>
        <x:v>-0.008744214113512687</x:v>
      </x:c>
      <x:c r="F80" s="87" t="n">
        <x:f>$B$9*'Transformaciones'!O73</x:f>
        <x:v>0.00014955436720232157</x:v>
      </x:c>
      <x:c r="G80" s="87" t="n">
        <x:f>$B$10*'Transformaciones'!G72</x:f>
        <x:v>0.0004869770540754497</x:v>
      </x:c>
      <x:c r="H80" s="87" t="n">
        <x:f>$B$11*'Transformaciones'!I72</x:f>
        <x:v>-0.003385523827739686</x:v>
      </x:c>
      <x:c r="I80" s="87" t="n">
        <x:f>$B$12*'Transformaciones'!K72</x:f>
        <x:v>-0.002654699284197209</x:v>
      </x:c>
      <x:c r="J80" s="87" t="n">
        <x:f>$B$13*'Transformaciones'!P73</x:f>
        <x:v>0</x:v>
      </x:c>
      <x:c r="K80" s="93" t="n">
        <x:f>SUM(C80:J80)</x:f>
        <x:v>-0.016006722053663557</x:v>
      </x:c>
      <x:c r="L80" s="93" t="n">
        <x:f>B80-K80</x:f>
        <x:v>0.003839032611313419</x:v>
      </x:c>
      <x:c r="M80" s="79" t="n">
        <x:f>'Datos_fuente'!B73</x:f>
        <x:v>1761.593871</x:v>
      </x:c>
      <x:c r="N80" s="79" t="n">
        <x:f>EXP('Transformaciones'!B72+K80)</x:f>
        <x:v>1754.844019421543</x:v>
      </x:c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>
      <x:c r="A81" s="1" t="str">
        <x:f>'Transformaciones'!A74</x:f>
        <x:v>2011-08</x:v>
      </x:c>
      <x:c r="B81" s="87" t="n">
        <x:f>'Transformaciones'!C74</x:f>
        <x:v>0.013513083763454503</x:v>
      </x:c>
      <x:c r="C81" s="87" t="n">
        <x:f>$B$6</x:f>
        <x:v>-0.00045209606279241735</x:v>
      </x:c>
      <x:c r="D81" s="87" t="n">
        <x:f>$B$7*'Transformaciones'!E74</x:f>
        <x:v>0.003074303371468402</x:v>
      </x:c>
      <x:c r="E81" s="87" t="n">
        <x:f>$B$8*'Transformaciones'!M74</x:f>
        <x:v>0.008142977607703057</x:v>
      </x:c>
      <x:c r="F81" s="87" t="n">
        <x:f>$B$9*'Transformaciones'!O74</x:f>
        <x:v>0.023164370071978017</x:v>
      </x:c>
      <x:c r="G81" s="87" t="n">
        <x:f>$B$10*'Transformaciones'!G73</x:f>
        <x:v>-0.0014306433056543914</x:v>
      </x:c>
      <x:c r="H81" s="87" t="n">
        <x:f>$B$11*'Transformaciones'!I73</x:f>
        <x:v>-0.0017670782855493887</x:v>
      </x:c>
      <x:c r="I81" s="87" t="n">
        <x:f>$B$12*'Transformaciones'!K73</x:f>
        <x:v>-0.0014135198853101804</x:v>
      </x:c>
      <x:c r="J81" s="87" t="n">
        <x:f>$B$13*'Transformaciones'!P74</x:f>
        <x:v>0</x:v>
      </x:c>
      <x:c r="K81" s="93" t="n">
        <x:f>SUM(C81:J81)</x:f>
        <x:v>0.0293183135118431</x:v>
      </x:c>
      <x:c r="L81" s="93" t="n">
        <x:f>B81-K81</x:f>
        <x:v>-0.015805229748388598</x:v>
      </x:c>
      <x:c r="M81" s="79" t="n">
        <x:f>'Datos_fuente'!B74</x:f>
        <x:v>1785.56</x:v>
      </x:c>
      <x:c r="N81" s="79" t="n">
        <x:f>EXP('Transformaciones'!B73+K81)</x:f>
        <x:v>1814.0053868183013</x:v>
      </x:c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>
      <x:c r="A82" s="1" t="str">
        <x:f>'Transformaciones'!A75</x:f>
        <x:v>2011-09</x:v>
      </x:c>
      <x:c r="B82" s="87" t="n">
        <x:f>'Transformaciones'!C75</x:f>
        <x:v>0.02639625765864828</x:v>
      </x:c>
      <x:c r="C82" s="87" t="n">
        <x:f>$B$6</x:f>
        <x:v>-0.00045209606279241735</x:v>
      </x:c>
      <x:c r="D82" s="87" t="n">
        <x:f>$B$7*'Transformaciones'!E75</x:f>
        <x:v>-0.001211758876093812</x:v>
      </x:c>
      <x:c r="E82" s="87" t="n">
        <x:f>$B$8*'Transformaciones'!M75</x:f>
        <x:v>0.03889837838898959</x:v>
      </x:c>
      <x:c r="F82" s="87" t="n">
        <x:f>$B$9*'Transformaciones'!O75</x:f>
        <x:v>0.0016201594907236314</x:v>
      </x:c>
      <x:c r="G82" s="87" t="n">
        <x:f>$B$10*'Transformaciones'!G74</x:f>
        <x:v>0.0021042235433897344</x:v>
      </x:c>
      <x:c r="H82" s="87" t="n">
        <x:f>$B$11*'Transformaciones'!I74</x:f>
        <x:v>-0.0021799470479300013</x:v>
      </x:c>
      <x:c r="I82" s="87" t="n">
        <x:f>$B$12*'Transformaciones'!K74</x:f>
        <x:v>0.002392154656831007</x:v>
      </x:c>
      <x:c r="J82" s="87" t="n">
        <x:f>$B$13*'Transformaciones'!P75</x:f>
        <x:v>0</x:v>
      </x:c>
      <x:c r="K82" s="93" t="n">
        <x:f>SUM(C82:J82)</x:f>
        <x:v>0.041171114093117724</x:v>
      </x:c>
      <x:c r="L82" s="93" t="n">
        <x:f>B82-K82</x:f>
        <x:v>-0.014774856434469442</x:v>
      </x:c>
      <x:c r="M82" s="79" t="n">
        <x:f>'Datos_fuente'!B75</x:f>
        <x:v>1833.319667</x:v>
      </x:c>
      <x:c r="N82" s="79" t="n">
        <x:f>EXP('Transformaciones'!B74+K82)</x:f>
        <x:v>1860.6077945554239</x:v>
      </x:c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>
      <x:c r="A83" s="1" t="str">
        <x:f>'Transformaciones'!A76</x:f>
        <x:v>2011-10</x:v>
      </x:c>
      <x:c r="B83" s="87" t="n">
        <x:f>'Transformaciones'!C76</x:f>
        <x:v>0.039722292997057984</x:v>
      </x:c>
      <x:c r="C83" s="87" t="n">
        <x:f>$B$6</x:f>
        <x:v>-0.00045209606279241735</x:v>
      </x:c>
      <x:c r="D83" s="87" t="n">
        <x:f>$B$7*'Transformaciones'!E76</x:f>
        <x:v>0.0015267291507887176</x:v>
      </x:c>
      <x:c r="E83" s="87" t="n">
        <x:f>$B$8*'Transformaciones'!M76</x:f>
        <x:v>0.011919911525580766</x:v>
      </x:c>
      <x:c r="F83" s="87" t="n">
        <x:f>$B$9*'Transformaciones'!O76</x:f>
        <x:v>-0.004125145194715413</x:v>
      </x:c>
      <x:c r="G83" s="87" t="n">
        <x:f>$B$10*'Transformaciones'!G75</x:f>
        <x:v>0.0005783630624282903</x:v>
      </x:c>
      <x:c r="H83" s="87" t="n">
        <x:f>$B$11*'Transformaciones'!I75</x:f>
        <x:v>-0.00019817700435726803</x:v>
      </x:c>
      <x:c r="I83" s="87" t="n">
        <x:f>$B$12*'Transformaciones'!K75</x:f>
        <x:v>-0.0005920505602049759</x:v>
      </x:c>
      <x:c r="J83" s="87" t="n">
        <x:f>$B$13*'Transformaciones'!P76</x:f>
        <x:v>0</x:v>
      </x:c>
      <x:c r="K83" s="93" t="n">
        <x:f>SUM(C83:J83)</x:f>
        <x:v>0.008657534916727699</x:v>
      </x:c>
      <x:c r="L83" s="93" t="n">
        <x:f>B83-K83</x:f>
        <x:v>0.031064758080330285</x:v>
      </x:c>
      <x:c r="M83" s="79" t="n">
        <x:f>'Datos_fuente'!B76</x:f>
        <x:v>1907.609032</x:v>
      </x:c>
      <x:c r="N83" s="79" t="n">
        <x:f>EXP('Transformaciones'!B75+K83)</x:f>
        <x:v>1849.2606010590264</x:v>
      </x:c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>
      <x:c r="A84" s="1" t="str">
        <x:f>'Transformaciones'!A77</x:f>
        <x:v>2011-11</x:v>
      </x:c>
      <x:c r="B84" s="87" t="n">
        <x:f>'Transformaciones'!C77</x:f>
        <x:v>0.006201068972887747</x:v>
      </x:c>
      <x:c r="C84" s="87" t="n">
        <x:f>$B$6</x:f>
        <x:v>-0.00045209606279241735</x:v>
      </x:c>
      <x:c r="D84" s="87" t="n">
        <x:f>$B$7*'Transformaciones'!E77</x:f>
        <x:v>-0.000571598563801437</x:v>
      </x:c>
      <x:c r="E84" s="87" t="n">
        <x:f>$B$8*'Transformaciones'!M77</x:f>
        <x:v>0.008752005459034824</x:v>
      </x:c>
      <x:c r="F84" s="87" t="n">
        <x:f>$B$9*'Transformaciones'!O77</x:f>
        <x:v>-0.0010579292264998074</x:v>
      </x:c>
      <x:c r="G84" s="87" t="n">
        <x:f>$B$10*'Transformaciones'!G76</x:f>
        <x:v>0.00047481894917543156</x:v>
      </x:c>
      <x:c r="H84" s="87" t="n">
        <x:f>$B$11*'Transformaciones'!I76</x:f>
        <x:v>-0.00009908850217863401</x:v>
      </x:c>
      <x:c r="I84" s="87" t="n">
        <x:f>$B$12*'Transformaciones'!K76</x:f>
        <x:v>0.000491920760972133</x:v>
      </x:c>
      <x:c r="J84" s="87" t="n">
        <x:f>$B$13*'Transformaciones'!P77</x:f>
        <x:v>0</x:v>
      </x:c>
      <x:c r="K84" s="93" t="n">
        <x:f>SUM(C84:J84)</x:f>
        <x:v>0.007538032813910093</x:v>
      </x:c>
      <x:c r="L84" s="93" t="n">
        <x:f>B84-K84</x:f>
        <x:v>-0.0013369638410223464</x:v>
      </x:c>
      <x:c r="M84" s="79" t="n">
        <x:f>'Datos_fuente'!B77</x:f>
        <x:v>1919.475</x:v>
      </x:c>
      <x:c r="N84" s="79" t="n">
        <x:f>EXP('Transformaciones'!B76+K84)</x:f>
        <x:v>1922.042984937733</x:v>
      </x:c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>
      <x:c r="A85" s="1" t="str">
        <x:f>'Transformaciones'!A78</x:f>
        <x:v>2011-12</x:v>
      </x:c>
      <x:c r="B85" s="87" t="n">
        <x:f>'Transformaciones'!C78</x:f>
        <x:v>0.007203205623325104</x:v>
      </x:c>
      <x:c r="C85" s="87" t="n">
        <x:f>$B$6</x:f>
        <x:v>-0.00045209606279241735</x:v>
      </x:c>
      <x:c r="D85" s="87" t="n">
        <x:f>$B$7*'Transformaciones'!E78</x:f>
        <x:v>0.0013702252102634268</x:v>
      </x:c>
      <x:c r="E85" s="87" t="n">
        <x:f>$B$8*'Transformaciones'!M78</x:f>
        <x:v>0.012459687767283177</x:v>
      </x:c>
      <x:c r="F85" s="87" t="n">
        <x:f>$B$9*'Transformaciones'!O78</x:f>
        <x:v>-0.009389502807202714</x:v>
      </x:c>
      <x:c r="G85" s="87" t="n">
        <x:f>$B$10*'Transformaciones'!G77</x:f>
        <x:v>-0.00044023444302094714</x:v>
      </x:c>
      <x:c r="H85" s="87" t="n">
        <x:f>$B$11*'Transformaciones'!I77</x:f>
        <x:v>-0.00014863275326795983</x:v>
      </x:c>
      <x:c r="I85" s="87" t="n">
        <x:f>$B$12*'Transformaciones'!K77</x:f>
        <x:v>0.004525773910021798</x:v>
      </x:c>
      <x:c r="J85" s="87" t="n">
        <x:f>$B$13*'Transformaciones'!P78</x:f>
        <x:v>0</x:v>
      </x:c>
      <x:c r="K85" s="93" t="n">
        <x:f>SUM(C85:J85)</x:f>
        <x:v>0.007925220821284364</x:v>
      </x:c>
      <x:c r="L85" s="93" t="n">
        <x:f>B85-K85</x:f>
        <x:v>-0.0007220151979592596</x:v>
      </x:c>
      <x:c r="M85" s="79" t="n">
        <x:f>'Datos_fuente'!B78</x:f>
        <x:v>1933.35129</x:v>
      </x:c>
      <x:c r="N85" s="79" t="n">
        <x:f>EXP('Transformaciones'!B77+K85)</x:f>
        <x:v>1934.7477030694404</x:v>
      </x:c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>
      <x:c r="A86" s="1" t="str">
        <x:f>'Transformaciones'!A79</x:f>
        <x:v>2012-01</x:v>
      </x:c>
      <x:c r="B86" s="87" t="n">
        <x:f>'Transformaciones'!C79</x:f>
        <x:v>-0.04229665619062484</x:v>
      </x:c>
      <x:c r="C86" s="87" t="n">
        <x:f>$B$6</x:f>
        <x:v>-0.00045209606279241735</x:v>
      </x:c>
      <x:c r="D86" s="87" t="n">
        <x:f>$B$7*'Transformaciones'!E79</x:f>
        <x:v>-0.0013318995443622763</x:v>
      </x:c>
      <x:c r="E86" s="87" t="n">
        <x:f>$B$8*'Transformaciones'!M79</x:f>
        <x:v>-0.007392842814963323</x:v>
      </x:c>
      <x:c r="F86" s="87" t="n">
        <x:f>$B$9*'Transformaciones'!O79</x:f>
        <x:v>-0.008253022728455753</x:v>
      </x:c>
      <x:c r="G86" s="87" t="n">
        <x:f>$B$10*'Transformaciones'!G78</x:f>
        <x:v>-0.0026414754095560942</x:v>
      </x:c>
      <x:c r="H86" s="87" t="n">
        <x:f>$B$11*'Transformaciones'!I78</x:f>
        <x:v>-0.0023285798011979434</x:v>
      </x:c>
      <x:c r="I86" s="87" t="n">
        <x:f>$B$12*'Transformaciones'!K78</x:f>
        <x:v>0.0007565260044957986</x:v>
      </x:c>
      <x:c r="J86" s="87" t="n">
        <x:f>$B$13*'Transformaciones'!P79</x:f>
        <x:v>0</x:v>
      </x:c>
      <x:c r="K86" s="93" t="n">
        <x:f>SUM(C86:J86)</x:f>
        <x:v>-0.021643390356832007</x:v>
      </x:c>
      <x:c r="L86" s="93" t="n">
        <x:f>B86-K86</x:f>
        <x:v>-0.02065326583379283</x:v>
      </x:c>
      <x:c r="M86" s="79" t="n">
        <x:f>'Datos_fuente'!B79</x:f>
        <x:v>1853.282258</x:v>
      </x:c>
      <x:c r="N86" s="79" t="n">
        <x:f>EXP('Transformaciones'!B78+K86)</x:f>
        <x:v>1891.9565900444504</x:v>
      </x:c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>
      <x:c r="A87" s="1" t="str">
        <x:f>'Transformaciones'!A80</x:f>
        <x:v>2012-02</x:v>
      </x:c>
      <x:c r="B87" s="87" t="n">
        <x:f>'Transformaciones'!C80</x:f>
        <x:v>-0.03879843648336134</x:v>
      </x:c>
      <x:c r="C87" s="87" t="n">
        <x:f>$B$6</x:f>
        <x:v>-0.00045209606279241735</x:v>
      </x:c>
      <x:c r="D87" s="87" t="n">
        <x:f>$B$7*'Transformaciones'!E80</x:f>
        <x:v>-0.0038857217321907425</x:v>
      </x:c>
      <x:c r="E87" s="87" t="n">
        <x:f>$B$8*'Transformaciones'!M80</x:f>
        <x:v>-0.022557503338807294</x:v>
      </x:c>
      <x:c r="F87" s="87" t="n">
        <x:f>$B$9*'Transformaciones'!O80</x:f>
        <x:v>-0.0036147542077565654</x:v>
      </x:c>
      <x:c r="G87" s="87" t="n">
        <x:f>$B$10*'Transformaciones'!G79</x:f>
        <x:v>0.00020498061066156228</x:v>
      </x:c>
      <x:c r="H87" s="87" t="n">
        <x:f>$B$11*'Transformaciones'!I79</x:f>
        <x:v>0.000019178421055068112</x:v>
      </x:c>
      <x:c r="I87" s="87" t="n">
        <x:f>$B$12*'Transformaciones'!K79</x:f>
        <x:v>-0.0008075866918932118</x:v>
      </x:c>
      <x:c r="J87" s="87" t="n">
        <x:f>$B$13*'Transformaciones'!P80</x:f>
        <x:v>0</x:v>
      </x:c>
      <x:c r="K87" s="93" t="n">
        <x:f>SUM(C87:J87)</x:f>
        <x:v>-0.031093503001723602</x:v>
      </x:c>
      <x:c r="L87" s="93" t="n">
        <x:f>B87-K87</x:f>
        <x:v>-0.007704933481637741</x:v>
      </x:c>
      <x:c r="M87" s="79" t="n">
        <x:f>'Datos_fuente'!B80</x:f>
        <x:v>1782.754828</x:v>
      </x:c>
      <x:c r="N87" s="79" t="n">
        <x:f>EXP('Transformaciones'!B79+K87)</x:f>
        <x:v>1796.5438890461605</x:v>
      </x:c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>
      <x:c r="A88" s="1" t="str">
        <x:f>'Transformaciones'!A81</x:f>
        <x:v>2012-03</x:v>
      </x:c>
      <x:c r="B88" s="87" t="n">
        <x:f>'Transformaciones'!C81</x:f>
        <x:v>-0.00925496321348973</x:v>
      </x:c>
      <x:c r="C88" s="87" t="n">
        <x:f>$B$6</x:f>
        <x:v>-0.00045209606279241735</x:v>
      </x:c>
      <x:c r="D88" s="87" t="n">
        <x:f>$B$7*'Transformaciones'!E81</x:f>
        <x:v>-0.00258479026384893</x:v>
      </x:c>
      <x:c r="E88" s="87" t="n">
        <x:f>$B$8*'Transformaciones'!M81</x:f>
        <x:v>0.007415348814535836</x:v>
      </x:c>
      <x:c r="F88" s="87" t="n">
        <x:f>$B$9*'Transformaciones'!O81</x:f>
        <x:v>-0.005038648684786208</x:v>
      </x:c>
      <x:c r="G88" s="87" t="n">
        <x:f>$B$10*'Transformaciones'!G80</x:f>
        <x:v>-0.0011381400879412011</x:v>
      </x:c>
      <x:c r="H88" s="87" t="n">
        <x:f>$B$11*'Transformaciones'!I80</x:f>
        <x:v>-0.0024553888370301186</x:v>
      </x:c>
      <x:c r="I88" s="87" t="n">
        <x:f>$B$12*'Transformaciones'!K80</x:f>
        <x:v>-0.00026936694240059023</x:v>
      </x:c>
      <x:c r="J88" s="87" t="n">
        <x:f>$B$13*'Transformaciones'!P81</x:f>
        <x:v>0</x:v>
      </x:c>
      <x:c r="K88" s="93" t="n">
        <x:f>SUM(C88:J88)</x:f>
        <x:v>-0.0045230820642636295</x:v>
      </x:c>
      <x:c r="L88" s="93" t="n">
        <x:f>B88-K88</x:f>
        <x:v>-0.004731881149226101</x:v>
      </x:c>
      <x:c r="M88" s="79" t="n">
        <x:f>'Datos_fuente'!B81</x:f>
        <x:v>1766.331613</x:v>
      </x:c>
      <x:c r="N88" s="79" t="n">
        <x:f>EXP('Transformaciones'!B80+K88)</x:f>
        <x:v>1774.7094901902046</x:v>
      </x:c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>
      <x:c r="A89" s="1" t="str">
        <x:f>'Transformaciones'!A82</x:f>
        <x:v>2012-04</x:v>
      </x:c>
      <x:c r="B89" s="87" t="n">
        <x:f>'Transformaciones'!C82</x:f>
        <x:v>0.004472373919675476</x:v>
      </x:c>
      <x:c r="C89" s="87" t="n">
        <x:f>$B$6</x:f>
        <x:v>-0.00045209606279241735</x:v>
      </x:c>
      <x:c r="D89" s="87" t="n">
        <x:f>$B$7*'Transformaciones'!E82</x:f>
        <x:v>0.0025437970520762014</x:v>
      </x:c>
      <x:c r="E89" s="87" t="n">
        <x:f>$B$8*'Transformaciones'!M82</x:f>
        <x:v>0.004079347204774339</x:v>
      </x:c>
      <x:c r="F89" s="87" t="n">
        <x:f>$B$9*'Transformaciones'!O82</x:f>
        <x:v>0.0037652532028412855</x:v>
      </x:c>
      <x:c r="G89" s="87" t="n">
        <x:f>$B$10*'Transformaciones'!G81</x:f>
        <x:v>-0.0013387638666361344</x:v>
      </x:c>
      <x:c r="H89" s="87" t="n">
        <x:f>$B$11*'Transformaciones'!I81</x:f>
        <x:v>-0.001923683679884943</x:v>
      </x:c>
      <x:c r="I89" s="87" t="n">
        <x:f>$B$12*'Transformaciones'!K81</x:f>
        <x:v>0.0006913019717490737</x:v>
      </x:c>
      <x:c r="J89" s="87" t="n">
        <x:f>$B$13*'Transformaciones'!P82</x:f>
        <x:v>0</x:v>
      </x:c>
      <x:c r="K89" s="93" t="n">
        <x:f>SUM(C89:J89)</x:f>
        <x:v>0.0073651558221274034</x:v>
      </x:c>
      <x:c r="L89" s="93" t="n">
        <x:f>B89-K89</x:f>
        <x:v>-0.002892781902451927</x:v>
      </x:c>
      <x:c r="M89" s="79" t="n">
        <x:f>'Datos_fuente'!B82</x:f>
        <x:v>1774.249</x:v>
      </x:c>
      <x:c r="N89" s="79" t="n">
        <x:f>EXP('Transformaciones'!B81+K89)</x:f>
        <x:v>1779.3889461849597</x:v>
      </x:c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>
      <x:c r="A90" s="1" t="str">
        <x:f>'Transformaciones'!A83</x:f>
        <x:v>2012-05</x:v>
      </x:c>
      <x:c r="B90" s="87" t="n">
        <x:f>'Transformaciones'!C83</x:f>
        <x:v>0.010667311542153612</x:v>
      </x:c>
      <x:c r="C90" s="87" t="n">
        <x:f>$B$6</x:f>
        <x:v>-0.00045209606279241735</x:v>
      </x:c>
      <x:c r="D90" s="87" t="n">
        <x:f>$B$7*'Transformaciones'!E83</x:f>
        <x:v>0.004088779101119644</x:v>
      </x:c>
      <x:c r="E90" s="87" t="n">
        <x:f>$B$8*'Transformaciones'!M83</x:f>
        <x:v>0.02223423362234477</x:v>
      </x:c>
      <x:c r="F90" s="87" t="n">
        <x:f>$B$9*'Transformaciones'!O83</x:f>
        <x:v>0.006337904931378151</x:v>
      </x:c>
      <x:c r="G90" s="87" t="n">
        <x:f>$B$10*'Transformaciones'!G82</x:f>
        <x:v>0.0014698653036882318</x:v>
      </x:c>
      <x:c r="H90" s="87" t="n">
        <x:f>$B$11*'Transformaciones'!I82</x:f>
        <x:v>0.00009908850217863401</x:v>
      </x:c>
      <x:c r="I90" s="87" t="n">
        <x:f>$B$12*'Transformaciones'!K82</x:f>
        <x:v>-0.0037570342598591618</x:v>
      </x:c>
      <x:c r="J90" s="87" t="n">
        <x:f>$B$13*'Transformaciones'!P83</x:f>
        <x:v>0</x:v>
      </x:c>
      <x:c r="K90" s="93" t="n">
        <x:f>SUM(C90:J90)</x:f>
        <x:v>0.030020741138057853</x:v>
      </x:c>
      <x:c r="L90" s="93" t="n">
        <x:f>B90-K90</x:f>
        <x:v>-0.01935342959590424</x:v>
      </x:c>
      <x:c r="M90" s="79" t="n">
        <x:f>'Datos_fuente'!B83</x:f>
        <x:v>1793.276774</x:v>
      </x:c>
      <x:c r="N90" s="79" t="n">
        <x:f>EXP('Transformaciones'!B82+K90)</x:f>
        <x:v>1828.32084747434</x:v>
      </x:c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>
      <x:c r="A91" s="1" t="str">
        <x:f>'Transformaciones'!A84</x:f>
        <x:v>2012-06</x:v>
      </x:c>
      <x:c r="B91" s="87" t="n">
        <x:f>'Transformaciones'!C84</x:f>
        <x:v>-0.0004072186052113125</x:v>
      </x:c>
      <x:c r="C91" s="87" t="n">
        <x:f>$B$6</x:f>
        <x:v>-0.00045209606279241735</x:v>
      </x:c>
      <x:c r="D91" s="87" t="n">
        <x:f>$B$7*'Transformaciones'!E84</x:f>
        <x:v>0.007652914356220748</x:v>
      </x:c>
      <x:c r="E91" s="87" t="n">
        <x:f>$B$8*'Transformaciones'!M84</x:f>
        <x:v>0.01809887798369893</x:v>
      </x:c>
      <x:c r="F91" s="87" t="n">
        <x:f>$B$9*'Transformaciones'!O84</x:f>
        <x:v>0.00023672209448833139</x:v>
      </x:c>
      <x:c r="G91" s="87" t="n">
        <x:f>$B$10*'Transformaciones'!G83</x:f>
        <x:v>0.00030219278397881547</x:v>
      </x:c>
      <x:c r="H91" s="87" t="n">
        <x:f>$B$11*'Transformaciones'!I83</x:f>
        <x:v>0.00019817700435727684</x:v>
      </x:c>
      <x:c r="I91" s="87" t="n">
        <x:f>$B$12*'Transformaciones'!K83</x:f>
        <x:v>-0.00043451319502817555</x:v>
      </x:c>
      <x:c r="J91" s="87" t="n">
        <x:f>$B$13*'Transformaciones'!P84</x:f>
        <x:v>0</x:v>
      </x:c>
      <x:c r="K91" s="93" t="n">
        <x:f>SUM(C91:J91)</x:f>
        <x:v>0.02560227496492351</x:v>
      </x:c>
      <x:c r="L91" s="93" t="n">
        <x:f>B91-K91</x:f>
        <x:v>-0.026009493570134823</x:v>
      </x:c>
      <x:c r="M91" s="79" t="n">
        <x:f>'Datos_fuente'!B84</x:f>
        <x:v>1792.546667</x:v>
      </x:c>
      <x:c r="N91" s="79" t="n">
        <x:f>EXP('Transformaciones'!B83+K91)</x:f>
        <x:v>1839.7815124036017</x:v>
      </x:c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>
      <x:c r="A92" s="1" t="str">
        <x:f>'Transformaciones'!A85</x:f>
        <x:v>2012-07</x:v>
      </x:c>
      <x:c r="B92" s="87" t="n">
        <x:f>'Transformaciones'!C85</x:f>
        <x:v>-0.004880014462842475</x:v>
      </x:c>
      <x:c r="C92" s="87" t="n">
        <x:f>$B$6</x:f>
        <x:v>-0.00045209606279241735</x:v>
      </x:c>
      <x:c r="D92" s="87" t="n">
        <x:f>$B$7*'Transformaciones'!E85</x:f>
        <x:v>-0.0039029878155293326</x:v>
      </x:c>
      <x:c r="E92" s="87" t="n">
        <x:f>$B$8*'Transformaciones'!M85</x:f>
        <x:v>-0.006159223974823758</x:v>
      </x:c>
      <x:c r="F92" s="87" t="n">
        <x:f>$B$9*'Transformaciones'!O85</x:f>
        <x:v>-0.007137206186890606</x:v>
      </x:c>
      <x:c r="G92" s="87" t="n">
        <x:f>$B$10*'Transformaciones'!G84</x:f>
        <x:v>-0.00045147185773108364</x:v>
      </x:c>
      <x:c r="H92" s="87" t="n">
        <x:f>$B$11*'Transformaciones'!I84</x:f>
        <x:v>0</x:v>
      </x:c>
      <x:c r="I92" s="87" t="n">
        <x:f>$B$12*'Transformaciones'!K84</x:f>
        <x:v>-0.001552769115898222</x:v>
      </x:c>
      <x:c r="J92" s="87" t="n">
        <x:f>$B$13*'Transformaciones'!P85</x:f>
        <x:v>0</x:v>
      </x:c>
      <x:c r="K92" s="93" t="n">
        <x:f>SUM(C92:J92)</x:f>
        <x:v>-0.019655755013665416</x:v>
      </x:c>
      <x:c r="L92" s="93" t="n">
        <x:f>B92-K92</x:f>
        <x:v>0.014775740550822942</x:v>
      </x:c>
      <x:c r="M92" s="79" t="n">
        <x:f>'Datos_fuente'!B85</x:f>
        <x:v>1783.820323</x:v>
      </x:c>
      <x:c r="N92" s="79" t="n">
        <x:f>EXP('Transformaciones'!B84+K92)</x:f>
        <x:v>1757.6568252503669</x:v>
      </x:c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>
      <x:c r="A93" s="1" t="str">
        <x:f>'Transformaciones'!A86</x:f>
        <x:v>2012-08</x:v>
      </x:c>
      <x:c r="B93" s="87" t="n">
        <x:f>'Transformaciones'!C86</x:f>
        <x:v>0.012093112400754613</x:v>
      </x:c>
      <x:c r="C93" s="87" t="n">
        <x:f>$B$6</x:f>
        <x:v>-0.00045209606279241735</x:v>
      </x:c>
      <x:c r="D93" s="87" t="n">
        <x:f>$B$7*'Transformaciones'!E86</x:f>
        <x:v>-0.0051441645986046915</x:v>
      </x:c>
      <x:c r="E93" s="87" t="n">
        <x:f>$B$8*'Transformaciones'!M86</x:f>
        <x:v>-0.011473679603439526</x:v>
      </x:c>
      <x:c r="F93" s="87" t="n">
        <x:f>$B$9*'Transformaciones'!O86</x:f>
        <x:v>-0.004360939579447642</x:v>
      </x:c>
      <x:c r="G93" s="87" t="n">
        <x:f>$B$10*'Transformaciones'!G85</x:f>
        <x:v>0.0007112355146895532</x:v>
      </x:c>
      <x:c r="H93" s="87" t="n">
        <x:f>$B$11*'Transformaciones'!I85</x:f>
        <x:v>0.0001598201622471318</x:v>
      </x:c>
      <x:c r="I93" s="87" t="n">
        <x:f>$B$12*'Transformaciones'!K85</x:f>
        <x:v>0.0003993484896174192</x:v>
      </x:c>
      <x:c r="J93" s="87" t="n">
        <x:f>$B$13*'Transformaciones'!P86</x:f>
        <x:v>0</x:v>
      </x:c>
      <x:c r="K93" s="93" t="n">
        <x:f>SUM(C93:J93)</x:f>
        <x:v>-0.02016047567773017</x:v>
      </x:c>
      <x:c r="L93" s="93" t="n">
        <x:f>B93-K93</x:f>
        <x:v>0.03225358807848479</x:v>
      </x:c>
      <x:c r="M93" s="79" t="n">
        <x:f>'Datos_fuente'!B86</x:f>
        <x:v>1805.523226</x:v>
      </x:c>
      <x:c r="N93" s="79" t="n">
        <x:f>EXP('Transformaciones'!B85+K93)</x:f>
        <x:v>1748.2177450831234</x:v>
      </x:c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>
      <x:c r="A94" s="1" t="str">
        <x:f>'Transformaciones'!A87</x:f>
        <x:v>2012-09</x:v>
      </x:c>
      <x:c r="B94" s="87" t="n">
        <x:f>'Transformaciones'!C87</x:f>
        <x:v>-0.0015391829811042257</x:v>
      </x:c>
      <x:c r="C94" s="87" t="n">
        <x:f>$B$6</x:f>
        <x:v>-0.00045209606279241735</x:v>
      </x:c>
      <x:c r="D94" s="87" t="n">
        <x:f>$B$7*'Transformaciones'!E87</x:f>
        <x:v>0.00022503303679336786</x:v>
      </x:c>
      <x:c r="E94" s="87" t="n">
        <x:f>$B$8*'Transformaciones'!M87</x:f>
        <x:v>-0.02050014811454127</x:v>
      </x:c>
      <x:c r="F94" s="87" t="n">
        <x:f>$B$9*'Transformaciones'!O87</x:f>
        <x:v>-0.0010095093104766071</x:v>
      </x:c>
      <x:c r="G94" s="87" t="n">
        <x:f>$B$10*'Transformaciones'!G86</x:f>
        <x:v>-0.0014849491942874422</x:v>
      </x:c>
      <x:c r="H94" s="87" t="n">
        <x:f>$B$11*'Transformaciones'!I86</x:f>
        <x:v>0.0024196773012095324</x:v>
      </x:c>
      <x:c r="I94" s="87" t="n">
        <x:f>$B$12*'Transformaciones'!K86</x:f>
        <x:v>0.00006469408984402817</x:v>
      </x:c>
      <x:c r="J94" s="87" t="n">
        <x:f>$B$13*'Transformaciones'!P87</x:f>
        <x:v>0</x:v>
      </x:c>
      <x:c r="K94" s="93" t="n">
        <x:f>SUM(C94:J94)</x:f>
        <x:v>-0.020737298254250813</x:v>
      </x:c>
      <x:c r="L94" s="93" t="n">
        <x:f>B94-K94</x:f>
        <x:v>0.019198115273146587</x:v>
      </x:c>
      <x:c r="M94" s="79" t="n">
        <x:f>'Datos_fuente'!B87</x:f>
        <x:v>1802.746333</x:v>
      </x:c>
      <x:c r="N94" s="79" t="n">
        <x:f>EXP('Transformaciones'!B86+K94)</x:f>
        <x:v>1768.4671022473249</x:v>
      </x:c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>
      <x:c r="A95" s="1" t="str">
        <x:f>'Transformaciones'!A88</x:f>
        <x:v>2012-10</x:v>
      </x:c>
      <x:c r="B95" s="87" t="n">
        <x:f>'Transformaciones'!C88</x:f>
        <x:v>0.0009174203202597653</x:v>
      </x:c>
      <x:c r="C95" s="87" t="n">
        <x:f>$B$6</x:f>
        <x:v>-0.00045209606279241735</x:v>
      </x:c>
      <x:c r="D95" s="87" t="n">
        <x:f>$B$7*'Transformaciones'!E88</x:f>
        <x:v>0.0005307113520211035</x:v>
      </x:c>
      <x:c r="E95" s="87" t="n">
        <x:f>$B$8*'Transformaciones'!M88</x:f>
        <x:v>-0.0029894021547376944</x:v>
      </x:c>
      <x:c r="F95" s="87" t="n">
        <x:f>$B$9*'Transformaciones'!O88</x:f>
        <x:v>0.0024270669345499273</x:v>
      </x:c>
      <x:c r="G95" s="87" t="n">
        <x:f>$B$10*'Transformaciones'!G87</x:f>
        <x:v>-0.0017148157852707093</x:v>
      </x:c>
      <x:c r="H95" s="87" t="n">
        <x:f>$B$11*'Transformaciones'!I87</x:f>
        <x:v>0.0021767506411178653</x:v>
      </x:c>
      <x:c r="I95" s="87" t="n">
        <x:f>$B$12*'Transformaciones'!K87</x:f>
        <x:v>0.00044224028978587194</x:v>
      </x:c>
      <x:c r="J95" s="87" t="n">
        <x:f>$B$13*'Transformaciones'!P88</x:f>
        <x:v>0</x:v>
      </x:c>
      <x:c r="K95" s="93" t="n">
        <x:f>SUM(C95:J95)</x:f>
        <x:v>0.0004204552146739467</x:v>
      </x:c>
      <x:c r="L95" s="93" t="n">
        <x:f>B95-K95</x:f>
        <x:v>0.0004969651055858186</x:v>
      </x:c>
      <x:c r="M95" s="79" t="n">
        <x:f>'Datos_fuente'!B88</x:f>
        <x:v>1804.400968</x:v>
      </x:c>
      <x:c r="N95" s="79" t="n">
        <x:f>EXP('Transformaciones'!B87+K95)</x:f>
        <x:v>1803.5044664658603</x:v>
      </x:c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>
      <x:c r="A96" s="1" t="str">
        <x:f>'Transformaciones'!A89</x:f>
        <x:v>2012-11</x:v>
      </x:c>
      <x:c r="B96" s="87" t="n">
        <x:f>'Transformaciones'!C89</x:f>
        <x:v>0.009164642915845178</x:v>
      </x:c>
      <x:c r="C96" s="87" t="n">
        <x:f>$B$6</x:f>
        <x:v>-0.00045209606279241735</x:v>
      </x:c>
      <x:c r="D96" s="87" t="n">
        <x:f>$B$7*'Transformaciones'!E89</x:f>
        <x:v>0.0012421096284984754</x:v>
      </x:c>
      <x:c r="E96" s="87" t="n">
        <x:f>$B$8*'Transformaciones'!M89</x:f>
        <x:v>0.009580504839578707</x:v>
      </x:c>
      <x:c r="F96" s="87" t="n">
        <x:f>$B$9*'Transformaciones'!O89</x:f>
        <x:v>0.0009970867677736917</x:v>
      </x:c>
      <x:c r="G96" s="87" t="n">
        <x:f>$B$10*'Transformaciones'!G88</x:f>
        <x:v>0.00016052357359095794</x:v>
      </x:c>
      <x:c r="H96" s="87" t="n">
        <x:f>$B$11*'Transformaciones'!I88</x:f>
        <x:v>0.00019817700435727684</x:v>
      </x:c>
      <x:c r="I96" s="87" t="n">
        <x:f>$B$12*'Transformaciones'!K88</x:f>
        <x:v>0.001568886188370028</x:v>
      </x:c>
      <x:c r="J96" s="87" t="n">
        <x:f>$B$13*'Transformaciones'!P89</x:f>
        <x:v>0</x:v>
      </x:c>
      <x:c r="K96" s="93" t="n">
        <x:f>SUM(C96:J96)</x:f>
        <x:v>0.01329519193937672</x:v>
      </x:c>
      <x:c r="L96" s="93" t="n">
        <x:f>B96-K96</x:f>
        <x:v>-0.004130549023531542</x:v>
      </x:c>
      <x:c r="M96" s="79" t="n">
        <x:f>'Datos_fuente'!B89</x:f>
        <x:v>1821.013667</x:v>
      </x:c>
      <x:c r="N96" s="79" t="n">
        <x:f>EXP('Transformaciones'!B88+K96)</x:f>
        <x:v>1828.5510091882861</x:v>
      </x:c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>
      <x:c r="A97" s="1" t="str">
        <x:f>'Transformaciones'!A90</x:f>
        <x:v>2012-12</x:v>
      </x:c>
      <x:c r="B97" s="87" t="n">
        <x:f>'Transformaciones'!C90</x:f>
        <x:v>-0.015784891665695078</x:v>
      </x:c>
      <x:c r="C97" s="87" t="n">
        <x:f>$B$6</x:f>
        <x:v>-0.00045209606279241735</x:v>
      </x:c>
      <x:c r="D97" s="87" t="n">
        <x:f>$B$7*'Transformaciones'!E90</x:f>
        <x:v>-0.00020597629654082965</x:v>
      </x:c>
      <x:c r="E97" s="87" t="n">
        <x:f>$B$8*'Transformaciones'!M90</x:f>
        <x:v>-0.007924774733598523</x:v>
      </x:c>
      <x:c r="F97" s="87" t="n">
        <x:f>$B$9*'Transformaciones'!O90</x:f>
        <x:v>0.001374336564468083</x:v>
      </x:c>
      <x:c r="G97" s="87" t="n">
        <x:f>$B$10*'Transformaciones'!G89</x:f>
        <x:v>-0.0017593038609556946</x:v>
      </x:c>
      <x:c r="H97" s="87" t="n">
        <x:f>$B$11*'Transformaciones'!I89</x:f>
        <x:v>0.000412868762380595</x:v>
      </x:c>
      <x:c r="I97" s="87" t="n">
        <x:f>$B$12*'Transformaciones'!K89</x:f>
        <x:v>-0.004073262754652057</x:v>
      </x:c>
      <x:c r="J97" s="87" t="n">
        <x:f>$B$13*'Transformaciones'!P90</x:f>
        <x:v>0</x:v>
      </x:c>
      <x:c r="K97" s="93" t="n">
        <x:f>SUM(C97:J97)</x:f>
        <x:v>-0.012628208381690844</x:v>
      </x:c>
      <x:c r="L97" s="93" t="n">
        <x:f>B97-K97</x:f>
        <x:v>-0.0031566832840042337</x:v>
      </x:c>
      <x:c r="M97" s="79" t="n">
        <x:f>'Datos_fuente'!B90</x:f>
        <x:v>1792.494839</x:v>
      </x:c>
      <x:c r="N97" s="79" t="n">
        <x:f>EXP('Transformaciones'!B89+K97)</x:f>
        <x:v>1798.162117690854</x:v>
      </x:c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>
      <x:c r="A98" s="1" t="str">
        <x:f>'Transformaciones'!A91</x:f>
        <x:v>2013-01</x:v>
      </x:c>
      <x:c r="B98" s="87" t="n">
        <x:f>'Transformaciones'!C91</x:f>
        <x:v>-0.012813867280033975</x:v>
      </x:c>
      <x:c r="C98" s="87" t="n">
        <x:f>$B$6</x:f>
        <x:v>-0.00045209606279241735</x:v>
      </x:c>
      <x:c r="D98" s="87" t="n">
        <x:f>$B$7*'Transformaciones'!E91</x:f>
        <x:v>-0.0016109391120781944</x:v>
      </x:c>
      <x:c r="E98" s="87" t="n">
        <x:f>$B$8*'Transformaciones'!M91</x:f>
        <x:v>-0.0007338793573367584</x:v>
      </x:c>
      <x:c r="F98" s="87" t="n">
        <x:f>$B$9*'Transformaciones'!O91</x:f>
        <x:v>-0.009578475524050193</x:v>
      </x:c>
      <x:c r="G98" s="87" t="n">
        <x:f>$B$10*'Transformaciones'!G90</x:f>
        <x:v>-0.0011419130215462529</x:v>
      </x:c>
      <x:c r="H98" s="87" t="n">
        <x:f>$B$11*'Transformaciones'!I90</x:f>
        <x:v>0.002703624450982678</x:v>
      </x:c>
      <x:c r="I98" s="87" t="n">
        <x:f>$B$12*'Transformaciones'!K90</x:f>
        <x:v>0.005519583967599545</x:v>
      </x:c>
      <x:c r="J98" s="87" t="n">
        <x:f>$B$13*'Transformaciones'!P91</x:f>
        <x:v>0</x:v>
      </x:c>
      <x:c r="K98" s="93" t="n">
        <x:f>SUM(C98:J98)</x:f>
        <x:v>-0.005294094659221593</x:v>
      </x:c>
      <x:c r="L98" s="93" t="n">
        <x:f>B98-K98</x:f>
        <x:v>-0.007519772620812382</x:v>
      </x:c>
      <x:c r="M98" s="79" t="n">
        <x:f>'Datos_fuente'!B91</x:f>
        <x:v>1769.672581</x:v>
      </x:c>
      <x:c r="N98" s="79" t="n">
        <x:f>EXP('Transformaciones'!B90+K98)</x:f>
        <x:v>1783.030276895621</x:v>
      </x:c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>
      <x:c r="A99" s="1" t="str">
        <x:f>'Transformaciones'!A92</x:f>
        <x:v>2013-02</x:v>
      </x:c>
      <x:c r="B99" s="87" t="n">
        <x:f>'Transformaciones'!C92</x:f>
        <x:v>0.011727091398851641</x:v>
      </x:c>
      <x:c r="C99" s="87" t="n">
        <x:f>$B$6</x:f>
        <x:v>-0.00045209606279241735</x:v>
      </x:c>
      <x:c r="D99" s="87" t="n">
        <x:f>$B$7*'Transformaciones'!E92</x:f>
        <x:v>-0.0013952724061183685</x:v>
      </x:c>
      <x:c r="E99" s="87" t="n">
        <x:f>$B$8*'Transformaciones'!M92</x:f>
        <x:v>0.009664968951175877</x:v>
      </x:c>
      <x:c r="F99" s="87" t="n">
        <x:f>$B$9*'Transformaciones'!O92</x:f>
        <x:v>0.0015892824689628228</x:v>
      </x:c>
      <x:c r="G99" s="87" t="n">
        <x:f>$B$10*'Transformaciones'!G91</x:f>
        <x:v>0.0022985832992749628</x:v>
      </x:c>
      <x:c r="H99" s="87" t="n">
        <x:f>$B$11*'Transformaciones'!I91</x:f>
        <x:v>0.0018794851345819547</x:v>
      </x:c>
      <x:c r="I99" s="87" t="n">
        <x:f>$B$12*'Transformaciones'!K91</x:f>
        <x:v>-0.003654270791123046</x:v>
      </x:c>
      <x:c r="J99" s="87" t="n">
        <x:f>$B$13*'Transformaciones'!P92</x:f>
        <x:v>0</x:v>
      </x:c>
      <x:c r="K99" s="93" t="n">
        <x:f>SUM(C99:J99)</x:f>
        <x:v>0.009930680593961787</x:v>
      </x:c>
      <x:c r="L99" s="93" t="n">
        <x:f>B99-K99</x:f>
        <x:v>0.0017964108048898544</x:v>
      </x:c>
      <x:c r="M99" s="79" t="n">
        <x:f>'Datos_fuente'!B92</x:f>
        <x:v>1790.547857</x:v>
      </x:c>
      <x:c r="N99" s="79" t="n">
        <x:f>EXP('Transformaciones'!B91+K99)</x:f>
        <x:v>1787.3341848849018</x:v>
      </x:c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>
      <x:c r="A100" s="1" t="str">
        <x:f>'Transformaciones'!A93</x:f>
        <x:v>2013-03</x:v>
      </x:c>
      <x:c r="B100" s="87" t="n">
        <x:f>'Transformaciones'!C93</x:f>
        <x:v>0.0128741755950319</x:v>
      </x:c>
      <x:c r="C100" s="87" t="n">
        <x:f>$B$6</x:f>
        <x:v>-0.00045209606279241735</x:v>
      </x:c>
      <x:c r="D100" s="87" t="n">
        <x:f>$B$7*'Transformaciones'!E93</x:f>
        <x:v>0.00349001194005261</x:v>
      </x:c>
      <x:c r="E100" s="87" t="n">
        <x:f>$B$8*'Transformaciones'!M93</x:f>
        <x:v>0.011390566526292287</x:v>
      </x:c>
      <x:c r="F100" s="87" t="n">
        <x:f>$B$9*'Transformaciones'!O93</x:f>
        <x:v>-0.0029682469989989546</x:v>
      </x:c>
      <x:c r="G100" s="87" t="n">
        <x:f>$B$10*'Transformaciones'!G92</x:f>
        <x:v>0.0009698310557565771</x:v>
      </x:c>
      <x:c r="H100" s="87" t="n">
        <x:f>$B$11*'Transformaciones'!I92</x:f>
        <x:v>0.0026904583238857886</x:v>
      </x:c>
      <x:c r="I100" s="87" t="n">
        <x:f>$B$12*'Transformaciones'!K92</x:f>
        <x:v>0.0009107581580010513</x:v>
      </x:c>
      <x:c r="J100" s="87" t="n">
        <x:f>$B$13*'Transformaciones'!P93</x:f>
        <x:v>0</x:v>
      </x:c>
      <x:c r="K100" s="93" t="n">
        <x:f>SUM(C100:J100)</x:f>
        <x:v>0.016031282942196943</x:v>
      </x:c>
      <x:c r="L100" s="93" t="n">
        <x:f>B100-K100</x:f>
        <x:v>-0.0031571073471650425</x:v>
      </x:c>
      <x:c r="M100" s="79" t="n">
        <x:f>'Datos_fuente'!B93</x:f>
        <x:v>1813.74871</x:v>
      </x:c>
      <x:c r="N100" s="79" t="n">
        <x:f>EXP('Transformaciones'!B92+K100)</x:f>
        <x:v>1819.4839580113116</x:v>
      </x:c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  <x:row r="101">
      <x:c r="A101" s="1" t="str">
        <x:f>'Transformaciones'!A94</x:f>
        <x:v>2013-04</x:v>
      </x:c>
      <x:c r="B101" s="87" t="n">
        <x:f>'Transformaciones'!C94</x:f>
        <x:v>0.009046556357106716</x:v>
      </x:c>
      <x:c r="C101" s="87" t="n">
        <x:f>$B$6</x:f>
        <x:v>-0.00045209606279241735</x:v>
      </x:c>
      <x:c r="D101" s="87" t="n">
        <x:f>$B$7*'Transformaciones'!E94</x:f>
        <x:v>0.003055401136355587</x:v>
      </x:c>
      <x:c r="E101" s="87" t="n">
        <x:f>$B$8*'Transformaciones'!M94</x:f>
        <x:v>-0.004813126788213812</x:v>
      </x:c>
      <x:c r="F101" s="87" t="n">
        <x:f>$B$9*'Transformaciones'!O94</x:f>
        <x:v>0.0026780367705296804</x:v>
      </x:c>
      <x:c r="G101" s="87" t="n">
        <x:f>$B$10*'Transformaciones'!G93</x:f>
        <x:v>-0.0002814066985340365</x:v>
      </x:c>
      <x:c r="H101" s="87" t="n">
        <x:f>$B$11*'Transformaciones'!I93</x:f>
        <x:v>0.0029831575349757995</x:v>
      </x:c>
      <x:c r="I101" s="87" t="n">
        <x:f>$B$12*'Transformaciones'!K93</x:f>
        <x:v>0.002001299377755069</x:v>
      </x:c>
      <x:c r="J101" s="87" t="n">
        <x:f>$B$13*'Transformaciones'!P94</x:f>
        <x:v>0</x:v>
      </x:c>
      <x:c r="K101" s="93" t="n">
        <x:f>SUM(C101:J101)</x:f>
        <x:v>0.00517126527007587</x:v>
      </x:c>
      <x:c r="L101" s="93" t="n">
        <x:f>B101-K101</x:f>
        <x:v>0.0038752910870308464</x:v>
      </x:c>
      <x:c r="M101" s="79" t="n">
        <x:f>'Datos_fuente'!B94</x:f>
        <x:v>1830.231333</x:v>
      </x:c>
      <x:c r="N101" s="79" t="n">
        <x:f>EXP('Transformaciones'!B93+K101)</x:f>
        <x:v>1823.1523791905604</x:v>
      </x:c>
      <x:c r="O101" s="1"/>
      <x:c r="P101" s="1"/>
      <x:c r="Q101" s="1"/>
      <x:c r="R101" s="1"/>
      <x:c r="S101" s="1"/>
      <x:c r="T101" s="1"/>
      <x:c r="U101" s="1"/>
      <x:c r="V101" s="1"/>
      <x:c r="W101" s="1"/>
      <x:c r="X101" s="1"/>
      <x:c r="Y101" s="1"/>
      <x:c r="Z101" s="1"/>
    </x:row>
    <x:row r="102">
      <x:c r="A102" s="1" t="str">
        <x:f>'Transformaciones'!A95</x:f>
        <x:v>2013-05</x:v>
      </x:c>
      <x:c r="B102" s="87" t="n">
        <x:f>'Transformaciones'!C95</x:f>
        <x:v>0.00961900998160381</x:v>
      </x:c>
      <x:c r="C102" s="87" t="n">
        <x:f>$B$6</x:f>
        <x:v>-0.00045209606279241735</x:v>
      </x:c>
      <x:c r="D102" s="87" t="n">
        <x:f>$B$7*'Transformaciones'!E95</x:f>
        <x:v>-0.00015671467316126001</x:v>
      </x:c>
      <x:c r="E102" s="87" t="n">
        <x:f>$B$8*'Transformaciones'!M95</x:f>
        <x:v>0.006334521604868752</x:v>
      </x:c>
      <x:c r="F102" s="87" t="n">
        <x:f>$B$9*'Transformaciones'!O95</x:f>
        <x:v>-0.001332261202699521</x:v>
      </x:c>
      <x:c r="G102" s="87" t="n">
        <x:f>$B$10*'Transformaciones'!G94</x:f>
        <x:v>0.0036756813701697404</x:v>
      </x:c>
      <x:c r="H102" s="87" t="n">
        <x:f>$B$11*'Transformaciones'!I94</x:f>
        <x:v>0.004094592617809965</x:v>
      </x:c>
      <x:c r="I102" s="87" t="n">
        <x:f>$B$12*'Transformaciones'!K94</x:f>
        <x:v>0.003489974583021148</x:v>
      </x:c>
      <x:c r="J102" s="87" t="n">
        <x:f>$B$13*'Transformaciones'!P95</x:f>
        <x:v>0</x:v>
      </x:c>
      <x:c r="K102" s="93" t="n">
        <x:f>SUM(C102:J102)</x:f>
        <x:v>0.015653698237216407</x:v>
      </x:c>
      <x:c r="L102" s="93" t="n">
        <x:f>B102-K102</x:f>
        <x:v>-0.006034688255612597</x:v>
      </x:c>
      <x:c r="M102" s="79" t="n">
        <x:f>'Datos_fuente'!B95</x:f>
        <x:v>1847.92129</x:v>
      </x:c>
      <x:c r="N102" s="79" t="n">
        <x:f>EXP('Transformaciones'!B94+K102)</x:f>
        <x:v>1859.1066349959638</x:v>
      </x:c>
      <x:c r="O102" s="1"/>
      <x:c r="P102" s="1"/>
      <x:c r="Q102" s="1"/>
      <x:c r="R102" s="1"/>
      <x:c r="S102" s="1"/>
      <x:c r="T102" s="1"/>
      <x:c r="U102" s="1"/>
      <x:c r="V102" s="1"/>
      <x:c r="W102" s="1"/>
      <x:c r="X102" s="1"/>
      <x:c r="Y102" s="1"/>
      <x:c r="Z102" s="1"/>
    </x:row>
    <x:row r="103">
      <x:c r="A103" s="1" t="str">
        <x:f>'Transformaciones'!A96</x:f>
        <x:v>2013-06</x:v>
      </x:c>
      <x:c r="B103" s="87" t="n">
        <x:f>'Transformaciones'!C96</x:f>
        <x:v>0.03296297537993276</x:v>
      </x:c>
      <x:c r="C103" s="87" t="n">
        <x:f>$B$6</x:f>
        <x:v>-0.00045209606279241735</x:v>
      </x:c>
      <x:c r="D103" s="87" t="n">
        <x:f>$B$7*'Transformaciones'!E96</x:f>
        <x:v>-0.00018156559020089582</x:v>
      </x:c>
      <x:c r="E103" s="87" t="n">
        <x:f>$B$8*'Transformaciones'!M96</x:f>
        <x:v>0.009869259286740902</x:v>
      </x:c>
      <x:c r="F103" s="87" t="n">
        <x:f>$B$9*'Transformaciones'!O96</x:f>
        <x:v>0.009532370813782002</x:v>
      </x:c>
      <x:c r="G103" s="87" t="n">
        <x:f>$B$10*'Transformaciones'!G95</x:f>
        <x:v>0.002663506960149819</x:v>
      </x:c>
      <x:c r="H103" s="87" t="n">
        <x:f>$B$11*'Transformaciones'!I95</x:f>
        <x:v>-0.00039635400871454484</x:v>
      </x:c>
      <x:c r="I103" s="87" t="n">
        <x:f>$B$12*'Transformaciones'!K95</x:f>
        <x:v>0.00015158382463832461</x:v>
      </x:c>
      <x:c r="J103" s="87" t="n">
        <x:f>$B$13*'Transformaciones'!P96</x:f>
        <x:v>0</x:v>
      </x:c>
      <x:c r="K103" s="93" t="n">
        <x:f>SUM(C103:J103)</x:f>
        <x:v>0.02118670522360319</x:v>
      </x:c>
      <x:c r="L103" s="93" t="n">
        <x:f>B103-K103</x:f>
        <x:v>0.011776270156329566</x:v>
      </x:c>
      <x:c r="M103" s="79" t="n">
        <x:f>'Datos_fuente'!B96</x:f>
        <x:v>1909.849333</x:v>
      </x:c>
      <x:c r="N103" s="79" t="n">
        <x:f>EXP('Transformaciones'!B95+K103)</x:f>
        <x:v>1887.4903424490894</x:v>
      </x:c>
      <x:c r="O103" s="1"/>
      <x:c r="P103" s="1"/>
      <x:c r="Q103" s="1"/>
      <x:c r="R103" s="1"/>
      <x:c r="S103" s="1"/>
      <x:c r="T103" s="1"/>
      <x:c r="U103" s="1"/>
      <x:c r="V103" s="1"/>
      <x:c r="W103" s="1"/>
      <x:c r="X103" s="1"/>
      <x:c r="Y103" s="1"/>
      <x:c r="Z103" s="1"/>
    </x:row>
    <x:row r="104">
      <x:c r="A104" s="1" t="str">
        <x:f>'Transformaciones'!A97</x:f>
        <x:v>2013-07</x:v>
      </x:c>
      <x:c r="B104" s="87" t="n">
        <x:f>'Transformaciones'!C97</x:f>
        <x:v>-0.004358914191916696</x:v>
      </x:c>
      <x:c r="C104" s="87" t="n">
        <x:f>$B$6</x:f>
        <x:v>-0.00045209606279241735</x:v>
      </x:c>
      <x:c r="D104" s="87" t="n">
        <x:f>$B$7*'Transformaciones'!E97</x:f>
        <x:v>-0.0024587543901649408</x:v>
      </x:c>
      <x:c r="E104" s="87" t="n">
        <x:f>$B$8*'Transformaciones'!M97</x:f>
        <x:v>0.007644655108802748</x:v>
      </x:c>
      <x:c r="F104" s="87" t="n">
        <x:f>$B$9*'Transformaciones'!O97</x:f>
        <x:v>-0.00818000672591722</x:v>
      </x:c>
      <x:c r="G104" s="87" t="n">
        <x:f>$B$10*'Transformaciones'!G96</x:f>
        <x:v>0.003378658979510106</x:v>
      </x:c>
      <x:c r="H104" s="87" t="n">
        <x:f>$B$11*'Transformaciones'!I96</x:f>
        <x:v>-0.00019817700435727242</x:v>
      </x:c>
      <x:c r="I104" s="87" t="n">
        <x:f>$B$12*'Transformaciones'!K96</x:f>
        <x:v>0.0003296186234593643</x:v>
      </x:c>
      <x:c r="J104" s="87" t="n">
        <x:f>$B$13*'Transformaciones'!P97</x:f>
        <x:v>0</x:v>
      </x:c>
      <x:c r="K104" s="93" t="n">
        <x:f>SUM(C104:J104)</x:f>
        <x:v>0.00006389852854036691</x:v>
      </x:c>
      <x:c r="L104" s="93" t="n">
        <x:f>B104-K104</x:f>
        <x:v>-0.004422812720457063</x:v>
      </x:c>
      <x:c r="M104" s="79" t="n">
        <x:f>'Datos_fuente'!B97</x:f>
        <x:v>1901.542581</x:v>
      </x:c>
      <x:c r="N104" s="79" t="n">
        <x:f>EXP('Transformaciones'!B96+K104)</x:f>
        <x:v>1909.9713734611746</x:v>
      </x:c>
      <x:c r="O104" s="1"/>
      <x:c r="P104" s="1"/>
      <x:c r="Q104" s="1"/>
      <x:c r="R104" s="1"/>
      <x:c r="S104" s="1"/>
      <x:c r="T104" s="1"/>
      <x:c r="U104" s="1"/>
      <x:c r="V104" s="1"/>
      <x:c r="W104" s="1"/>
      <x:c r="X104" s="1"/>
      <x:c r="Y104" s="1"/>
      <x:c r="Z104" s="1"/>
    </x:row>
    <x:row r="105">
      <x:c r="A105" s="1" t="str">
        <x:f>'Transformaciones'!A98</x:f>
        <x:v>2013-08</x:v>
      </x:c>
      <x:c r="B105" s="87" t="n">
        <x:f>'Transformaciones'!C98</x:f>
        <x:v>0.0002953023965170942</x:v>
      </x:c>
      <x:c r="C105" s="87" t="n">
        <x:f>$B$6</x:f>
        <x:v>-0.00045209606279241735</x:v>
      </x:c>
      <x:c r="D105" s="87" t="n">
        <x:f>$B$7*'Transformaciones'!E98</x:f>
        <x:v>-0.001578748407909275</x:v>
      </x:c>
      <x:c r="E105" s="87" t="n">
        <x:f>$B$8*'Transformaciones'!M98</x:f>
        <x:v>-0.002040284999677764</x:v>
      </x:c>
      <x:c r="F105" s="87" t="n">
        <x:f>$B$9*'Transformaciones'!O98</x:f>
        <x:v>0.0006452415599092276</x:v>
      </x:c>
      <x:c r="G105" s="87" t="n">
        <x:f>$B$10*'Transformaciones'!G97</x:f>
        <x:v>0.00399789658655285</x:v>
      </x:c>
      <x:c r="H105" s="87" t="n">
        <x:f>$B$11*'Transformaciones'!I97</x:f>
        <x:v>0</x:v>
      </x:c>
      <x:c r="I105" s="87" t="n">
        <x:f>$B$12*'Transformaciones'!K97</x:f>
        <x:v>0.0014398416188133394</x:v>
      </x:c>
      <x:c r="J105" s="87" t="n">
        <x:f>$B$13*'Transformaciones'!P98</x:f>
        <x:v>0</x:v>
      </x:c>
      <x:c r="K105" s="93" t="n">
        <x:f>SUM(C105:J105)</x:f>
        <x:v>0.00201185029489596</x:v>
      </x:c>
      <x:c r="L105" s="93" t="n">
        <x:f>B105-K105</x:f>
        <x:v>-0.0017165478983788658</x:v>
      </x:c>
      <x:c r="M105" s="79" t="n">
        <x:f>'Datos_fuente'!B98</x:f>
        <x:v>1902.104194</x:v>
      </x:c>
      <x:c r="N105" s="79" t="n">
        <x:f>EXP('Transformaciones'!B97+K105)</x:f>
        <x:v>1905.3720508707258</x:v>
      </x:c>
      <x:c r="O105" s="1"/>
      <x:c r="P105" s="1"/>
      <x:c r="Q105" s="1"/>
      <x:c r="R105" s="1"/>
      <x:c r="S105" s="1"/>
      <x:c r="T105" s="1"/>
      <x:c r="U105" s="1"/>
      <x:c r="V105" s="1"/>
      <x:c r="W105" s="1"/>
      <x:c r="X105" s="1"/>
      <x:c r="Y105" s="1"/>
      <x:c r="Z105" s="1"/>
    </x:row>
    <x:row r="106">
      <x:c r="A106" s="1" t="str">
        <x:f>'Transformaciones'!A99</x:f>
        <x:v>2013-09</x:v>
      </x:c>
      <x:c r="B106" s="87" t="n">
        <x:f>'Transformaciones'!C99</x:f>
        <x:v>0.009110416643161479</x:v>
      </x:c>
      <x:c r="C106" s="87" t="n">
        <x:f>$B$6</x:f>
        <x:v>-0.00045209606279241735</x:v>
      </x:c>
      <x:c r="D106" s="87" t="n">
        <x:f>$B$7*'Transformaciones'!E99</x:f>
        <x:v>-0.00014660216281322982</x:v>
      </x:c>
      <x:c r="E106" s="87" t="n">
        <x:f>$B$8*'Transformaciones'!M99</x:f>
        <x:v>-0.0031717806013225355</x:v>
      </x:c>
      <x:c r="F106" s="87" t="n">
        <x:f>$B$9*'Transformaciones'!O99</x:f>
        <x:v>0.0012881771336492346</x:v>
      </x:c>
      <x:c r="G106" s="87" t="n">
        <x:f>$B$10*'Transformaciones'!G98</x:f>
        <x:v>0.001576976748389957</x:v>
      </x:c>
      <x:c r="H106" s="87" t="n">
        <x:f>$B$11*'Transformaciones'!I98</x:f>
        <x:v>-0.00009908850217863401</x:v>
      </x:c>
      <x:c r="I106" s="87" t="n">
        <x:f>$B$12*'Transformaciones'!K98</x:f>
        <x:v>-0.00006266985014636945</x:v>
      </x:c>
      <x:c r="J106" s="87" t="n">
        <x:f>$B$13*'Transformaciones'!P99</x:f>
        <x:v>0</x:v>
      </x:c>
      <x:c r="K106" s="93" t="n">
        <x:f>SUM(C106:J106)</x:f>
        <x:v>-0.0010670832972139949</x:v>
      </x:c>
      <x:c r="L106" s="93" t="n">
        <x:f>B106-K106</x:f>
        <x:v>0.010177499940375473</x:v>
      </x:c>
      <x:c r="M106" s="79" t="n">
        <x:f>'Datos_fuente'!B99</x:f>
        <x:v>1919.512333</x:v>
      </x:c>
      <x:c r="N106" s="79" t="n">
        <x:f>EXP('Transformaciones'!B98+K106)</x:f>
        <x:v>1900.0755729313441</x:v>
      </x:c>
      <x:c r="O106" s="1"/>
      <x:c r="P106" s="1"/>
      <x:c r="Q106" s="1"/>
      <x:c r="R106" s="1"/>
      <x:c r="S106" s="1"/>
      <x:c r="T106" s="1"/>
      <x:c r="U106" s="1"/>
      <x:c r="V106" s="1"/>
      <x:c r="W106" s="1"/>
      <x:c r="X106" s="1"/>
      <x:c r="Y106" s="1"/>
      <x:c r="Z106" s="1"/>
    </x:row>
    <x:row r="107">
      <x:c r="A107" s="1" t="str">
        <x:f>'Transformaciones'!A100</x:f>
        <x:v>2013-10</x:v>
      </x:c>
      <x:c r="B107" s="87" t="n">
        <x:f>'Transformaciones'!C100</x:f>
        <x:v>-0.018073692206871605</x:v>
      </x:c>
      <x:c r="C107" s="87" t="n">
        <x:f>$B$6</x:f>
        <x:v>-0.00045209606279241735</x:v>
      </x:c>
      <x:c r="D107" s="87" t="n">
        <x:f>$B$7*'Transformaciones'!E100</x:f>
        <x:v>0.0011806524654196621</x:v>
      </x:c>
      <x:c r="E107" s="87" t="n">
        <x:f>$B$8*'Transformaciones'!M100</x:f>
        <x:v>-0.012691909309319222</x:v>
      </x:c>
      <x:c r="F107" s="87" t="n">
        <x:f>$B$9*'Transformaciones'!O100</x:f>
        <x:v>0.0018371372732415177</x:v>
      </x:c>
      <x:c r="G107" s="87" t="n">
        <x:f>$B$10*'Transformaciones'!G99</x:f>
        <x:v>0.0025232319097371813</x:v>
      </x:c>
      <x:c r="H107" s="87" t="n">
        <x:f>$B$11*'Transformaciones'!I99</x:f>
        <x:v>0</x:v>
      </x:c>
      <x:c r="I107" s="87" t="n">
        <x:f>$B$12*'Transformaciones'!K99</x:f>
        <x:v>-0.0007507833196511844</x:v>
      </x:c>
      <x:c r="J107" s="87" t="n">
        <x:f>$B$13*'Transformaciones'!P100</x:f>
        <x:v>0</x:v>
      </x:c>
      <x:c r="K107" s="93" t="n">
        <x:f>SUM(C107:J107)</x:f>
        <x:v>-0.008353767043364465</x:v>
      </x:c>
      <x:c r="L107" s="93" t="n">
        <x:f>B107-K107</x:f>
        <x:v>-0.009719925163507141</x:v>
      </x:c>
      <x:c r="M107" s="79" t="n">
        <x:f>'Datos_fuente'!B100</x:f>
        <x:v>1885.13129</x:v>
      </x:c>
      <x:c r="N107" s="79" t="n">
        <x:f>EXP('Transformaciones'!B99+K107)</x:f>
        <x:v>1903.5439650095502</x:v>
      </x:c>
      <x:c r="O107" s="1"/>
      <x:c r="P107" s="1"/>
      <x:c r="Q107" s="1"/>
      <x:c r="R107" s="1"/>
      <x:c r="S107" s="1"/>
      <x:c r="T107" s="1"/>
      <x:c r="U107" s="1"/>
      <x:c r="V107" s="1"/>
      <x:c r="W107" s="1"/>
      <x:c r="X107" s="1"/>
      <x:c r="Y107" s="1"/>
      <x:c r="Z107" s="1"/>
    </x:row>
    <x:row r="108">
      <x:c r="A108" s="1" t="str">
        <x:f>'Transformaciones'!A101</x:f>
        <x:v>2013-11</x:v>
      </x:c>
      <x:c r="B108" s="87" t="n">
        <x:f>'Transformaciones'!C101</x:f>
        <x:v>0.019240321981119912</x:v>
      </x:c>
      <x:c r="C108" s="87" t="n">
        <x:f>$B$6</x:f>
        <x:v>-0.00045209606279241735</x:v>
      </x:c>
      <x:c r="D108" s="87" t="n">
        <x:f>$B$7*'Transformaciones'!E101</x:f>
        <x:v>0.0006123583513933789</x:v>
      </x:c>
      <x:c r="E108" s="87" t="n">
        <x:f>$B$8*'Transformaciones'!M101</x:f>
        <x:v>0.011431701012001244</x:v>
      </x:c>
      <x:c r="F108" s="87" t="n">
        <x:f>$B$9*'Transformaciones'!O101</x:f>
        <x:v>-0.006788583457689825</x:v>
      </x:c>
      <x:c r="G108" s="87" t="n">
        <x:f>$B$10*'Transformaciones'!G100</x:f>
        <x:v>0.0008967110871222345</x:v>
      </x:c>
      <x:c r="H108" s="87" t="n">
        <x:f>$B$11*'Transformaciones'!I100</x:f>
        <x:v>0.00009908850217863401</x:v>
      </x:c>
      <x:c r="I108" s="87" t="n">
        <x:f>$B$12*'Transformaciones'!K100</x:f>
        <x:v>0.0003851170706035574</x:v>
      </x:c>
      <x:c r="J108" s="87" t="n">
        <x:f>$B$13*'Transformaciones'!P101</x:f>
        <x:v>0</x:v>
      </x:c>
      <x:c r="K108" s="93" t="n">
        <x:f>SUM(C108:J108)</x:f>
        <x:v>0.006184296502816808</x:v>
      </x:c>
      <x:c r="L108" s="93" t="n">
        <x:f>B108-K108</x:f>
        <x:v>0.013056025478303104</x:v>
      </x:c>
      <x:c r="M108" s="79" t="n">
        <x:f>'Datos_fuente'!B101</x:f>
        <x:v>1921.753</x:v>
      </x:c>
      <x:c r="N108" s="79" t="n">
        <x:f>EXP('Transformaciones'!B100+K108)</x:f>
        <x:v>1896.825624187805</x:v>
      </x:c>
      <x:c r="O108" s="1"/>
      <x:c r="P108" s="1"/>
      <x:c r="Q108" s="1"/>
      <x:c r="R108" s="1"/>
      <x:c r="S108" s="1"/>
      <x:c r="T108" s="1"/>
      <x:c r="U108" s="1"/>
      <x:c r="V108" s="1"/>
      <x:c r="W108" s="1"/>
      <x:c r="X108" s="1"/>
      <x:c r="Y108" s="1"/>
      <x:c r="Z108" s="1"/>
    </x:row>
    <x:row r="109">
      <x:c r="A109" s="1" t="str">
        <x:f>'Transformaciones'!A102</x:f>
        <x:v>2013-12</x:v>
      </x:c>
      <x:c r="B109" s="87" t="n">
        <x:f>'Transformaciones'!C102</x:f>
        <x:v>0.005812713835989136</x:v>
      </x:c>
      <x:c r="C109" s="87" t="n">
        <x:f>$B$6</x:f>
        <x:v>-0.00045209606279241735</x:v>
      </x:c>
      <x:c r="D109" s="87" t="n">
        <x:f>$B$7*'Transformaciones'!E102</x:f>
        <x:v>-0.001402523010255926</x:v>
      </x:c>
      <x:c r="E109" s="87" t="n">
        <x:f>$B$8*'Transformaciones'!M102</x:f>
        <x:v>0.002084777587546093</x:v>
      </x:c>
      <x:c r="F109" s="87" t="n">
        <x:f>$B$9*'Transformaciones'!O102</x:f>
        <x:v>0.0036153570869504304</x:v>
      </x:c>
      <x:c r="G109" s="87" t="n">
        <x:f>$B$10*'Transformaciones'!G101</x:f>
        <x:v>0.0020270612025717985</x:v>
      </x:c>
      <x:c r="H109" s="87" t="n">
        <x:f>$B$11*'Transformaciones'!I101</x:f>
        <x:v>-0.00009908850217863401</x:v>
      </x:c>
      <x:c r="I109" s="87" t="n">
        <x:f>$B$12*'Transformaciones'!K101</x:f>
        <x:v>-0.00013714397589125612</x:v>
      </x:c>
      <x:c r="J109" s="87" t="n">
        <x:f>$B$13*'Transformaciones'!P102</x:f>
        <x:v>0</x:v>
      </x:c>
      <x:c r="K109" s="93" t="n">
        <x:f>SUM(C109:J109)</x:f>
        <x:v>0.005636344325950088</x:v>
      </x:c>
      <x:c r="L109" s="93" t="n">
        <x:f>B109-K109</x:f>
        <x:v>0.00017636951003904833</x:v>
      </x:c>
      <x:c r="M109" s="79" t="n">
        <x:f>'Datos_fuente'!B102</x:f>
        <x:v>1932.956129</x:v>
      </x:c>
      <x:c r="N109" s="79" t="n">
        <x:f>EXP('Transformaciones'!B101+K109)</x:f>
        <x:v>1932.6152445362982</x:v>
      </x:c>
      <x:c r="O109" s="1"/>
      <x:c r="P109" s="1"/>
      <x:c r="Q109" s="1"/>
      <x:c r="R109" s="1"/>
      <x:c r="S109" s="1"/>
      <x:c r="T109" s="1"/>
      <x:c r="U109" s="1"/>
      <x:c r="V109" s="1"/>
      <x:c r="W109" s="1"/>
      <x:c r="X109" s="1"/>
      <x:c r="Y109" s="1"/>
      <x:c r="Z109" s="1"/>
    </x:row>
    <x:row r="110">
      <x:c r="A110" s="1" t="str">
        <x:f>'Transformaciones'!A103</x:f>
        <x:v>2014-01</x:v>
      </x:c>
      <x:c r="B110" s="87" t="n">
        <x:f>'Transformaciones'!C103</x:f>
        <x:v>0.012508876101176014</x:v>
      </x:c>
      <x:c r="C110" s="87" t="n">
        <x:f>$B$6</x:f>
        <x:v>-0.00045209606279241735</x:v>
      </x:c>
      <x:c r="D110" s="87" t="n">
        <x:f>$B$7*'Transformaciones'!E103</x:f>
        <x:v>0.001246554142286625</x:v>
      </x:c>
      <x:c r="E110" s="87" t="n">
        <x:f>$B$8*'Transformaciones'!M103</x:f>
        <x:v>0.012030528151369181</x:v>
      </x:c>
      <x:c r="F110" s="87" t="n">
        <x:f>$B$9*'Transformaciones'!O103</x:f>
        <x:v>0.0001319379441530314</x:v>
      </x:c>
      <x:c r="G110" s="87" t="n">
        <x:f>$B$10*'Transformaciones'!G102</x:f>
        <x:v>0.0033932718905122098</x:v>
      </x:c>
      <x:c r="H110" s="87" t="n">
        <x:f>$B$11*'Transformaciones'!I102</x:f>
        <x:v>0.00009908850217863401</x:v>
      </x:c>
      <x:c r="I110" s="87" t="n">
        <x:f>$B$12*'Transformaciones'!K102</x:f>
        <x:v>-0.00404079809164667</x:v>
      </x:c>
      <x:c r="J110" s="87" t="n">
        <x:f>$B$13*'Transformaciones'!P103</x:f>
        <x:v>0</x:v>
      </x:c>
      <x:c r="K110" s="93" t="n">
        <x:f>SUM(C110:J110)</x:f>
        <x:v>0.012408486476060594</x:v>
      </x:c>
      <x:c r="L110" s="93" t="n">
        <x:f>B110-K110</x:f>
        <x:v>0.00010038962511542057</x:v>
      </x:c>
      <x:c r="M110" s="79" t="n">
        <x:f>'Datos_fuente'!B103</x:f>
        <x:v>1957.287097</x:v>
      </x:c>
      <x:c r="N110" s="79" t="n">
        <x:f>EXP('Transformaciones'!B102+K110)</x:f>
        <x:v>1957.0906155446048</x:v>
      </x:c>
      <x:c r="O110" s="1"/>
      <x:c r="P110" s="1"/>
      <x:c r="Q110" s="1"/>
      <x:c r="R110" s="1"/>
      <x:c r="S110" s="1"/>
      <x:c r="T110" s="1"/>
      <x:c r="U110" s="1"/>
      <x:c r="V110" s="1"/>
      <x:c r="W110" s="1"/>
      <x:c r="X110" s="1"/>
      <x:c r="Y110" s="1"/>
      <x:c r="Z110" s="1"/>
    </x:row>
    <x:row r="111">
      <x:c r="A111" s="1" t="str">
        <x:f>'Transformaciones'!A104</x:f>
        <x:v>2014-02</x:v>
      </x:c>
      <x:c r="B111" s="87" t="n">
        <x:f>'Transformaciones'!C104</x:f>
        <x:v>0.04065118383434463</x:v>
      </x:c>
      <x:c r="C111" s="87" t="n">
        <x:f>$B$6</x:f>
        <x:v>-0.00045209606279241735</x:v>
      </x:c>
      <x:c r="D111" s="87" t="n">
        <x:f>$B$7*'Transformaciones'!E104</x:f>
        <x:v>-0.00037291643302107087</x:v>
      </x:c>
      <x:c r="E111" s="87" t="n">
        <x:f>$B$8*'Transformaciones'!M104</x:f>
        <x:v>0.0023237011226887195</x:v>
      </x:c>
      <x:c r="F111" s="87" t="n">
        <x:f>$B$9*'Transformaciones'!O104</x:f>
        <x:v>0.003196805554485693</x:v>
      </x:c>
      <x:c r="G111" s="87" t="n">
        <x:f>$B$10*'Transformaciones'!G103</x:f>
        <x:v>0.0013804390504597746</x:v>
      </x:c>
      <x:c r="H111" s="87" t="n">
        <x:f>$B$11*'Transformaciones'!I103</x:f>
        <x:v>-0.00019817700435727242</x:v>
      </x:c>
      <x:c r="I111" s="87" t="n">
        <x:f>$B$12*'Transformaciones'!K103</x:f>
        <x:v>0.00022396613775309542</x:v>
      </x:c>
      <x:c r="J111" s="87" t="n">
        <x:f>$B$13*'Transformaciones'!P104</x:f>
        <x:v>0</x:v>
      </x:c>
      <x:c r="K111" s="93" t="n">
        <x:f>SUM(C111:J111)</x:f>
        <x:v>0.0061017223652165215</x:v>
      </x:c>
      <x:c r="L111" s="93" t="n">
        <x:f>B111-K111</x:f>
        <x:v>0.03454946146912811</x:v>
      </x:c>
      <x:c r="M111" s="79" t="n">
        <x:f>'Datos_fuente'!B104</x:f>
        <x:v>2038.4925</x:v>
      </x:c>
      <x:c r="N111" s="79" t="n">
        <x:f>EXP('Transformaciones'!B103+K111)</x:f>
        <x:v>1969.2664295687725</x:v>
      </x:c>
      <x:c r="O111" s="1"/>
      <x:c r="P111" s="1"/>
      <x:c r="Q111" s="1"/>
      <x:c r="R111" s="1"/>
      <x:c r="S111" s="1"/>
      <x:c r="T111" s="1"/>
      <x:c r="U111" s="1"/>
      <x:c r="V111" s="1"/>
      <x:c r="W111" s="1"/>
      <x:c r="X111" s="1"/>
      <x:c r="Y111" s="1"/>
      <x:c r="Z111" s="1"/>
    </x:row>
    <x:row r="112">
      <x:c r="A112" s="1" t="str">
        <x:f>'Transformaciones'!A105</x:f>
        <x:v>2014-03</x:v>
      </x:c>
      <x:c r="B112" s="87" t="n">
        <x:f>'Transformaciones'!C105</x:f>
        <x:v>-0.009255030086472438</x:v>
      </x:c>
      <x:c r="C112" s="87" t="n">
        <x:f>$B$6</x:f>
        <x:v>-0.00045209606279241735</x:v>
      </x:c>
      <x:c r="D112" s="87" t="n">
        <x:f>$B$7*'Transformaciones'!E105</x:f>
        <x:v>0.0006782656019073102</x:v>
      </x:c>
      <x:c r="E112" s="87" t="n">
        <x:f>$B$8*'Transformaciones'!M105</x:f>
        <x:v>-0.002631487385424724</x:v>
      </x:c>
      <x:c r="F112" s="87" t="n">
        <x:f>$B$9*'Transformaciones'!O105</x:f>
        <x:v>-0.00161426035102647</x:v>
      </x:c>
      <x:c r="G112" s="87" t="n">
        <x:f>$B$10*'Transformaciones'!G104</x:f>
        <x:v>0.0007654358844007253</x:v>
      </x:c>
      <x:c r="H112" s="87" t="n">
        <x:f>$B$11*'Transformaciones'!I104</x:f>
        <x:v>0</x:v>
      </x:c>
      <x:c r="I112" s="87" t="n">
        <x:f>$B$12*'Transformaciones'!K104</x:f>
        <x:v>0.0004964279800300271</x:v>
      </x:c>
      <x:c r="J112" s="87" t="n">
        <x:f>$B$13*'Transformaciones'!P105</x:f>
        <x:v>0</x:v>
      </x:c>
      <x:c r="K112" s="93" t="n">
        <x:f>SUM(C112:J112)</x:f>
        <x:v>-0.0027577143329055487</x:v>
      </x:c>
      <x:c r="L112" s="93" t="n">
        <x:f>B112-K112</x:f>
        <x:v>-0.0064973157535668895</x:v>
      </x:c>
      <x:c r="M112" s="79" t="n">
        <x:f>'Datos_fuente'!B105</x:f>
        <x:v>2019.713226</x:v>
      </x:c>
      <x:c r="N112" s="79" t="n">
        <x:f>EXP('Transformaciones'!B104+K112)</x:f>
        <x:v>2032.878664250647</x:v>
      </x:c>
      <x:c r="O112" s="1"/>
      <x:c r="P112" s="1"/>
      <x:c r="Q112" s="1"/>
      <x:c r="R112" s="1"/>
      <x:c r="S112" s="1"/>
      <x:c r="T112" s="1"/>
      <x:c r="U112" s="1"/>
      <x:c r="V112" s="1"/>
      <x:c r="W112" s="1"/>
      <x:c r="X112" s="1"/>
      <x:c r="Y112" s="1"/>
      <x:c r="Z112" s="1"/>
    </x:row>
    <x:row r="113">
      <x:c r="A113" s="1" t="str">
        <x:f>'Transformaciones'!A106</x:f>
        <x:v>2014-04</x:v>
      </x:c>
      <x:c r="B113" s="87" t="n">
        <x:f>'Transformaciones'!C106</x:f>
        <x:v>-0.04111310748183783</x:v>
      </x:c>
      <x:c r="C113" s="87" t="n">
        <x:f>$B$6</x:f>
        <x:v>-0.00045209606279241735</x:v>
      </x:c>
      <x:c r="D113" s="87" t="n">
        <x:f>$B$7*'Transformaciones'!E106</x:f>
        <x:v>-0.00013174791302708589</x:v>
      </x:c>
      <x:c r="E113" s="87" t="n">
        <x:f>$B$8*'Transformaciones'!M106</x:f>
        <x:v>-0.005742144032990292</x:v>
      </x:c>
      <x:c r="F113" s="87" t="n">
        <x:f>$B$9*'Transformaciones'!O106</x:f>
        <x:v>-0.0016989376086799818</x:v>
      </x:c>
      <x:c r="G113" s="87" t="n">
        <x:f>$B$10*'Transformaciones'!G105</x:f>
        <x:v>0.0002682647644703643</x:v>
      </x:c>
      <x:c r="H113" s="87" t="n">
        <x:f>$B$11*'Transformaciones'!I105</x:f>
        <x:v>0.00009908850217863842</x:v>
      </x:c>
      <x:c r="I113" s="87" t="n">
        <x:f>$B$12*'Transformaciones'!K105</x:f>
        <x:v>0.00011037411738253576</x:v>
      </x:c>
      <x:c r="J113" s="87" t="n">
        <x:f>$B$13*'Transformaciones'!P106</x:f>
        <x:v>0</x:v>
      </x:c>
      <x:c r="K113" s="93" t="n">
        <x:f>SUM(C113:J113)</x:f>
        <x:v>-0.007547198233458238</x:v>
      </x:c>
      <x:c r="L113" s="93" t="n">
        <x:f>B113-K113</x:f>
        <x:v>-0.03356590924837959</x:v>
      </x:c>
      <x:c r="M113" s="79" t="n">
        <x:f>'Datos_fuente'!B106</x:f>
        <x:v>1938.360333</x:v>
      </x:c>
      <x:c r="N113" s="79" t="n">
        <x:f>EXP('Transformaciones'!B105+K113)</x:f>
        <x:v>2004.527427108039</x:v>
      </x:c>
      <x:c r="O113" s="1"/>
      <x:c r="P113" s="1"/>
      <x:c r="Q113" s="1"/>
      <x:c r="R113" s="1"/>
      <x:c r="S113" s="1"/>
      <x:c r="T113" s="1"/>
      <x:c r="U113" s="1"/>
      <x:c r="V113" s="1"/>
      <x:c r="W113" s="1"/>
      <x:c r="X113" s="1"/>
      <x:c r="Y113" s="1"/>
      <x:c r="Z113" s="1"/>
    </x:row>
    <x:row r="114">
      <x:c r="A114" s="1" t="str">
        <x:f>'Transformaciones'!A107</x:f>
        <x:v>2014-05</x:v>
      </x:c>
      <x:c r="B114" s="87" t="n">
        <x:f>'Transformaciones'!C107</x:f>
        <x:v>-0.011936326617412618</x:v>
      </x:c>
      <x:c r="C114" s="87" t="n">
        <x:f>$B$6</x:f>
        <x:v>-0.00045209606279241735</x:v>
      </x:c>
      <x:c r="D114" s="87" t="n">
        <x:f>$B$7*'Transformaciones'!E107</x:f>
        <x:v>-0.0008487426353615751</x:v>
      </x:c>
      <x:c r="E114" s="87" t="n">
        <x:f>$B$8*'Transformaciones'!M107</x:f>
        <x:v>-0.004215110303374531</x:v>
      </x:c>
      <x:c r="F114" s="87" t="n">
        <x:f>$B$9*'Transformaciones'!O107</x:f>
        <x:v>-0.004995663812799851</x:v>
      </x:c>
      <x:c r="G114" s="87" t="n">
        <x:f>$B$10*'Transformaciones'!G106</x:f>
        <x:v>-0.004182267029467939</x:v>
      </x:c>
      <x:c r="H114" s="87" t="n">
        <x:f>$B$11*'Transformaciones'!I106</x:f>
        <x:v>-0.0001486327532679554</x:v>
      </x:c>
      <x:c r="I114" s="87" t="n">
        <x:f>$B$12*'Transformaciones'!K106</x:f>
        <x:v>0.0007960896067996965</x:v>
      </x:c>
      <x:c r="J114" s="87" t="n">
        <x:f>$B$13*'Transformaciones'!P107</x:f>
        <x:v>0</x:v>
      </x:c>
      <x:c r="K114" s="93" t="n">
        <x:f>SUM(C114:J114)</x:f>
        <x:v>-0.014046422990264573</x:v>
      </x:c>
      <x:c r="L114" s="93" t="n">
        <x:f>B114-K114</x:f>
        <x:v>0.0021100963728519547</x:v>
      </x:c>
      <x:c r="M114" s="79" t="n">
        <x:f>'Datos_fuente'!B107</x:f>
        <x:v>1915.360968</x:v>
      </x:c>
      <x:c r="N114" s="79" t="n">
        <x:f>EXP('Transformaciones'!B106+K114)</x:f>
        <x:v>1911.3236328498701</x:v>
      </x:c>
      <x:c r="O114" s="1"/>
      <x:c r="P114" s="1"/>
      <x:c r="Q114" s="1"/>
      <x:c r="R114" s="1"/>
      <x:c r="S114" s="1"/>
      <x:c r="T114" s="1"/>
      <x:c r="U114" s="1"/>
      <x:c r="V114" s="1"/>
      <x:c r="W114" s="1"/>
      <x:c r="X114" s="1"/>
      <x:c r="Y114" s="1"/>
      <x:c r="Z114" s="1"/>
    </x:row>
    <x:row r="115">
      <x:c r="A115" s="1" t="str">
        <x:f>'Transformaciones'!A108</x:f>
        <x:v>2014-06</x:v>
      </x:c>
      <x:c r="B115" s="87" t="n">
        <x:f>'Transformaciones'!C108</x:f>
        <x:v>-0.014896989542501515</x:v>
      </x:c>
      <x:c r="C115" s="87" t="n">
        <x:f>$B$6</x:f>
        <x:v>-0.00045209606279241735</x:v>
      </x:c>
      <x:c r="D115" s="87" t="n">
        <x:f>$B$7*'Transformaciones'!E108</x:f>
        <x:v>-0.0010538755660536633</x:v>
      </x:c>
      <x:c r="E115" s="87" t="n">
        <x:f>$B$8*'Transformaciones'!M108</x:f>
        <x:v>0.002039657975072943</x:v>
      </x:c>
      <x:c r="F115" s="87" t="n">
        <x:f>$B$9*'Transformaciones'!O108</x:f>
        <x:v>-0.0030045590614980167</x:v>
      </x:c>
      <x:c r="G115" s="87" t="n">
        <x:f>$B$10*'Transformaciones'!G107</x:f>
        <x:v>-0.0037955473757852595</x:v>
      </x:c>
      <x:c r="H115" s="87" t="n">
        <x:f>$B$11*'Transformaciones'!I107</x:f>
        <x:v>-0.0022294912990193138</x:v>
      </x:c>
      <x:c r="I115" s="87" t="n">
        <x:f>$B$12*'Transformaciones'!K107</x:f>
        <x:v>0.000753729299213434</x:v>
      </x:c>
      <x:c r="J115" s="87" t="n">
        <x:f>$B$13*'Transformaciones'!P108</x:f>
        <x:v>0</x:v>
      </x:c>
      <x:c r="K115" s="93" t="n">
        <x:f>SUM(C115:J115)</x:f>
        <x:v>-0.007742182090862293</x:v>
      </x:c>
      <x:c r="L115" s="93" t="n">
        <x:f>B115-K115</x:f>
        <x:v>-0.0071548074516392226</x:v>
      </x:c>
      <x:c r="M115" s="79" t="n">
        <x:f>'Datos_fuente'!B108</x:f>
        <x:v>1887.039333</x:v>
      </x:c>
      <x:c r="N115" s="79" t="n">
        <x:f>EXP('Transformaciones'!B107+K115)</x:f>
        <x:v>1900.58915144964</x:v>
      </x:c>
      <x:c r="O115" s="1"/>
      <x:c r="P115" s="1"/>
      <x:c r="Q115" s="1"/>
      <x:c r="R115" s="1"/>
      <x:c r="S115" s="1"/>
      <x:c r="T115" s="1"/>
      <x:c r="U115" s="1"/>
      <x:c r="V115" s="1"/>
      <x:c r="W115" s="1"/>
      <x:c r="X115" s="1"/>
      <x:c r="Y115" s="1"/>
      <x:c r="Z115" s="1"/>
    </x:row>
    <x:row r="116">
      <x:c r="A116" s="1" t="str">
        <x:f>'Transformaciones'!A109</x:f>
        <x:v>2014-07</x:v>
      </x:c>
      <x:c r="B116" s="87" t="n">
        <x:f>'Transformaciones'!C109</x:f>
        <x:v>-0.01569998777481718</x:v>
      </x:c>
      <x:c r="C116" s="87" t="n">
        <x:f>$B$6</x:f>
        <x:v>-0.00045209606279241735</x:v>
      </x:c>
      <x:c r="D116" s="87" t="n">
        <x:f>$B$7*'Transformaciones'!E109</x:f>
        <x:v>0.0023783102782583415</x:v>
      </x:c>
      <x:c r="E116" s="87" t="n">
        <x:f>$B$8*'Transformaciones'!M109</x:f>
        <x:v>-0.002898264252531898</x:v>
      </x:c>
      <x:c r="F116" s="87" t="n">
        <x:f>$B$9*'Transformaciones'!O109</x:f>
        <x:v>0.002446836810051338</x:v>
      </x:c>
      <x:c r="G116" s="87" t="n">
        <x:f>$B$10*'Transformaciones'!G108</x:f>
        <x:v>-0.004583985678337982</x:v>
      </x:c>
      <x:c r="H116" s="87" t="n">
        <x:f>$B$11*'Transformaciones'!I108</x:f>
        <x:v>-0.0027909928146678644</x:v>
      </x:c>
      <x:c r="I116" s="87" t="n">
        <x:f>$B$12*'Transformaciones'!K108</x:f>
        <x:v>0.0018256748917077725</x:v>
      </x:c>
      <x:c r="J116" s="87" t="n">
        <x:f>$B$13*'Transformaciones'!P109</x:f>
        <x:v>0</x:v>
      </x:c>
      <x:c r="K116" s="93" t="n">
        <x:f>SUM(C116:J116)</x:f>
        <x:v>-0.004074516828312709</x:v>
      </x:c>
      <x:c r="L116" s="93" t="n">
        <x:f>B116-K116</x:f>
        <x:v>-0.011625470946504473</x:v>
      </x:c>
      <x:c r="M116" s="79" t="n">
        <x:f>'Datos_fuente'!B109</x:f>
        <x:v>1857.644194</x:v>
      </x:c>
      <x:c r="N116" s="79" t="n">
        <x:f>EXP('Transformaciones'!B108+K116)</x:f>
        <x:v>1879.366202247765</x:v>
      </x:c>
      <x:c r="O116" s="1"/>
      <x:c r="P116" s="1"/>
      <x:c r="Q116" s="1"/>
      <x:c r="R116" s="1"/>
      <x:c r="S116" s="1"/>
      <x:c r="T116" s="1"/>
      <x:c r="U116" s="1"/>
      <x:c r="V116" s="1"/>
      <x:c r="W116" s="1"/>
      <x:c r="X116" s="1"/>
      <x:c r="Y116" s="1"/>
      <x:c r="Z116" s="1"/>
    </x:row>
    <x:row r="117">
      <x:c r="A117" s="1" t="str">
        <x:f>'Transformaciones'!A110</x:f>
        <x:v>2014-08</x:v>
      </x:c>
      <x:c r="B117" s="87" t="n">
        <x:f>'Transformaciones'!C110</x:f>
        <x:v>0.02155751904692238</x:v>
      </x:c>
      <x:c r="C117" s="87" t="n">
        <x:f>$B$6</x:f>
        <x:v>-0.00045209606279241735</x:v>
      </x:c>
      <x:c r="D117" s="87" t="n">
        <x:f>$B$7*'Transformaciones'!E110</x:f>
        <x:v>0.002560667282391839</x:v>
      </x:c>
      <x:c r="E117" s="87" t="n">
        <x:f>$B$8*'Transformaciones'!M110</x:f>
        <x:v>0.012615536870156917</x:v>
      </x:c>
      <x:c r="F117" s="87" t="n">
        <x:f>$B$9*'Transformaciones'!O110</x:f>
        <x:v>0.003583190826259571</x:v>
      </x:c>
      <x:c r="G117" s="87" t="n">
        <x:f>$B$10*'Transformaciones'!G109</x:f>
        <x:v>-0.0029984151512901054</x:v>
      </x:c>
      <x:c r="H117" s="87" t="n">
        <x:f>$B$11*'Transformaciones'!I109</x:f>
        <x:v>-0.002163432294263942</x:v>
      </x:c>
      <x:c r="I117" s="87" t="n">
        <x:f>$B$12*'Transformaciones'!K109</x:f>
        <x:v>-0.00023486965243500822</x:v>
      </x:c>
      <x:c r="J117" s="87" t="n">
        <x:f>$B$13*'Transformaciones'!P110</x:f>
        <x:v>0</x:v>
      </x:c>
      <x:c r="K117" s="93" t="n">
        <x:f>SUM(C117:J117)</x:f>
        <x:v>0.012910581818026852</x:v>
      </x:c>
      <x:c r="L117" s="93" t="n">
        <x:f>B117-K117</x:f>
        <x:v>0.008646937228895528</x:v>
      </x:c>
      <x:c r="M117" s="79" t="n">
        <x:f>'Datos_fuente'!B110</x:f>
        <x:v>1898.125161</x:v>
      </x:c>
      <x:c r="N117" s="79" t="n">
        <x:f>EXP('Transformaciones'!B109+K117)</x:f>
        <x:v>1881.7829487468393</x:v>
      </x:c>
      <x:c r="O117" s="1"/>
      <x:c r="P117" s="1"/>
      <x:c r="Q117" s="1"/>
      <x:c r="R117" s="1"/>
      <x:c r="S117" s="1"/>
      <x:c r="T117" s="1"/>
      <x:c r="U117" s="1"/>
      <x:c r="V117" s="1"/>
      <x:c r="W117" s="1"/>
      <x:c r="X117" s="1"/>
      <x:c r="Y117" s="1"/>
      <x:c r="Z117" s="1"/>
    </x:row>
    <x:row r="118">
      <x:c r="A118" s="1" t="str">
        <x:f>'Transformaciones'!A111</x:f>
        <x:v>2014-09</x:v>
      </x:c>
      <x:c r="B118" s="87" t="n">
        <x:f>'Transformaciones'!C111</x:f>
        <x:v>0.03905175664962712</x:v>
      </x:c>
      <x:c r="C118" s="87" t="n">
        <x:f>$B$6</x:f>
        <x:v>-0.00045209606279241735</x:v>
      </x:c>
      <x:c r="D118" s="87" t="n">
        <x:f>$B$7*'Transformaciones'!E111</x:f>
        <x:v>0.002350453524066737</x:v>
      </x:c>
      <x:c r="E118" s="87" t="n">
        <x:f>$B$8*'Transformaciones'!M111</x:f>
        <x:v>0.019624803382266826</x:v>
      </x:c>
      <x:c r="F118" s="87" t="n">
        <x:f>$B$9*'Transformaciones'!O111</x:f>
        <x:v>-0.00007230626254584326</x:v>
      </x:c>
      <x:c r="G118" s="87" t="n">
        <x:f>$B$10*'Transformaciones'!G110</x:f>
        <x:v>-0.00360219087697139</x:v>
      </x:c>
      <x:c r="H118" s="87" t="n">
        <x:f>$B$11*'Transformaciones'!I110</x:f>
        <x:v>-0.002477212554465903</x:v>
      </x:c>
      <x:c r="I118" s="87" t="n">
        <x:f>$B$12*'Transformaciones'!K110</x:f>
        <x:v>0.0013332555353885514</x:v>
      </x:c>
      <x:c r="J118" s="87" t="n">
        <x:f>$B$13*'Transformaciones'!P111</x:f>
        <x:v>0</x:v>
      </x:c>
      <x:c r="K118" s="93" t="n">
        <x:f>SUM(C118:J118)</x:f>
        <x:v>0.01670470668494656</x:v>
      </x:c>
      <x:c r="L118" s="93" t="n">
        <x:f>B118-K118</x:f>
        <x:v>0.022347049964680562</x:v>
      </x:c>
      <x:c r="M118" s="79" t="n">
        <x:f>'Datos_fuente'!B111</x:f>
        <x:v>1973.716667</x:v>
      </x:c>
      <x:c r="N118" s="79" t="n">
        <x:f>EXP('Transformaciones'!B110+K118)</x:f>
        <x:v>1930.0990991788062</x:v>
      </x:c>
      <x:c r="O118" s="1"/>
      <x:c r="P118" s="1"/>
      <x:c r="Q118" s="1"/>
      <x:c r="R118" s="1"/>
      <x:c r="S118" s="1"/>
      <x:c r="T118" s="1"/>
      <x:c r="U118" s="1"/>
      <x:c r="V118" s="1"/>
      <x:c r="W118" s="1"/>
      <x:c r="X118" s="1"/>
      <x:c r="Y118" s="1"/>
      <x:c r="Z118" s="1"/>
    </x:row>
    <x:row r="119">
      <x:c r="A119" s="1" t="str">
        <x:f>'Transformaciones'!A112</x:f>
        <x:v>2014-10</x:v>
      </x:c>
      <x:c r="B119" s="87" t="n">
        <x:f>'Transformaciones'!C112</x:f>
        <x:v>0.037222330573758455</x:v>
      </x:c>
      <x:c r="C119" s="87" t="n">
        <x:f>$B$6</x:f>
        <x:v>-0.00045209606279241735</x:v>
      </x:c>
      <x:c r="D119" s="87" t="n">
        <x:f>$B$7*'Transformaciones'!E112</x:f>
        <x:v>0.005420934101019483</x:v>
      </x:c>
      <x:c r="E119" s="87" t="n">
        <x:f>$B$8*'Transformaciones'!M112</x:f>
        <x:v>0.01655625382930156</x:v>
      </x:c>
      <x:c r="F119" s="87" t="n">
        <x:f>$B$9*'Transformaciones'!O112</x:f>
        <x:v>0.011330806800017048</x:v>
      </x:c>
      <x:c r="G119" s="87" t="n">
        <x:f>$B$10*'Transformaciones'!G111</x:f>
        <x:v>-0.0006923102341352799</x:v>
      </x:c>
      <x:c r="H119" s="87" t="n">
        <x:f>$B$11*'Transformaciones'!I111</x:f>
        <x:v>-0.002477212554465903</x:v>
      </x:c>
      <x:c r="I119" s="87" t="n">
        <x:f>$B$12*'Transformaciones'!K111</x:f>
        <x:v>-0.000818122457703606</x:v>
      </x:c>
      <x:c r="J119" s="87" t="n">
        <x:f>$B$13*'Transformaciones'!P112</x:f>
        <x:v>0</x:v>
      </x:c>
      <x:c r="K119" s="93" t="n">
        <x:f>SUM(C119:J119)</x:f>
        <x:v>0.02886825342124089</x:v>
      </x:c>
      <x:c r="L119" s="93" t="n">
        <x:f>B119-K119</x:f>
        <x:v>0.008354077152517566</x:v>
      </x:c>
      <x:c r="M119" s="79" t="n">
        <x:f>'Datos_fuente'!B112</x:f>
        <x:v>2048.567419</x:v>
      </x:c>
      <x:c r="N119" s="79" t="n">
        <x:f>EXP('Transformaciones'!B111+K119)</x:f>
        <x:v>2031.5248154596536</x:v>
      </x:c>
      <x:c r="O119" s="1"/>
      <x:c r="P119" s="1"/>
      <x:c r="Q119" s="1"/>
      <x:c r="R119" s="1"/>
      <x:c r="S119" s="1"/>
      <x:c r="T119" s="1"/>
      <x:c r="U119" s="1"/>
      <x:c r="V119" s="1"/>
      <x:c r="W119" s="1"/>
      <x:c r="X119" s="1"/>
      <x:c r="Y119" s="1"/>
      <x:c r="Z119" s="1"/>
    </x:row>
    <x:row r="120">
      <x:c r="A120" s="1" t="str">
        <x:f>'Transformaciones'!A113</x:f>
        <x:v>2014-11</x:v>
      </x:c>
      <x:c r="B120" s="87" t="n">
        <x:f>'Transformaciones'!C113</x:f>
        <x:v>0.0383630631072327</x:v>
      </x:c>
      <x:c r="C120" s="87" t="n">
        <x:f>$B$6</x:f>
        <x:v>-0.00045209606279241735</x:v>
      </x:c>
      <x:c r="D120" s="87" t="n">
        <x:f>$B$7*'Transformaciones'!E113</x:f>
        <x:v>0.004952546459861203</x:v>
      </x:c>
      <x:c r="E120" s="87" t="n">
        <x:f>$B$8*'Transformaciones'!M113</x:f>
        <x:v>0.020709909636595428</x:v>
      </x:c>
      <x:c r="F120" s="87" t="n">
        <x:f>$B$9*'Transformaciones'!O113</x:f>
        <x:v>-0.011484556886885206</x:v>
      </x:c>
      <x:c r="G120" s="87" t="n">
        <x:f>$B$10*'Transformaciones'!G112</x:f>
        <x:v>-0.0012181916964988254</x:v>
      </x:c>
      <x:c r="H120" s="87" t="n">
        <x:f>$B$11*'Transformaciones'!I112</x:f>
        <x:v>0</x:v>
      </x:c>
      <x:c r="I120" s="87" t="n">
        <x:f>$B$12*'Transformaciones'!K112</x:f>
        <x:v>-0.001539580609598507</x:v>
      </x:c>
      <x:c r="J120" s="87" t="n">
        <x:f>$B$13*'Transformaciones'!P113</x:f>
        <x:v>0</x:v>
      </x:c>
      <x:c r="K120" s="93" t="n">
        <x:f>SUM(C120:J120)</x:f>
        <x:v>0.010968030840681675</x:v>
      </x:c>
      <x:c r="L120" s="93" t="n">
        <x:f>B120-K120</x:f>
        <x:v>0.027395032266551024</x:v>
      </x:c>
      <x:c r="M120" s="79" t="n">
        <x:f>'Datos_fuente'!B113</x:f>
        <x:v>2128.683667</x:v>
      </x:c>
      <x:c r="N120" s="79" t="n">
        <x:f>EXP('Transformaciones'!B112+K120)</x:f>
        <x:v>2071.1598403335443</x:v>
      </x:c>
      <x:c r="O120" s="1"/>
      <x:c r="P120" s="1"/>
      <x:c r="Q120" s="1"/>
      <x:c r="R120" s="1"/>
      <x:c r="S120" s="1"/>
      <x:c r="T120" s="1"/>
      <x:c r="U120" s="1"/>
      <x:c r="V120" s="1"/>
      <x:c r="W120" s="1"/>
      <x:c r="X120" s="1"/>
      <x:c r="Y120" s="1"/>
      <x:c r="Z120" s="1"/>
    </x:row>
    <x:row r="121">
      <x:c r="A121" s="1" t="str">
        <x:f>'Transformaciones'!A114</x:f>
        <x:v>2014-12</x:v>
      </x:c>
      <x:c r="B121" s="87" t="n">
        <x:f>'Transformaciones'!C114</x:f>
        <x:v>0.09560972866176964</x:v>
      </x:c>
      <x:c r="C121" s="87" t="n">
        <x:f>$B$6</x:f>
        <x:v>-0.00045209606279241735</x:v>
      </x:c>
      <x:c r="D121" s="87" t="n">
        <x:f>$B$7*'Transformaciones'!E114</x:f>
        <x:v>0.012532918791715591</x:v>
      </x:c>
      <x:c r="E121" s="87" t="n">
        <x:f>$B$8*'Transformaciones'!M114</x:f>
        <x:v>0.02822563079831878</x:v>
      </x:c>
      <x:c r="F121" s="87" t="n">
        <x:f>$B$9*'Transformaciones'!O114</x:f>
        <x:v>0.0075093922070794804</x:v>
      </x:c>
      <x:c r="G121" s="87" t="n">
        <x:f>$B$10*'Transformaciones'!G113</x:f>
        <x:v>-0.002345371988432438</x:v>
      </x:c>
      <x:c r="H121" s="87" t="n">
        <x:f>$B$11*'Transformaciones'!I113</x:f>
        <x:v>0</x:v>
      </x:c>
      <x:c r="I121" s="87" t="n">
        <x:f>$B$12*'Transformaciones'!K113</x:f>
        <x:v>-0.0007116740885540285</x:v>
      </x:c>
      <x:c r="J121" s="87" t="n">
        <x:f>$B$13*'Transformaciones'!P114</x:f>
        <x:v>0</x:v>
      </x:c>
      <x:c r="K121" s="93" t="n">
        <x:f>SUM(C121:J121)</x:f>
        <x:v>0.044758799657334966</x:v>
      </x:c>
      <x:c r="L121" s="93" t="n">
        <x:f>B121-K121</x:f>
        <x:v>0.05085092900443468</x:v>
      </x:c>
      <x:c r="M121" s="79" t="n">
        <x:f>'Datos_fuente'!B114</x:f>
        <x:v>2342.253548</x:v>
      </x:c>
      <x:c r="N121" s="79" t="n">
        <x:f>EXP('Transformaciones'!B113+K121)</x:f>
        <x:v>2226.1254136415337</x:v>
      </x:c>
      <x:c r="O121" s="1"/>
      <x:c r="P121" s="1"/>
      <x:c r="Q121" s="1"/>
      <x:c r="R121" s="1"/>
      <x:c r="S121" s="1"/>
      <x:c r="T121" s="1"/>
      <x:c r="U121" s="1"/>
      <x:c r="V121" s="1"/>
      <x:c r="W121" s="1"/>
      <x:c r="X121" s="1"/>
      <x:c r="Y121" s="1"/>
      <x:c r="Z121" s="1"/>
    </x:row>
    <x:row r="122">
      <x:c r="A122" s="1" t="str">
        <x:f>'Transformaciones'!A115</x:f>
        <x:v>2015-01</x:v>
      </x:c>
      <x:c r="B122" s="87" t="n">
        <x:f>'Transformaciones'!C115</x:f>
        <x:v>0.0232120906867479</x:v>
      </x:c>
      <x:c r="C122" s="87" t="n">
        <x:f>$B$6</x:f>
        <x:v>-0.00045209606279241735</x:v>
      </x:c>
      <x:c r="D122" s="87" t="n">
        <x:f>$B$7*'Transformaciones'!E115</x:f>
        <x:v>0.013767982331811408</x:v>
      </x:c>
      <x:c r="E122" s="87" t="n">
        <x:f>$B$8*'Transformaciones'!M115</x:f>
        <x:v>0.02743447377325543</x:v>
      </x:c>
      <x:c r="F122" s="87" t="n">
        <x:f>$B$9*'Transformaciones'!O115</x:f>
        <x:v>0.006179517256414569</x:v>
      </x:c>
      <x:c r="G122" s="87" t="n">
        <x:f>$B$10*'Transformaciones'!G114</x:f>
        <x:v>0.0019410477807211728</x:v>
      </x:c>
      <x:c r="H122" s="87" t="n">
        <x:f>$B$11*'Transformaciones'!I114</x:f>
        <x:v>0.0002972655065359108</x:v>
      </x:c>
      <x:c r="I122" s="87" t="n">
        <x:f>$B$12*'Transformaciones'!K114</x:f>
        <x:v>-0.0019108965066047627</x:v>
      </x:c>
      <x:c r="J122" s="87" t="n">
        <x:f>$B$13*'Transformaciones'!P115</x:f>
        <x:v>0</x:v>
      </x:c>
      <x:c r="K122" s="93" t="n">
        <x:f>SUM(C122:J122)</x:f>
        <x:v>0.0472572940793413</x:v>
      </x:c>
      <x:c r="L122" s="93" t="n">
        <x:f>B122-K122</x:f>
        <x:v>-0.024045203392593403</x:v>
      </x:c>
      <x:c r="M122" s="79" t="n">
        <x:f>'Datos_fuente'!B115</x:f>
        <x:v>2397.258065</x:v>
      </x:c>
      <x:c r="N122" s="79" t="n">
        <x:f>EXP('Transformaciones'!B114+K122)</x:f>
        <x:v>2455.5992243717146</x:v>
      </x:c>
      <x:c r="O122" s="1"/>
      <x:c r="P122" s="1"/>
      <x:c r="Q122" s="1"/>
      <x:c r="R122" s="1"/>
      <x:c r="S122" s="1"/>
      <x:c r="T122" s="1"/>
      <x:c r="U122" s="1"/>
      <x:c r="V122" s="1"/>
      <x:c r="W122" s="1"/>
      <x:c r="X122" s="1"/>
      <x:c r="Y122" s="1"/>
      <x:c r="Z122" s="1"/>
    </x:row>
    <x:row r="123">
      <x:c r="A123" s="1" t="str">
        <x:f>'Transformaciones'!A116</x:f>
        <x:v>2015-02</x:v>
      </x:c>
      <x:c r="B123" s="87" t="n">
        <x:f>'Transformaciones'!C116</x:f>
        <x:v>0.009719782808037536</x:v>
      </x:c>
      <x:c r="C123" s="87" t="n">
        <x:f>$B$6</x:f>
        <x:v>-0.00045209606279241735</x:v>
      </x:c>
      <x:c r="D123" s="87" t="n">
        <x:f>$B$7*'Transformaciones'!E116</x:f>
        <x:v>-0.010127044316935</x:v>
      </x:c>
      <x:c r="E123" s="87" t="n">
        <x:f>$B$8*'Transformaciones'!M116</x:f>
        <x:v>0.01637425067790824</x:v>
      </x:c>
      <x:c r="F123" s="87" t="n">
        <x:f>$B$9*'Transformaciones'!O116</x:f>
        <x:v>-0.007110475308570525</x:v>
      </x:c>
      <x:c r="G123" s="87" t="n">
        <x:f>$B$10*'Transformaciones'!G115</x:f>
        <x:v>-0.00022939337706008524</x:v>
      </x:c>
      <x:c r="H123" s="87" t="n">
        <x:f>$B$11*'Transformaciones'!I115</x:f>
        <x:v>-0.00009908850217863401</x:v>
      </x:c>
      <x:c r="I123" s="87" t="n">
        <x:f>$B$12*'Transformaciones'!K115</x:f>
        <x:v>0.0011779922061567194</x:v>
      </x:c>
      <x:c r="J123" s="87" t="n">
        <x:f>$B$13*'Transformaciones'!P116</x:f>
        <x:v>0</x:v>
      </x:c>
      <x:c r="K123" s="93" t="n">
        <x:f>SUM(C123:J123)</x:f>
        <x:v>-0.0004658546834717034</x:v>
      </x:c>
      <x:c r="L123" s="93" t="n">
        <x:f>B123-K123</x:f>
        <x:v>0.010185637491509239</x:v>
      </x:c>
      <x:c r="M123" s="79" t="n">
        <x:f>'Datos_fuente'!B116</x:f>
        <x:v>2420.6725</x:v>
      </x:c>
      <x:c r="N123" s="79" t="n">
        <x:f>EXP('Transformaciones'!B115+K123)</x:f>
        <x:v>2396.141551189715</x:v>
      </x:c>
      <x:c r="O123" s="1"/>
      <x:c r="P123" s="1"/>
      <x:c r="Q123" s="1"/>
      <x:c r="R123" s="1"/>
      <x:c r="S123" s="1"/>
      <x:c r="T123" s="1"/>
      <x:c r="U123" s="1"/>
      <x:c r="V123" s="1"/>
      <x:c r="W123" s="1"/>
      <x:c r="X123" s="1"/>
      <x:c r="Y123" s="1"/>
      <x:c r="Z123" s="1"/>
    </x:row>
    <x:row r="124">
      <x:c r="A124" s="1" t="str">
        <x:f>'Transformaciones'!A117</x:f>
        <x:v>2015-03</x:v>
      </x:c>
      <x:c r="B124" s="87" t="n">
        <x:f>'Transformaciones'!C117</x:f>
        <x:v>0.06582024250761442</x:v>
      </x:c>
      <x:c r="C124" s="87" t="n">
        <x:f>$B$6</x:f>
        <x:v>-0.00045209606279241735</x:v>
      </x:c>
      <x:c r="D124" s="87" t="n">
        <x:f>$B$7*'Transformaciones'!E117</x:f>
        <x:v>0.002004836634669132</x:v>
      </x:c>
      <x:c r="E124" s="87" t="n">
        <x:f>$B$8*'Transformaciones'!M117</x:f>
        <x:v>0.02511156588663931</x:v>
      </x:c>
      <x:c r="F124" s="87" t="n">
        <x:f>$B$9*'Transformaciones'!O117</x:f>
        <x:v>-0.002745606050933964</x:v>
      </x:c>
      <x:c r="G124" s="87" t="n">
        <x:f>$B$10*'Transformaciones'!G116</x:f>
        <x:v>0.002032493648538409</x:v>
      </x:c>
      <x:c r="H124" s="87" t="n">
        <x:f>$B$11*'Transformaciones'!I116</x:f>
        <x:v>0</x:v>
      </x:c>
      <x:c r="I124" s="87" t="n">
        <x:f>$B$12*'Transformaciones'!K116</x:f>
        <x:v>0.00009070227009129335</x:v>
      </x:c>
      <x:c r="J124" s="87" t="n">
        <x:f>$B$13*'Transformaciones'!P117</x:f>
        <x:v>0</x:v>
      </x:c>
      <x:c r="K124" s="93" t="n">
        <x:f>SUM(C124:J124)</x:f>
        <x:v>0.026041896326211764</x:v>
      </x:c>
      <x:c r="L124" s="93" t="n">
        <x:f>B124-K124</x:f>
        <x:v>0.03977834618140266</x:v>
      </x:c>
      <x:c r="M124" s="79" t="n">
        <x:f>'Datos_fuente'!B117</x:f>
        <x:v>2585.362258</x:v>
      </x:c>
      <x:c r="N124" s="79" t="n">
        <x:f>EXP('Transformaciones'!B116+K124)</x:f>
        <x:v>2484.5394004862596</x:v>
      </x:c>
      <x:c r="O124" s="1"/>
      <x:c r="P124" s="1"/>
      <x:c r="Q124" s="1"/>
      <x:c r="R124" s="1"/>
      <x:c r="S124" s="1"/>
      <x:c r="T124" s="1"/>
      <x:c r="U124" s="1"/>
      <x:c r="V124" s="1"/>
      <x:c r="W124" s="1"/>
      <x:c r="X124" s="1"/>
      <x:c r="Y124" s="1"/>
      <x:c r="Z124" s="1"/>
    </x:row>
    <x:row r="125">
      <x:c r="A125" s="1" t="str">
        <x:f>'Transformaciones'!A118</x:f>
        <x:v>2015-04</x:v>
      </x:c>
      <x:c r="B125" s="87" t="n">
        <x:f>'Transformaciones'!C118</x:f>
        <x:v>-0.03147790500074521</x:v>
      </x:c>
      <x:c r="C125" s="87" t="n">
        <x:f>$B$6</x:f>
        <x:v>-0.00045209606279241735</x:v>
      </x:c>
      <x:c r="D125" s="87" t="n">
        <x:f>$B$7*'Transformaciones'!E118</x:f>
        <x:v>-0.0032607616689779937</x:v>
      </x:c>
      <x:c r="E125" s="87" t="n">
        <x:f>$B$8*'Transformaciones'!M118</x:f>
        <x:v>-0.011512084591473397</x:v>
      </x:c>
      <x:c r="F125" s="87" t="n">
        <x:f>$B$9*'Transformaciones'!O118</x:f>
        <x:v>-0.0035985946706508618</x:v>
      </x:c>
      <x:c r="G125" s="87" t="n">
        <x:f>$B$10*'Transformaciones'!G117</x:f>
        <x:v>0.00613078098890629</x:v>
      </x:c>
      <x:c r="H125" s="87" t="n">
        <x:f>$B$11*'Transformaciones'!I117</x:f>
        <x:v>0</x:v>
      </x:c>
      <x:c r="I125" s="87" t="n">
        <x:f>$B$12*'Transformaciones'!K117</x:f>
        <x:v>0.0001791161513565417</x:v>
      </x:c>
      <x:c r="J125" s="87" t="n">
        <x:f>$B$13*'Transformaciones'!P118</x:f>
        <x:v>0</x:v>
      </x:c>
      <x:c r="K125" s="93" t="n">
        <x:f>SUM(C125:J125)</x:f>
        <x:v>-0.012513639853631839</x:v>
      </x:c>
      <x:c r="L125" s="93" t="n">
        <x:f>B125-K125</x:f>
        <x:v>-0.01896426514711337</x:v>
      </x:c>
      <x:c r="M125" s="79" t="n">
        <x:f>'Datos_fuente'!B118</x:f>
        <x:v>2505.248</x:v>
      </x:c>
      <x:c r="N125" s="79" t="n">
        <x:f>EXP('Transformaciones'!B117+K125)</x:f>
        <x:v>2553.211546566241</x:v>
      </x:c>
      <x:c r="O125" s="1"/>
      <x:c r="P125" s="1"/>
      <x:c r="Q125" s="1"/>
      <x:c r="R125" s="1"/>
      <x:c r="S125" s="1"/>
      <x:c r="T125" s="1"/>
      <x:c r="U125" s="1"/>
      <x:c r="V125" s="1"/>
      <x:c r="W125" s="1"/>
      <x:c r="X125" s="1"/>
      <x:c r="Y125" s="1"/>
      <x:c r="Z125" s="1"/>
    </x:row>
    <x:row r="126">
      <x:c r="A126" s="1" t="str">
        <x:f>'Transformaciones'!A119</x:f>
        <x:v>2015-05</x:v>
      </x:c>
      <x:c r="B126" s="87" t="n">
        <x:f>'Transformaciones'!C119</x:f>
        <x:v>-0.02740038282099544</x:v>
      </x:c>
      <x:c r="C126" s="87" t="n">
        <x:f>$B$6</x:f>
        <x:v>-0.00045209606279241735</x:v>
      </x:c>
      <x:c r="D126" s="87" t="n">
        <x:f>$B$7*'Transformaciones'!E119</x:f>
        <x:v>-0.0038081636701148072</x:v>
      </x:c>
      <x:c r="E126" s="87" t="n">
        <x:f>$B$8*'Transformaciones'!M119</x:f>
        <x:v>-0.01085323076923974</x:v>
      </x:c>
      <x:c r="F126" s="87" t="n">
        <x:f>$B$9*'Transformaciones'!O119</x:f>
        <x:v>-0.0004497805977971538</x:v>
      </x:c>
      <x:c r="G126" s="87" t="n">
        <x:f>$B$10*'Transformaciones'!G118</x:f>
        <x:v>0.0022234420970994612</x:v>
      </x:c>
      <x:c r="H126" s="87" t="n">
        <x:f>$B$11*'Transformaciones'!I118</x:f>
        <x:v>0.00009908850217863401</x:v>
      </x:c>
      <x:c r="I126" s="87" t="n">
        <x:f>$B$12*'Transformaciones'!K118</x:f>
        <x:v>0.00014749469961045214</x:v>
      </x:c>
      <x:c r="J126" s="87" t="n">
        <x:f>$B$13*'Transformaciones'!P119</x:f>
        <x:v>0</x:v>
      </x:c>
      <x:c r="K126" s="93" t="n">
        <x:f>SUM(C126:J126)</x:f>
        <x:v>-0.013093245801055569</x:v>
      </x:c>
      <x:c r="L126" s="93" t="n">
        <x:f>B126-K126</x:f>
        <x:v>-0.01430713701993987</x:v>
      </x:c>
      <x:c r="M126" s="79" t="n">
        <x:f>'Datos_fuente'!B119</x:f>
        <x:v>2437.535161</x:v>
      </x:c>
      <x:c r="N126" s="79" t="n">
        <x:f>EXP('Transformaciones'!B118+K126)</x:f>
        <x:v>2472.6599791808585</x:v>
      </x:c>
      <x:c r="O126" s="1"/>
      <x:c r="P126" s="1"/>
      <x:c r="Q126" s="1"/>
      <x:c r="R126" s="1"/>
      <x:c r="S126" s="1"/>
      <x:c r="T126" s="1"/>
      <x:c r="U126" s="1"/>
      <x:c r="V126" s="1"/>
      <x:c r="W126" s="1"/>
      <x:c r="X126" s="1"/>
      <x:c r="Y126" s="1"/>
      <x:c r="Z126" s="1"/>
    </x:row>
    <x:row r="127">
      <x:c r="A127" s="1" t="str">
        <x:f>'Transformaciones'!A120</x:f>
        <x:v>2015-06</x:v>
      </x:c>
      <x:c r="B127" s="87" t="n">
        <x:f>'Transformaciones'!C120</x:f>
        <x:v>0.049987280298008585</x:v>
      </x:c>
      <x:c r="C127" s="87" t="n">
        <x:f>$B$6</x:f>
        <x:v>-0.00045209606279241735</x:v>
      </x:c>
      <x:c r="D127" s="87" t="n">
        <x:f>$B$7*'Transformaciones'!E120</x:f>
        <x:v>0.0021389912447805953</x:v>
      </x:c>
      <x:c r="E127" s="87" t="n">
        <x:f>$B$8*'Transformaciones'!M120</x:f>
        <x:v>0.008871804834411317</x:v>
      </x:c>
      <x:c r="F127" s="87" t="n">
        <x:f>$B$9*'Transformaciones'!O120</x:f>
        <x:v>0.002794628135723899</x:v>
      </x:c>
      <x:c r="G127" s="87" t="n">
        <x:f>$B$10*'Transformaciones'!G119</x:f>
        <x:v>0.001820917314170222</x:v>
      </x:c>
      <x:c r="H127" s="87" t="n">
        <x:f>$B$11*'Transformaciones'!I119</x:f>
        <x:v>0</x:v>
      </x:c>
      <x:c r="I127" s="87" t="n">
        <x:f>$B$12*'Transformaciones'!K119</x:f>
        <x:v>-0.0008993739620942973</x:v>
      </x:c>
      <x:c r="J127" s="87" t="n">
        <x:f>$B$13*'Transformaciones'!P120</x:f>
        <x:v>0</x:v>
      </x:c>
      <x:c r="K127" s="93" t="n">
        <x:f>SUM(C127:J127)</x:f>
        <x:v>0.014274871504199317</x:v>
      </x:c>
      <x:c r="L127" s="93" t="n">
        <x:f>B127-K127</x:f>
        <x:v>0.03571240879380927</x:v>
      </x:c>
      <x:c r="M127" s="79" t="n">
        <x:f>'Datos_fuente'!B120</x:f>
        <x:v>2562.477667</x:v>
      </x:c>
      <x:c r="N127" s="79" t="n">
        <x:f>EXP('Transformaciones'!B119+K127)</x:f>
        <x:v>2472.580198818462</x:v>
      </x:c>
      <x:c r="O127" s="1"/>
      <x:c r="P127" s="1"/>
      <x:c r="Q127" s="1"/>
      <x:c r="R127" s="1"/>
      <x:c r="S127" s="1"/>
      <x:c r="T127" s="1"/>
      <x:c r="U127" s="1"/>
      <x:c r="V127" s="1"/>
      <x:c r="W127" s="1"/>
      <x:c r="X127" s="1"/>
      <x:c r="Y127" s="1"/>
      <x:c r="Z127" s="1"/>
    </x:row>
    <x:row r="128">
      <x:c r="A128" s="1" t="str">
        <x:f>'Transformaciones'!A121</x:f>
        <x:v>2015-07</x:v>
      </x:c>
      <x:c r="B128" s="87" t="n">
        <x:f>'Transformaciones'!C121</x:f>
        <x:v>0.06407241866252456</x:v>
      </x:c>
      <x:c r="C128" s="87" t="n">
        <x:f>$B$6</x:f>
        <x:v>-0.00045209606279241735</x:v>
      </x:c>
      <x:c r="D128" s="87" t="n">
        <x:f>$B$7*'Transformaciones'!E121</x:f>
        <x:v>0.0043085442983810205</x:v>
      </x:c>
      <x:c r="E128" s="87" t="n">
        <x:f>$B$8*'Transformaciones'!M121</x:f>
        <x:v>0.022050799197465328</x:v>
      </x:c>
      <x:c r="F128" s="87" t="n">
        <x:f>$B$9*'Transformaciones'!O121</x:f>
        <x:v>0.000035483514971333757</x:v>
      </x:c>
      <x:c r="G128" s="87" t="n">
        <x:f>$B$10*'Transformaciones'!G120</x:f>
        <x:v>0.005981616522261558</x:v>
      </x:c>
      <x:c r="H128" s="87" t="n">
        <x:f>$B$11*'Transformaciones'!I120</x:f>
        <x:v>0.00009908850217863401</x:v>
      </x:c>
      <x:c r="I128" s="87" t="n">
        <x:f>$B$12*'Transformaciones'!K120</x:f>
        <x:v>0.0004211819369157394</x:v>
      </x:c>
      <x:c r="J128" s="87" t="n">
        <x:f>$B$13*'Transformaciones'!P121</x:f>
        <x:v>0</x:v>
      </x:c>
      <x:c r="K128" s="93" t="n">
        <x:f>SUM(C128:J128)</x:f>
        <x:v>0.0324446179093812</x:v>
      </x:c>
      <x:c r="L128" s="93" t="n">
        <x:f>B128-K128</x:f>
        <x:v>0.03162780075314336</x:v>
      </x:c>
      <x:c r="M128" s="79" t="n">
        <x:f>'Datos_fuente'!B121</x:f>
        <x:v>2732.035806</x:v>
      </x:c>
      <x:c r="N128" s="79" t="n">
        <x:f>EXP('Transformaciones'!B120+K128)</x:f>
        <x:v>2646.9796811074793</x:v>
      </x:c>
      <x:c r="O128" s="1"/>
      <x:c r="P128" s="1"/>
      <x:c r="Q128" s="1"/>
      <x:c r="R128" s="1"/>
      <x:c r="S128" s="1"/>
      <x:c r="T128" s="1"/>
      <x:c r="U128" s="1"/>
      <x:c r="V128" s="1"/>
      <x:c r="W128" s="1"/>
      <x:c r="X128" s="1"/>
      <x:c r="Y128" s="1"/>
      <x:c r="Z128" s="1"/>
    </x:row>
    <x:row r="129">
      <x:c r="A129" s="1" t="str">
        <x:f>'Transformaciones'!A122</x:f>
        <x:v>2015-08</x:v>
      </x:c>
      <x:c r="B129" s="87" t="n">
        <x:f>'Transformaciones'!C122</x:f>
        <x:v>0.09775226937892523</x:v>
      </x:c>
      <x:c r="C129" s="87" t="n">
        <x:f>$B$6</x:f>
        <x:v>-0.00045209606279241735</x:v>
      </x:c>
      <x:c r="D129" s="87" t="n">
        <x:f>$B$7*'Transformaciones'!E122</x:f>
        <x:v>0.01010843681832845</x:v>
      </x:c>
      <x:c r="E129" s="87" t="n">
        <x:f>$B$8*'Transformaciones'!M122</x:f>
        <x:v>0.020648341165373476</x:v>
      </x:c>
      <x:c r="F129" s="87" t="n">
        <x:f>$B$9*'Transformaciones'!O122</x:f>
        <x:v>0.011692670805179703</x:v>
      </x:c>
      <x:c r="G129" s="87" t="n">
        <x:f>$B$10*'Transformaciones'!G121</x:f>
        <x:v>0.006663333481757336</x:v>
      </x:c>
      <x:c r="H129" s="87" t="n">
        <x:f>$B$11*'Transformaciones'!I121</x:f>
        <x:v>0</x:v>
      </x:c>
      <x:c r="I129" s="87" t="n">
        <x:f>$B$12*'Transformaciones'!K121</x:f>
        <x:v>0.0002260527142795273</x:v>
      </x:c>
      <x:c r="J129" s="87" t="n">
        <x:f>$B$13*'Transformaciones'!P122</x:f>
        <x:v>0</x:v>
      </x:c>
      <x:c r="K129" s="93" t="n">
        <x:f>SUM(C129:J129)</x:f>
        <x:v>0.048886738922126076</x:v>
      </x:c>
      <x:c r="L129" s="93" t="n">
        <x:f>B129-K129</x:f>
        <x:v>0.04886553045679915</x:v>
      </x:c>
      <x:c r="M129" s="79" t="n">
        <x:f>'Datos_fuente'!B122</x:f>
        <x:v>3012.587419</x:v>
      </x:c>
      <x:c r="N129" s="79" t="n">
        <x:f>EXP('Transformaciones'!B121+K129)</x:f>
        <x:v>2868.914647644297</x:v>
      </x:c>
      <x:c r="O129" s="1"/>
      <x:c r="P129" s="1"/>
      <x:c r="Q129" s="1"/>
      <x:c r="R129" s="1"/>
      <x:c r="S129" s="1"/>
      <x:c r="T129" s="1"/>
      <x:c r="U129" s="1"/>
      <x:c r="V129" s="1"/>
      <x:c r="W129" s="1"/>
      <x:c r="X129" s="1"/>
      <x:c r="Y129" s="1"/>
      <x:c r="Z129" s="1"/>
    </x:row>
    <x:row r="130">
      <x:c r="A130" s="1" t="str">
        <x:f>'Transformaciones'!A123</x:f>
        <x:v>2015-09</x:v>
      </x:c>
      <x:c r="B130" s="87" t="n">
        <x:f>'Transformaciones'!C123</x:f>
        <x:v>0.017707526852394295</x:v>
      </x:c>
      <x:c r="C130" s="87" t="n">
        <x:f>$B$6</x:f>
        <x:v>-0.00045209606279241735</x:v>
      </x:c>
      <x:c r="D130" s="87" t="n">
        <x:f>$B$7*'Transformaciones'!E123</x:f>
        <x:v>-0.0012170850207111428</x:v>
      </x:c>
      <x:c r="E130" s="87" t="n">
        <x:f>$B$8*'Transformaciones'!M123</x:f>
        <x:v>0.00962334818509773</x:v>
      </x:c>
      <x:c r="F130" s="87" t="n">
        <x:f>$B$9*'Transformaciones'!O123</x:f>
        <x:v>0.008763344043425934</x:v>
      </x:c>
      <x:c r="G130" s="87" t="n">
        <x:f>$B$10*'Transformaciones'!G122</x:f>
        <x:v>0.01070920905652365</x:v>
      </x:c>
      <x:c r="H130" s="87" t="n">
        <x:f>$B$11*'Transformaciones'!I122</x:f>
        <x:v>0.00009908850217863401</x:v>
      </x:c>
      <x:c r="I130" s="87" t="n">
        <x:f>$B$12*'Transformaciones'!K122</x:f>
        <x:v>-0.0007811799073175998</x:v>
      </x:c>
      <x:c r="J130" s="87" t="n">
        <x:f>$B$13*'Transformaciones'!P123</x:f>
        <x:v>0</x:v>
      </x:c>
      <x:c r="K130" s="93" t="n">
        <x:f>SUM(C130:J130)</x:f>
        <x:v>0.02674462879640479</x:v>
      </x:c>
      <x:c r="L130" s="93" t="n">
        <x:f>B130-K130</x:f>
        <x:v>-0.009037101944010494</x:v>
      </x:c>
      <x:c r="M130" s="79" t="n">
        <x:f>'Datos_fuente'!B123</x:f>
        <x:v>3066.408</x:v>
      </x:c>
      <x:c r="N130" s="79" t="n">
        <x:f>EXP('Transformaciones'!B122+K130)</x:f>
        <x:v>3094.245035308741</x:v>
      </x:c>
      <x:c r="O130" s="1"/>
      <x:c r="P130" s="1"/>
      <x:c r="Q130" s="1"/>
      <x:c r="R130" s="1"/>
      <x:c r="S130" s="1"/>
      <x:c r="T130" s="1"/>
      <x:c r="U130" s="1"/>
      <x:c r="V130" s="1"/>
      <x:c r="W130" s="1"/>
      <x:c r="X130" s="1"/>
      <x:c r="Y130" s="1"/>
      <x:c r="Z130" s="1"/>
    </x:row>
    <x:row r="131">
      <x:c r="A131" s="1" t="str">
        <x:f>'Transformaciones'!A124</x:f>
        <x:v>2015-10</x:v>
      </x:c>
      <x:c r="B131" s="87" t="n">
        <x:f>'Transformaciones'!C124</x:f>
        <x:v>-0.04568455392085813</x:v>
      </x:c>
      <x:c r="C131" s="87" t="n">
        <x:f>$B$6</x:f>
        <x:v>-0.00045209606279241735</x:v>
      </x:c>
      <x:c r="D131" s="87" t="n">
        <x:f>$B$7*'Transformaciones'!E124</x:f>
        <x:v>-0.0008684199146190749</x:v>
      </x:c>
      <x:c r="E131" s="87" t="n">
        <x:f>$B$8*'Transformaciones'!M124</x:f>
        <x:v>-0.010432066086441368</x:v>
      </x:c>
      <x:c r="F131" s="87" t="n">
        <x:f>$B$9*'Transformaciones'!O124</x:f>
        <x:v>-0.01440012848965214</x:v>
      </x:c>
      <x:c r="G131" s="87" t="n">
        <x:f>$B$10*'Transformaciones'!G123</x:f>
        <x:v>0.006033266998753524</x:v>
      </x:c>
      <x:c r="H131" s="87" t="n">
        <x:f>$B$11*'Transformaciones'!I123</x:f>
        <x:v>-0.00024772125544658506</x:v>
      </x:c>
      <x:c r="I131" s="87" t="n">
        <x:f>$B$12*'Transformaciones'!K123</x:f>
        <x:v>0.0009954208566005142</x:v>
      </x:c>
      <x:c r="J131" s="87" t="n">
        <x:f>$B$13*'Transformaciones'!P124</x:f>
        <x:v>0</x:v>
      </x:c>
      <x:c r="K131" s="93" t="n">
        <x:f>SUM(C131:J131)</x:f>
        <x:v>-0.01937174395359755</x:v>
      </x:c>
      <x:c r="L131" s="93" t="n">
        <x:f>B131-K131</x:f>
        <x:v>-0.02631280996726058</x:v>
      </x:c>
      <x:c r="M131" s="79" t="n">
        <x:f>'Datos_fuente'!B124</x:f>
        <x:v>2929.472258</x:v>
      </x:c>
      <x:c r="N131" s="79" t="n">
        <x:f>EXP('Transformaciones'!B123+K131)</x:f>
        <x:v>3007.5779890441186</x:v>
      </x:c>
      <x:c r="O131" s="1"/>
      <x:c r="P131" s="1"/>
      <x:c r="Q131" s="1"/>
      <x:c r="R131" s="1"/>
      <x:c r="S131" s="1"/>
      <x:c r="T131" s="1"/>
      <x:c r="U131" s="1"/>
      <x:c r="V131" s="1"/>
      <x:c r="W131" s="1"/>
      <x:c r="X131" s="1"/>
      <x:c r="Y131" s="1"/>
      <x:c r="Z131" s="1"/>
    </x:row>
    <x:row r="132">
      <x:c r="A132" s="1" t="str">
        <x:f>'Transformaciones'!A125</x:f>
        <x:v>2015-11</x:v>
      </x:c>
      <x:c r="B132" s="87" t="n">
        <x:f>'Transformaciones'!C125</x:f>
        <x:v>0.02424867104601791</x:v>
      </x:c>
      <x:c r="C132" s="87" t="n">
        <x:f>$B$6</x:f>
        <x:v>-0.00045209606279241735</x:v>
      </x:c>
      <x:c r="D132" s="87" t="n">
        <x:f>$B$7*'Transformaciones'!E125</x:f>
        <x:v>0.004645377635735252</x:v>
      </x:c>
      <x:c r="E132" s="87" t="n">
        <x:f>$B$8*'Transformaciones'!M125</x:f>
        <x:v>0.019608287659369488</x:v>
      </x:c>
      <x:c r="F132" s="87" t="n">
        <x:f>$B$9*'Transformaciones'!O125</x:f>
        <x:v>-0.0013565642745396107</x:v>
      </x:c>
      <x:c r="G132" s="87" t="n">
        <x:f>$B$10*'Transformaciones'!G124</x:f>
        <x:v>0.002157659492684101</x:v>
      </x:c>
      <x:c r="H132" s="87" t="n">
        <x:f>$B$11*'Transformaciones'!I124</x:f>
        <x:v>-0.002427668303376586</x:v>
      </x:c>
      <x:c r="I132" s="87" t="n">
        <x:f>$B$12*'Transformaciones'!K124</x:f>
        <x:v>0.00014941467048330828</x:v>
      </x:c>
      <x:c r="J132" s="87" t="n">
        <x:f>$B$13*'Transformaciones'!P125</x:f>
        <x:v>0</x:v>
      </x:c>
      <x:c r="K132" s="93" t="n">
        <x:f>SUM(C132:J132)</x:f>
        <x:v>0.022324410817563537</x:v>
      </x:c>
      <x:c r="L132" s="93" t="n">
        <x:f>B132-K132</x:f>
        <x:v>0.001924260228454374</x:v>
      </x:c>
      <x:c r="M132" s="79" t="n">
        <x:f>'Datos_fuente'!B125</x:f>
        <x:v>3001.376333</x:v>
      </x:c>
      <x:c r="N132" s="79" t="n">
        <x:f>EXP('Transformaciones'!B124+K132)</x:f>
        <x:v>2995.6064570435765</x:v>
      </x:c>
      <x:c r="O132" s="1"/>
      <x:c r="P132" s="1"/>
      <x:c r="Q132" s="1"/>
      <x:c r="R132" s="1"/>
      <x:c r="S132" s="1"/>
      <x:c r="T132" s="1"/>
      <x:c r="U132" s="1"/>
      <x:c r="V132" s="1"/>
      <x:c r="W132" s="1"/>
      <x:c r="X132" s="1"/>
      <x:c r="Y132" s="1"/>
      <x:c r="Z132" s="1"/>
    </x:row>
    <x:row r="133">
      <x:c r="A133" s="1" t="str">
        <x:f>'Transformaciones'!A126</x:f>
        <x:v>2015-12</x:v>
      </x:c>
      <x:c r="B133" s="87" t="n">
        <x:f>'Transformaciones'!C126</x:f>
        <x:v>0.07779832270026787</x:v>
      </x:c>
      <x:c r="C133" s="87" t="n">
        <x:f>$B$6</x:f>
        <x:v>-0.00045209606279241735</x:v>
      </x:c>
      <x:c r="D133" s="87" t="n">
        <x:f>$B$7*'Transformaciones'!E126</x:f>
        <x:v>0.00788430076733615</x:v>
      </x:c>
      <x:c r="E133" s="87" t="n">
        <x:f>$B$8*'Transformaciones'!M126</x:f>
        <x:v>0.011844412949475865</x:v>
      </x:c>
      <x:c r="F133" s="87" t="n">
        <x:f>$B$9*'Transformaciones'!O126</x:f>
        <x:v>0.004099520267057949</x:v>
      </x:c>
      <x:c r="G133" s="87" t="n">
        <x:f>$B$10*'Transformaciones'!G125</x:f>
        <x:v>0.004040035344034777</x:v>
      </x:c>
      <x:c r="H133" s="87" t="n">
        <x:f>$B$11*'Transformaciones'!I125</x:f>
        <x:v>-0.004706703853485221</x:v>
      </x:c>
      <x:c r="I133" s="87" t="n">
        <x:f>$B$12*'Transformaciones'!K125</x:f>
        <x:v>0.000775960193976301</x:v>
      </x:c>
      <x:c r="J133" s="87" t="n">
        <x:f>$B$13*'Transformaciones'!P126</x:f>
        <x:v>0</x:v>
      </x:c>
      <x:c r="K133" s="93" t="n">
        <x:f>SUM(C133:J133)</x:f>
        <x:v>0.023485429605603403</x:v>
      </x:c>
      <x:c r="L133" s="93" t="n">
        <x:f>B133-K133</x:f>
        <x:v>0.05431289309466447</x:v>
      </x:c>
      <x:c r="M133" s="79" t="n">
        <x:f>'Datos_fuente'!B126</x:f>
        <x:v>3244.201613</x:v>
      </x:c>
      <x:c r="N133" s="79" t="n">
        <x:f>EXP('Transformaciones'!B125+K133)</x:f>
        <x:v>3072.699191334647</x:v>
      </x:c>
      <x:c r="O133" s="1"/>
      <x:c r="P133" s="1"/>
      <x:c r="Q133" s="1"/>
      <x:c r="R133" s="1"/>
      <x:c r="S133" s="1"/>
      <x:c r="T133" s="1"/>
      <x:c r="U133" s="1"/>
      <x:c r="V133" s="1"/>
      <x:c r="W133" s="1"/>
      <x:c r="X133" s="1"/>
      <x:c r="Y133" s="1"/>
      <x:c r="Z133" s="1"/>
    </x:row>
    <x:row r="134">
      <x:c r="A134" s="1" t="str">
        <x:f>'Transformaciones'!A127</x:f>
        <x:v>2016-01</x:v>
      </x:c>
      <x:c r="B134" s="87" t="n">
        <x:f>'Transformaciones'!C127</x:f>
        <x:v>0.00798038156249703</x:v>
      </x:c>
      <x:c r="C134" s="87" t="n">
        <x:f>$B$6</x:f>
        <x:v>-0.00045209606279241735</x:v>
      </x:c>
      <x:c r="D134" s="87" t="n">
        <x:f>$B$7*'Transformaciones'!E127</x:f>
        <x:v>0.011035438566627772</x:v>
      </x:c>
      <x:c r="E134" s="87" t="n">
        <x:f>$B$8*'Transformaciones'!M127</x:f>
        <x:v>0.026096554117398866</x:v>
      </x:c>
      <x:c r="F134" s="87" t="n">
        <x:f>$B$9*'Transformaciones'!O127</x:f>
        <x:v>0.010598425942992254</x:v>
      </x:c>
      <x:c r="G134" s="87" t="n">
        <x:f>$B$10*'Transformaciones'!G126</x:f>
        <x:v>0.0027952449976137144</x:v>
      </x:c>
      <x:c r="H134" s="87" t="n">
        <x:f>$B$11*'Transformaciones'!I126</x:f>
        <x:v>-0.002414882686036921</x:v>
      </x:c>
      <x:c r="I134" s="87" t="n">
        <x:f>$B$12*'Transformaciones'!K126</x:f>
        <x:v>0.00014931262041967063</x:v>
      </x:c>
      <x:c r="J134" s="87" t="n">
        <x:f>$B$13*'Transformaciones'!P127</x:f>
        <x:v>0</x:v>
      </x:c>
      <x:c r="K134" s="93" t="n">
        <x:f>SUM(C134:J134)</x:f>
        <x:v>0.04780799749622294</x:v>
      </x:c>
      <x:c r="L134" s="93" t="n">
        <x:f>B134-K134</x:f>
        <x:v>-0.03982761593372591</x:v>
      </x:c>
      <x:c r="M134" s="79" t="n">
        <x:f>'Datos_fuente'!B127</x:f>
        <x:v>3270.195161</x:v>
      </x:c>
      <x:c r="N134" s="79" t="n">
        <x:f>EXP('Transformaciones'!B126+K134)</x:f>
        <x:v>3403.0676720713577</x:v>
      </x:c>
      <x:c r="O134" s="1"/>
      <x:c r="P134" s="1"/>
      <x:c r="Q134" s="1"/>
      <x:c r="R134" s="1"/>
      <x:c r="S134" s="1"/>
      <x:c r="T134" s="1"/>
      <x:c r="U134" s="1"/>
      <x:c r="V134" s="1"/>
      <x:c r="W134" s="1"/>
      <x:c r="X134" s="1"/>
      <x:c r="Y134" s="1"/>
      <x:c r="Z134" s="1"/>
    </x:row>
    <x:row r="135">
      <x:c r="A135" s="1" t="str">
        <x:f>'Transformaciones'!A128</x:f>
        <x:v>2016-02</x:v>
      </x:c>
      <x:c r="B135" s="87" t="n">
        <x:f>'Transformaciones'!C128</x:f>
        <x:v>0.025589257557919964</x:v>
      </x:c>
      <x:c r="C135" s="87" t="n">
        <x:f>$B$6</x:f>
        <x:v>-0.00045209606279241735</x:v>
      </x:c>
      <x:c r="D135" s="87" t="n">
        <x:f>$B$7*'Transformaciones'!E128</x:f>
        <x:v>-0.0024370522210126915</x:v>
      </x:c>
      <x:c r="E135" s="87" t="n">
        <x:f>$B$8*'Transformaciones'!M128</x:f>
        <x:v>-0.010086427080083423</x:v>
      </x:c>
      <x:c r="F135" s="87" t="n">
        <x:f>$B$9*'Transformaciones'!O128</x:f>
        <x:v>-0.002006545159375512</x:v>
      </x:c>
      <x:c r="G135" s="87" t="n">
        <x:f>$B$10*'Transformaciones'!G127</x:f>
        <x:v>0.0031779786191261806</x:v>
      </x:c>
      <x:c r="H135" s="87" t="n">
        <x:f>$B$11*'Transformaciones'!I127</x:f>
        <x:v>-0.0006073166304114782</x:v>
      </x:c>
      <x:c r="I135" s="87" t="n">
        <x:f>$B$12*'Transformaciones'!K127</x:f>
        <x:v>0.00042080574034850245</x:v>
      </x:c>
      <x:c r="J135" s="87" t="n">
        <x:f>$B$13*'Transformaciones'!P128</x:f>
        <x:v>0</x:v>
      </x:c>
      <x:c r="K135" s="93" t="n">
        <x:f>SUM(C135:J135)</x:f>
        <x:v>-0.01199065279420084</x:v>
      </x:c>
      <x:c r="L135" s="93" t="n">
        <x:f>B135-K135</x:f>
        <x:v>0.037579910352120806</x:v>
      </x:c>
      <x:c r="M135" s="79" t="n">
        <x:f>'Datos_fuente'!B128</x:f>
        <x:v>3354.956897</x:v>
      </x:c>
      <x:c r="N135" s="79" t="n">
        <x:f>EXP('Transformaciones'!B127+K135)</x:f>
        <x:v>3231.2175368362136</x:v>
      </x:c>
      <x:c r="O135" s="1"/>
      <x:c r="P135" s="1"/>
      <x:c r="Q135" s="1"/>
      <x:c r="R135" s="1"/>
      <x:c r="S135" s="1"/>
      <x:c r="T135" s="1"/>
      <x:c r="U135" s="1"/>
      <x:c r="V135" s="1"/>
      <x:c r="W135" s="1"/>
      <x:c r="X135" s="1"/>
      <x:c r="Y135" s="1"/>
      <x:c r="Z135" s="1"/>
    </x:row>
    <x:row r="136">
      <x:c r="A136" s="1" t="str">
        <x:f>'Transformaciones'!A129</x:f>
        <x:v>2016-03</x:v>
      </x:c>
      <x:c r="B136" s="87" t="n">
        <x:f>'Transformaciones'!C129</x:f>
        <x:v>-0.06979288399345585</x:v>
      </x:c>
      <x:c r="C136" s="87" t="n">
        <x:f>$B$6</x:f>
        <x:v>-0.00045209606279241735</x:v>
      </x:c>
      <x:c r="D136" s="87" t="n">
        <x:f>$B$7*'Transformaciones'!E129</x:f>
        <x:v>-0.008876463246202507</x:v>
      </x:c>
      <x:c r="E136" s="87" t="n">
        <x:f>$B$8*'Transformaciones'!M129</x:f>
        <x:v>-0.025661478360563688</x:v>
      </x:c>
      <x:c r="F136" s="87" t="n">
        <x:f>$B$9*'Transformaciones'!O129</x:f>
        <x:v>-0.013560924186381641</x:v>
      </x:c>
      <x:c r="G136" s="87" t="n">
        <x:f>$B$10*'Transformaciones'!G128</x:f>
        <x:v>0.004645893484009683</x:v>
      </x:c>
      <x:c r="H136" s="87" t="n">
        <x:f>$B$11*'Transformaciones'!I128</x:f>
        <x:v>-0.0027642275239018817</x:v>
      </x:c>
      <x:c r="I136" s="87" t="n">
        <x:f>$B$12*'Transformaciones'!K128</x:f>
        <x:v>0.0012989361866151063</x:v>
      </x:c>
      <x:c r="J136" s="87" t="n">
        <x:f>$B$13*'Transformaciones'!P129</x:f>
        <x:v>0</x:v>
      </x:c>
      <x:c r="K136" s="93" t="n">
        <x:f>SUM(C136:J136)</x:f>
        <x:v>-0.045370359709217344</x:v>
      </x:c>
      <x:c r="L136" s="93" t="n">
        <x:f>B136-K136</x:f>
        <x:v>-0.024422524284238502</x:v>
      </x:c>
      <x:c r="M136" s="79" t="n">
        <x:f>'Datos_fuente'!B129</x:f>
        <x:v>3128.789032</x:v>
      </x:c>
      <x:c r="N136" s="79" t="n">
        <x:f>EXP('Transformaciones'!B128+K136)</x:f>
        <x:v>3206.1426991982685</x:v>
      </x:c>
      <x:c r="O136" s="1"/>
      <x:c r="P136" s="1"/>
      <x:c r="Q136" s="1"/>
      <x:c r="R136" s="1"/>
      <x:c r="S136" s="1"/>
      <x:c r="T136" s="1"/>
      <x:c r="U136" s="1"/>
      <x:c r="V136" s="1"/>
      <x:c r="W136" s="1"/>
      <x:c r="X136" s="1"/>
      <x:c r="Y136" s="1"/>
      <x:c r="Z136" s="1"/>
    </x:row>
    <x:row r="137">
      <x:c r="A137" s="1" t="str">
        <x:f>'Transformaciones'!A130</x:f>
        <x:v>2016-04</x:v>
      </x:c>
      <x:c r="B137" s="87" t="n">
        <x:f>'Transformaciones'!C130</x:f>
        <x:v>-0.042791704128717356</x:v>
      </x:c>
      <x:c r="C137" s="87" t="n">
        <x:f>$B$6</x:f>
        <x:v>-0.00045209606279241735</x:v>
      </x:c>
      <x:c r="D137" s="87" t="n">
        <x:f>$B$7*'Transformaciones'!E130</x:f>
        <x:v>-0.00437266443309456</x:v>
      </x:c>
      <x:c r="E137" s="87" t="n">
        <x:f>$B$8*'Transformaciones'!M130</x:f>
        <x:v>-0.020547163696166947</x:v>
      </x:c>
      <x:c r="F137" s="87" t="n">
        <x:f>$B$9*'Transformaciones'!O130</x:f>
        <x:v>-0.00397064307695271</x:v>
      </x:c>
      <x:c r="G137" s="87" t="n">
        <x:f>$B$10*'Transformaciones'!G129</x:f>
        <x:v>-0.0010863354614334443</x:v>
      </x:c>
      <x:c r="H137" s="87" t="n">
        <x:f>$B$11*'Transformaciones'!I129</x:f>
        <x:v>-0.0027911214018171496</x:v>
      </x:c>
      <x:c r="I137" s="87" t="n">
        <x:f>$B$12*'Transformaciones'!K129</x:f>
        <x:v>-0.000694696076316883</x:v>
      </x:c>
      <x:c r="J137" s="87" t="n">
        <x:f>$B$13*'Transformaciones'!P130</x:f>
        <x:v>0</x:v>
      </x:c>
      <x:c r="K137" s="93" t="n">
        <x:f>SUM(C137:J137)</x:f>
        <x:v>-0.03391472020857412</x:v>
      </x:c>
      <x:c r="L137" s="93" t="n">
        <x:f>B137-K137</x:f>
        <x:v>-0.008876983920143237</x:v>
      </x:c>
      <x:c r="M137" s="79" t="n">
        <x:f>'Datos_fuente'!B130</x:f>
        <x:v>2997.727</x:v>
      </x:c>
      <x:c r="N137" s="79" t="n">
        <x:f>EXP('Transformaciones'!B129+K137)</x:f>
        <x:v>3024.456236352997</x:v>
      </x:c>
      <x:c r="O137" s="1"/>
      <x:c r="P137" s="1"/>
      <x:c r="Q137" s="1"/>
      <x:c r="R137" s="1"/>
      <x:c r="S137" s="1"/>
      <x:c r="T137" s="1"/>
      <x:c r="U137" s="1"/>
      <x:c r="V137" s="1"/>
      <x:c r="W137" s="1"/>
      <x:c r="X137" s="1"/>
      <x:c r="Y137" s="1"/>
      <x:c r="Z137" s="1"/>
    </x:row>
    <x:row r="138">
      <x:c r="A138" s="1" t="str">
        <x:f>'Transformaciones'!A131</x:f>
        <x:v>2016-05</x:v>
      </x:c>
      <x:c r="B138" s="87" t="n">
        <x:f>'Transformaciones'!C131</x:f>
        <x:v>-0.0014082617105479756</x:v>
      </x:c>
      <x:c r="C138" s="87" t="n">
        <x:f>$B$6</x:f>
        <x:v>-0.00045209606279241735</x:v>
      </x:c>
      <x:c r="D138" s="87" t="n">
        <x:f>$B$7*'Transformaciones'!E131</x:f>
        <x:v>-0.006045505733459541</x:v>
      </x:c>
      <x:c r="E138" s="87" t="n">
        <x:f>$B$8*'Transformaciones'!M131</x:f>
        <x:v>0.01234424634626368</x:v>
      </x:c>
      <x:c r="F138" s="87" t="n">
        <x:f>$B$9*'Transformaciones'!O131</x:f>
        <x:v>0.0014635872942730115</x:v>
      </x:c>
      <x:c r="G138" s="87" t="n">
        <x:f>$B$10*'Transformaciones'!G130</x:f>
        <x:v>0.002413133309366368</x:v>
      </x:c>
      <x:c r="H138" s="87" t="n">
        <x:f>$B$11*'Transformaciones'!I130</x:f>
        <x:v>-0.0015790232311427678</x:v>
      </x:c>
      <x:c r="I138" s="87" t="n">
        <x:f>$B$12*'Transformaciones'!K130</x:f>
        <x:v>0.0013574045448622098</x:v>
      </x:c>
      <x:c r="J138" s="87" t="n">
        <x:f>$B$13*'Transformaciones'!P131</x:f>
        <x:v>0</x:v>
      </x:c>
      <x:c r="K138" s="93" t="n">
        <x:f>SUM(C138:J138)</x:f>
        <x:v>0.009501746467370547</x:v>
      </x:c>
      <x:c r="L138" s="93" t="n">
        <x:f>B138-K138</x:f>
        <x:v>-0.010910008177918522</x:v>
      </x:c>
      <x:c r="M138" s="79" t="n">
        <x:f>'Datos_fuente'!B131</x:f>
        <x:v>2993.508387</x:v>
      </x:c>
      <x:c r="N138" s="79" t="n">
        <x:f>EXP('Transformaciones'!B130+K138)</x:f>
        <x:v>3026.3463937234837</x:v>
      </x:c>
      <x:c r="O138" s="1"/>
      <x:c r="P138" s="1"/>
      <x:c r="Q138" s="1"/>
      <x:c r="R138" s="1"/>
      <x:c r="S138" s="1"/>
      <x:c r="T138" s="1"/>
      <x:c r="U138" s="1"/>
      <x:c r="V138" s="1"/>
      <x:c r="W138" s="1"/>
      <x:c r="X138" s="1"/>
      <x:c r="Y138" s="1"/>
      <x:c r="Z138" s="1"/>
    </x:row>
    <x:row r="139">
      <x:c r="A139" s="1" t="str">
        <x:f>'Transformaciones'!A132</x:f>
        <x:v>2016-06</x:v>
      </x:c>
      <x:c r="B139" s="87" t="n">
        <x:f>'Transformaciones'!C132</x:f>
        <x:v>-0.00021706654359654465</x:v>
      </x:c>
      <x:c r="C139" s="87" t="n">
        <x:f>$B$6</x:f>
        <x:v>-0.00045209606279241735</x:v>
      </x:c>
      <x:c r="D139" s="87" t="n">
        <x:f>$B$7*'Transformaciones'!E132</x:f>
        <x:v>-0.0016380265787352265</x:v>
      </x:c>
      <x:c r="E139" s="87" t="n">
        <x:f>$B$8*'Transformaciones'!M132</x:f>
        <x:v>0.004573247412050128</x:v>
      </x:c>
      <x:c r="F139" s="87" t="n">
        <x:f>$B$9*'Transformaciones'!O132</x:f>
        <x:v>0.006934775943711865</x:v>
      </x:c>
      <x:c r="G139" s="87" t="n">
        <x:f>$B$10*'Transformaciones'!G131</x:f>
        <x:v>0.003601910489310206</x:v>
      </x:c>
      <x:c r="H139" s="87" t="n">
        <x:f>$B$11*'Transformaciones'!I131</x:f>
        <x:v>-0.00487451502780824</x:v>
      </x:c>
      <x:c r="I139" s="87" t="n">
        <x:f>$B$12*'Transformaciones'!K131</x:f>
        <x:v>0.0002878698996900399</x:v>
      </x:c>
      <x:c r="J139" s="87" t="n">
        <x:f>$B$13*'Transformaciones'!P132</x:f>
        <x:v>0</x:v>
      </x:c>
      <x:c r="K139" s="93" t="n">
        <x:f>SUM(C139:J139)</x:f>
        <x:v>0.008433166075426353</x:v>
      </x:c>
      <x:c r="L139" s="93" t="n">
        <x:f>B139-K139</x:f>
        <x:v>-0.008650232619022898</x:v>
      </x:c>
      <x:c r="M139" s="79" t="n">
        <x:f>'Datos_fuente'!B132</x:f>
        <x:v>2992.858667</x:v>
      </x:c>
      <x:c r="N139" s="79" t="n">
        <x:f>EXP('Transformaciones'!B131+K139)</x:f>
        <x:v>3018.859886833834</x:v>
      </x:c>
      <x:c r="O139" s="1"/>
      <x:c r="P139" s="1"/>
      <x:c r="Q139" s="1"/>
      <x:c r="R139" s="1"/>
      <x:c r="S139" s="1"/>
      <x:c r="T139" s="1"/>
      <x:c r="U139" s="1"/>
      <x:c r="V139" s="1"/>
      <x:c r="W139" s="1"/>
      <x:c r="X139" s="1"/>
      <x:c r="Y139" s="1"/>
      <x:c r="Z139" s="1"/>
    </x:row>
    <x:row r="140">
      <x:c r="A140" s="1" t="str">
        <x:f>'Transformaciones'!A133</x:f>
        <x:v>2016-07</x:v>
      </x:c>
      <x:c r="B140" s="87" t="n">
        <x:f>'Transformaciones'!C133</x:f>
        <x:v>-0.0107020665381663</x:v>
      </x:c>
      <x:c r="C140" s="87" t="n">
        <x:f>$B$6</x:f>
        <x:v>-0.00045209606279241735</x:v>
      </x:c>
      <x:c r="D140" s="87" t="n">
        <x:f>$B$7*'Transformaciones'!E133</x:f>
        <x:v>0.0036570303238735178</x:v>
      </x:c>
      <x:c r="E140" s="87" t="n">
        <x:f>$B$8*'Transformaciones'!M133</x:f>
        <x:v>0.009953583538934956</x:v>
      </x:c>
      <x:c r="F140" s="87" t="n">
        <x:f>$B$9*'Transformaciones'!O133</x:f>
        <x:v>-0.011612315770553463</x:v>
      </x:c>
      <x:c r="G140" s="87" t="n">
        <x:f>$B$10*'Transformaciones'!G132</x:f>
        <x:v>0.0003695493440397485</x:v>
      </x:c>
      <x:c r="H140" s="87" t="n">
        <x:f>$B$11*'Transformaciones'!I132</x:f>
        <x:v>-0.003118624151238024</x:v>
      </x:c>
      <x:c r="I140" s="87" t="n">
        <x:f>$B$12*'Transformaciones'!K132</x:f>
        <x:v>-0.00019437254737902067</x:v>
      </x:c>
      <x:c r="J140" s="87" t="n">
        <x:f>$B$13*'Transformaciones'!P133</x:f>
        <x:v>0</x:v>
      </x:c>
      <x:c r="K140" s="93" t="n">
        <x:f>SUM(C140:J140)</x:f>
        <x:v>-0.0013972453251147022</x:v>
      </x:c>
      <x:c r="L140" s="93" t="n">
        <x:f>B140-K140</x:f>
        <x:v>-0.009304821213051597</x:v>
      </x:c>
      <x:c r="M140" s="79" t="n">
        <x:f>'Datos_fuente'!B133</x:f>
        <x:v>2960.999677</x:v>
      </x:c>
      <x:c r="N140" s="79" t="n">
        <x:f>EXP('Transformaciones'!B132+K140)</x:f>
        <x:v>2988.679829329365</x:v>
      </x:c>
      <x:c r="O140" s="1"/>
      <x:c r="P140" s="1"/>
      <x:c r="Q140" s="1"/>
      <x:c r="R140" s="1"/>
      <x:c r="S140" s="1"/>
      <x:c r="T140" s="1"/>
      <x:c r="U140" s="1"/>
      <x:c r="V140" s="1"/>
      <x:c r="W140" s="1"/>
      <x:c r="X140" s="1"/>
      <x:c r="Y140" s="1"/>
      <x:c r="Z140" s="1"/>
    </x:row>
    <x:row r="141">
      <x:c r="A141" s="1" t="str">
        <x:f>'Transformaciones'!A134</x:f>
        <x:v>2016-08</x:v>
      </x:c>
      <x:c r="B141" s="87" t="n">
        <x:f>'Transformaciones'!C134</x:f>
        <x:v>-0.002784319734967511</x:v>
      </x:c>
      <x:c r="C141" s="87" t="n">
        <x:f>$B$6</x:f>
        <x:v>-0.00045209606279241735</x:v>
      </x:c>
      <x:c r="D141" s="87" t="n">
        <x:f>$B$7*'Transformaciones'!E134</x:f>
        <x:v>-0.0010147363425732623</x:v>
      </x:c>
      <x:c r="E141" s="87" t="n">
        <x:f>$B$8*'Transformaciones'!M134</x:f>
        <x:v>-0.011274945964396795</x:v>
      </x:c>
      <x:c r="F141" s="87" t="n">
        <x:f>$B$9*'Transformaciones'!O134</x:f>
        <x:v>-0.0022941423178995148</x:v>
      </x:c>
      <x:c r="G141" s="87" t="n">
        <x:f>$B$10*'Transformaciones'!G133</x:f>
        <x:v>-0.002998086327315355</x:v>
      </x:c>
      <x:c r="H141" s="87" t="n">
        <x:f>$B$11*'Transformaciones'!I133</x:f>
        <x:v>-0.0017175340344600803</x:v>
      </x:c>
      <x:c r="I141" s="87" t="n">
        <x:f>$B$12*'Transformaciones'!K133</x:f>
        <x:v>0.0016875556753179147</x:v>
      </x:c>
      <x:c r="J141" s="87" t="n">
        <x:f>$B$13*'Transformaciones'!P134</x:f>
        <x:v>0</x:v>
      </x:c>
      <x:c r="K141" s="93" t="n">
        <x:f>SUM(C141:J141)</x:f>
        <x:v>-0.01806398537411951</x:v>
      </x:c>
      <x:c r="L141" s="93" t="n">
        <x:f>B141-K141</x:f>
        <x:v>0.015279665639152</x:v>
      </x:c>
      <x:c r="M141" s="79" t="n">
        <x:f>'Datos_fuente'!B134</x:f>
        <x:v>2952.766774</x:v>
      </x:c>
      <x:c r="N141" s="79" t="n">
        <x:f>EXP('Transformaciones'!B133+K141)</x:f>
        <x:v>2907.9924246387136</x:v>
      </x:c>
      <x:c r="O141" s="1"/>
      <x:c r="P141" s="1"/>
      <x:c r="Q141" s="1"/>
      <x:c r="R141" s="1"/>
      <x:c r="S141" s="1"/>
      <x:c r="T141" s="1"/>
      <x:c r="U141" s="1"/>
      <x:c r="V141" s="1"/>
      <x:c r="W141" s="1"/>
      <x:c r="X141" s="1"/>
      <x:c r="Y141" s="1"/>
      <x:c r="Z141" s="1"/>
    </x:row>
    <x:row r="142">
      <x:c r="A142" s="1" t="str">
        <x:f>'Transformaciones'!A135</x:f>
        <x:v>2016-09</x:v>
      </x:c>
      <x:c r="B142" s="87" t="n">
        <x:f>'Transformaciones'!C135</x:f>
        <x:v>-0.009699339369037219</x:v>
      </x:c>
      <x:c r="C142" s="87" t="n">
        <x:f>$B$6</x:f>
        <x:v>-0.00045209606279241735</x:v>
      </x:c>
      <x:c r="D142" s="87" t="n">
        <x:f>$B$7*'Transformaciones'!E135</x:f>
        <x:v>-0.0008107566085688996</x:v>
      </x:c>
      <x:c r="E142" s="87" t="n">
        <x:f>$B$8*'Transformaciones'!M135</x:f>
        <x:v>0.009540706555753899</x:v>
      </x:c>
      <x:c r="F142" s="87" t="n">
        <x:f>$B$9*'Transformaciones'!O135</x:f>
        <x:v>0.005288866132827232</x:v>
      </x:c>
      <x:c r="G142" s="87" t="n">
        <x:f>$B$10*'Transformaciones'!G134</x:f>
        <x:v>-0.002509248867860941</x:v>
      </x:c>
      <x:c r="H142" s="87" t="n">
        <x:f>$B$11*'Transformaciones'!I134</x:f>
        <x:v>-0.0023781240522872606</x:v>
      </x:c>
      <x:c r="I142" s="87" t="n">
        <x:f>$B$12*'Transformaciones'!K134</x:f>
        <x:v>0.001199154909868118</x:v>
      </x:c>
      <x:c r="J142" s="87" t="n">
        <x:f>$B$13*'Transformaciones'!P135</x:f>
        <x:v>0</x:v>
      </x:c>
      <x:c r="K142" s="93" t="n">
        <x:f>SUM(C142:J142)</x:f>
        <x:v>0.009878502006939729</x:v>
      </x:c>
      <x:c r="L142" s="93" t="n">
        <x:f>B142-K142</x:f>
        <x:v>-0.01957784137597695</x:v>
      </x:c>
      <x:c r="M142" s="79" t="n">
        <x:f>'Datos_fuente'!B135</x:f>
        <x:v>2924.265333</x:v>
      </x:c>
      <x:c r="N142" s="79" t="n">
        <x:f>EXP('Transformaciones'!B134+K142)</x:f>
        <x:v>2982.080234664355</x:v>
      </x:c>
      <x:c r="O142" s="1"/>
      <x:c r="P142" s="1"/>
      <x:c r="Q142" s="1"/>
      <x:c r="R142" s="1"/>
      <x:c r="S142" s="1"/>
      <x:c r="T142" s="1"/>
      <x:c r="U142" s="1"/>
      <x:c r="V142" s="1"/>
      <x:c r="W142" s="1"/>
      <x:c r="X142" s="1"/>
      <x:c r="Y142" s="1"/>
      <x:c r="Z142" s="1"/>
    </x:row>
    <x:row r="143">
      <x:c r="A143" s="1" t="str">
        <x:f>'Transformaciones'!A136</x:f>
        <x:v>2016-10</x:v>
      </x:c>
      <x:c r="B143" s="87" t="n">
        <x:f>'Transformaciones'!C136</x:f>
        <x:v>0.0017504889324255757</x:v>
      </x:c>
      <x:c r="C143" s="87" t="n">
        <x:f>$B$6</x:f>
        <x:v>-0.00045209606279241735</x:v>
      </x:c>
      <x:c r="D143" s="87" t="n">
        <x:f>$B$7*'Transformaciones'!E136</x:f>
        <x:v>-0.0031799513136802847</x:v>
      </x:c>
      <x:c r="E143" s="87" t="n">
        <x:f>$B$8*'Transformaciones'!M136</x:f>
        <x:v>0.012461078021948839</x:v>
      </x:c>
      <x:c r="F143" s="87" t="n">
        <x:f>$B$9*'Transformaciones'!O136</x:f>
        <x:v>0.0009806570492919486</x:v>
      </x:c>
      <x:c r="G143" s="87" t="n">
        <x:f>$B$10*'Transformaciones'!G135</x:f>
        <x:v>-0.0019919781139147623</x:v>
      </x:c>
      <x:c r="H143" s="87" t="n">
        <x:f>$B$11*'Transformaciones'!I135</x:f>
        <x:v>0</x:v>
      </x:c>
      <x:c r="I143" s="87" t="n">
        <x:f>$B$12*'Transformaciones'!K135</x:f>
        <x:v>0.0006525933608585998</x:v>
      </x:c>
      <x:c r="J143" s="87" t="n">
        <x:f>$B$13*'Transformaciones'!P136</x:f>
        <x:v>0</x:v>
      </x:c>
      <x:c r="K143" s="93" t="n">
        <x:f>SUM(C143:J143)</x:f>
        <x:v>0.008470302941711923</x:v>
      </x:c>
      <x:c r="L143" s="93" t="n">
        <x:f>B143-K143</x:f>
        <x:v>-0.006719814009286347</x:v>
      </x:c>
      <x:c r="M143" s="79" t="n">
        <x:f>'Datos_fuente'!B136</x:f>
        <x:v>2929.38871</x:v>
      </x:c>
      <x:c r="N143" s="79" t="n">
        <x:f>EXP('Transformaciones'!B135+K143)</x:f>
        <x:v>2949.1399452821997</x:v>
      </x:c>
      <x:c r="O143" s="1"/>
      <x:c r="P143" s="1"/>
      <x:c r="Q143" s="1"/>
      <x:c r="R143" s="1"/>
      <x:c r="S143" s="1"/>
      <x:c r="T143" s="1"/>
      <x:c r="U143" s="1"/>
      <x:c r="V143" s="1"/>
      <x:c r="W143" s="1"/>
      <x:c r="X143" s="1"/>
      <x:c r="Y143" s="1"/>
      <x:c r="Z143" s="1"/>
    </x:row>
    <x:row r="144">
      <x:c r="A144" s="1" t="str">
        <x:f>'Transformaciones'!A137</x:f>
        <x:v>2016-11</x:v>
      </x:c>
      <x:c r="B144" s="87" t="n">
        <x:f>'Transformaciones'!C137</x:f>
        <x:v>0.05991212553819736</x:v>
      </x:c>
      <x:c r="C144" s="87" t="n">
        <x:f>$B$6</x:f>
        <x:v>-0.00045209606279241735</x:v>
      </x:c>
      <x:c r="D144" s="87" t="n">
        <x:f>$B$7*'Transformaciones'!E137</x:f>
        <x:v>0.005256527289368053</x:v>
      </x:c>
      <x:c r="E144" s="87" t="n">
        <x:f>$B$8*'Transformaciones'!M137</x:f>
        <x:v>0.027868623696338527</x:v>
      </x:c>
      <x:c r="F144" s="87" t="n">
        <x:f>$B$9*'Transformaciones'!O137</x:f>
        <x:v>0.0016861878011110362</x:v>
      </x:c>
      <x:c r="G144" s="87" t="n">
        <x:f>$B$10*'Transformaciones'!G136</x:f>
        <x:v>0.0017430312058915522</x:v>
      </x:c>
      <x:c r="H144" s="87" t="n">
        <x:f>$B$11*'Transformaciones'!I136</x:f>
        <x:v>0</x:v>
      </x:c>
      <x:c r="I144" s="87" t="n">
        <x:f>$B$12*'Transformaciones'!K136</x:f>
        <x:v>0.0004664776698404211</x:v>
      </x:c>
      <x:c r="J144" s="87" t="n">
        <x:f>$B$13*'Transformaciones'!P137</x:f>
        <x:v>0</x:v>
      </x:c>
      <x:c r="K144" s="93" t="n">
        <x:f>SUM(C144:J144)</x:f>
        <x:v>0.03656875159975717</x:v>
      </x:c>
      <x:c r="L144" s="93" t="n">
        <x:f>B144-K144</x:f>
        <x:v>0.023343373938440187</x:v>
      </x:c>
      <x:c r="M144" s="79" t="n">
        <x:f>'Datos_fuente'!B137</x:f>
        <x:v>3110.258667</x:v>
      </x:c>
      <x:c r="N144" s="79" t="n">
        <x:f>EXP('Transformaciones'!B136+K144)</x:f>
        <x:v>3038.495590743434</x:v>
      </x:c>
      <x:c r="O144" s="1"/>
      <x:c r="P144" s="1"/>
      <x:c r="Q144" s="1"/>
      <x:c r="R144" s="1"/>
      <x:c r="S144" s="1"/>
      <x:c r="T144" s="1"/>
      <x:c r="U144" s="1"/>
      <x:c r="V144" s="1"/>
      <x:c r="W144" s="1"/>
      <x:c r="X144" s="1"/>
      <x:c r="Y144" s="1"/>
      <x:c r="Z144" s="1"/>
    </x:row>
    <x:row r="145">
      <x:c r="A145" s="1" t="str">
        <x:f>'Transformaciones'!A138</x:f>
        <x:v>2016-12</x:v>
      </x:c>
      <x:c r="B145" s="87" t="n">
        <x:f>'Transformaciones'!C138</x:f>
        <x:v>-0.03281104324461559</x:v>
      </x:c>
      <x:c r="C145" s="87" t="n">
        <x:f>$B$6</x:f>
        <x:v>-0.00045209606279241735</x:v>
      </x:c>
      <x:c r="D145" s="87" t="n">
        <x:f>$B$7*'Transformaciones'!E138</x:f>
        <x:v>-0.009064753277286295</x:v>
      </x:c>
      <x:c r="E145" s="87" t="n">
        <x:f>$B$8*'Transformaciones'!M138</x:f>
        <x:v>0.018664105474094955</x:v>
      </x:c>
      <x:c r="F145" s="87" t="n">
        <x:f>$B$9*'Transformaciones'!O138</x:f>
        <x:v>-0.007729594169907678</x:v>
      </x:c>
      <x:c r="G145" s="87" t="n">
        <x:f>$B$10*'Transformaciones'!G137</x:f>
        <x:v>0.0040582321240464165</x:v>
      </x:c>
      <x:c r="H145" s="87" t="n">
        <x:f>$B$11*'Transformaciones'!I137</x:f>
        <x:v>0.00009908850217863401</x:v>
      </x:c>
      <x:c r="I145" s="87" t="n">
        <x:f>$B$12*'Transformaciones'!K137</x:f>
        <x:v>0.001036971312044766</x:v>
      </x:c>
      <x:c r="J145" s="87" t="n">
        <x:f>$B$13*'Transformaciones'!P138</x:f>
        <x:v>0</x:v>
      </x:c>
      <x:c r="K145" s="93" t="n">
        <x:f>SUM(C145:J145)</x:f>
        <x:v>0.006611953902378381</x:v>
      </x:c>
      <x:c r="L145" s="93" t="n">
        <x:f>B145-K145</x:f>
        <x:v>-0.039422997146993974</x:v>
      </x:c>
      <x:c r="M145" s="79" t="n">
        <x:f>'Datos_fuente'!B138</x:f>
        <x:v>3009.863871</x:v>
      </x:c>
      <x:c r="N145" s="79" t="n">
        <x:f>EXP('Transformaciones'!B137+K145)</x:f>
        <x:v>3130.8916910632856</x:v>
      </x:c>
      <x:c r="O145" s="1"/>
      <x:c r="P145" s="1"/>
      <x:c r="Q145" s="1"/>
      <x:c r="R145" s="1"/>
      <x:c r="S145" s="1"/>
      <x:c r="T145" s="1"/>
      <x:c r="U145" s="1"/>
      <x:c r="V145" s="1"/>
      <x:c r="W145" s="1"/>
      <x:c r="X145" s="1"/>
      <x:c r="Y145" s="1"/>
      <x:c r="Z145" s="1"/>
    </x:row>
    <x:row r="146">
      <x:c r="A146" s="1" t="str">
        <x:f>'Transformaciones'!A139</x:f>
        <x:v>2017-01</x:v>
      </x:c>
      <x:c r="B146" s="87" t="n">
        <x:f>'Transformaciones'!C139</x:f>
        <x:v>-0.023009412955964592</x:v>
      </x:c>
      <x:c r="C146" s="87" t="n">
        <x:f>$B$6</x:f>
        <x:v>-0.00045209606279241735</x:v>
      </x:c>
      <x:c r="D146" s="87" t="n">
        <x:f>$B$7*'Transformaciones'!E139</x:f>
        <x:v>-0.001215318872775008</x:v>
      </x:c>
      <x:c r="E146" s="87" t="n">
        <x:f>$B$8*'Transformaciones'!M139</x:f>
        <x:v>-0.0012274381352869474</x:v>
      </x:c>
      <x:c r="F146" s="87" t="n">
        <x:f>$B$9*'Transformaciones'!O139</x:f>
        <x:v>-0.0027719418349541323</x:v>
      </x:c>
      <x:c r="G146" s="87" t="n">
        <x:f>$B$10*'Transformaciones'!G138</x:f>
        <x:v>-0.001532827222037729</x:v>
      </x:c>
      <x:c r="H146" s="87" t="n">
        <x:f>$B$11*'Transformaciones'!I138</x:f>
        <x:v>0.00232698160274631</x:v>
      </x:c>
      <x:c r="I146" s="87" t="n">
        <x:f>$B$12*'Transformaciones'!K138</x:f>
        <x:v>-0.003083690733782961</x:v>
      </x:c>
      <x:c r="J146" s="87" t="n">
        <x:f>$B$13*'Transformaciones'!P139</x:f>
        <x:v>0</x:v>
      </x:c>
      <x:c r="K146" s="93" t="n">
        <x:f>SUM(C146:J146)</x:f>
        <x:v>-0.007956331258882886</x:v>
      </x:c>
      <x:c r="L146" s="93" t="n">
        <x:f>B146-K146</x:f>
        <x:v>-0.015053081697081706</x:v>
      </x:c>
      <x:c r="M146" s="79" t="n">
        <x:f>'Datos_fuente'!B139</x:f>
        <x:v>2941.399355</x:v>
      </x:c>
      <x:c r="N146" s="79" t="n">
        <x:f>EXP('Transformaciones'!B138+K146)</x:f>
        <x:v>2986.0114118592764</x:v>
      </x:c>
      <x:c r="O146" s="1"/>
      <x:c r="P146" s="1"/>
      <x:c r="Q146" s="1"/>
      <x:c r="R146" s="1"/>
      <x:c r="S146" s="1"/>
      <x:c r="T146" s="1"/>
      <x:c r="U146" s="1"/>
      <x:c r="V146" s="1"/>
      <x:c r="W146" s="1"/>
      <x:c r="X146" s="1"/>
      <x:c r="Y146" s="1"/>
      <x:c r="Z146" s="1"/>
    </x:row>
    <x:row r="147">
      <x:c r="A147" s="1" t="str">
        <x:f>'Transformaciones'!A140</x:f>
        <x:v>2017-02</x:v>
      </x:c>
      <x:c r="B147" s="87" t="n">
        <x:f>'Transformaciones'!C140</x:f>
        <x:v>-0.02124557789509396</x:v>
      </x:c>
      <x:c r="C147" s="87" t="n">
        <x:f>$B$6</x:f>
        <x:v>-0.00045209606279241735</x:v>
      </x:c>
      <x:c r="D147" s="87" t="n">
        <x:f>$B$7*'Transformaciones'!E140</x:f>
        <x:v>-0.0002766155736107399</x:v>
      </x:c>
      <x:c r="E147" s="87" t="n">
        <x:f>$B$8*'Transformaciones'!M140</x:f>
        <x:v>-0.017301948132831417</x:v>
      </x:c>
      <x:c r="F147" s="87" t="n">
        <x:f>$B$9*'Transformaciones'!O140</x:f>
        <x:v>-0.0002602679983321896</x:v>
      </x:c>
      <x:c r="G147" s="87" t="n">
        <x:f>$B$10*'Transformaciones'!G139</x:f>
        <x:v>0.001386550725646706</x:v>
      </x:c>
      <x:c r="H147" s="87" t="n">
        <x:f>$B$11*'Transformaciones'!I139</x:f>
        <x:v>0.0025283550040068625</x:v>
      </x:c>
      <x:c r="I147" s="87" t="n">
        <x:f>$B$12*'Transformaciones'!K139</x:f>
        <x:v>-0.00022206131834267377</x:v>
      </x:c>
      <x:c r="J147" s="87" t="n">
        <x:f>$B$13*'Transformaciones'!P140</x:f>
        <x:v>0</x:v>
      </x:c>
      <x:c r="K147" s="93" t="n">
        <x:f>SUM(C147:J147)</x:f>
        <x:v>-0.014598083356255868</x:v>
      </x:c>
      <x:c r="L147" s="93" t="n">
        <x:f>B147-K147</x:f>
        <x:v>-0.006647494538838091</x:v>
      </x:c>
      <x:c r="M147" s="79" t="n">
        <x:f>'Datos_fuente'!B140</x:f>
        <x:v>2879.566786</x:v>
      </x:c>
      <x:c r="N147" s="79" t="n">
        <x:f>EXP('Transformaciones'!B139+K147)</x:f>
        <x:v>2898.7724545490364</x:v>
      </x:c>
      <x:c r="O147" s="1"/>
      <x:c r="P147" s="1"/>
      <x:c r="Q147" s="1"/>
      <x:c r="R147" s="1"/>
      <x:c r="S147" s="1"/>
      <x:c r="T147" s="1"/>
      <x:c r="U147" s="1"/>
      <x:c r="V147" s="1"/>
      <x:c r="W147" s="1"/>
      <x:c r="X147" s="1"/>
      <x:c r="Y147" s="1"/>
      <x:c r="Z147" s="1"/>
    </x:row>
    <x:row r="148">
      <x:c r="A148" s="1" t="str">
        <x:f>'Transformaciones'!A141</x:f>
        <x:v>2017-03</x:v>
      </x:c>
      <x:c r="B148" s="87" t="n">
        <x:f>'Transformaciones'!C141</x:f>
        <x:v>0.021547012772646923</x:v>
      </x:c>
      <x:c r="C148" s="87" t="n">
        <x:f>$B$6</x:f>
        <x:v>-0.00045209606279241735</x:v>
      </x:c>
      <x:c r="D148" s="87" t="n">
        <x:f>$B$7*'Transformaciones'!E141</x:f>
        <x:v>0.00318665499672099</x:v>
      </x:c>
      <x:c r="E148" s="87" t="n">
        <x:f>$B$8*'Transformaciones'!M141</x:f>
        <x:v>-0.004870459362350668</x:v>
      </x:c>
      <x:c r="F148" s="87" t="n">
        <x:f>$B$9*'Transformaciones'!O141</x:f>
        <x:v>0.0012109624320376729</x:v>
      </x:c>
      <x:c r="G148" s="87" t="n">
        <x:f>$B$10*'Transformaciones'!G140</x:f>
        <x:v>-0.002991050862962257</x:v>
      </x:c>
      <x:c r="H148" s="87" t="n">
        <x:f>$B$11*'Transformaciones'!I140</x:f>
        <x:v>0.00027603225748460206</x:v>
      </x:c>
      <x:c r="I148" s="87" t="n">
        <x:f>$B$12*'Transformaciones'!K140</x:f>
        <x:v>0.00042032843906528357</x:v>
      </x:c>
      <x:c r="J148" s="87" t="n">
        <x:f>$B$13*'Transformaciones'!P141</x:f>
        <x:v>0</x:v>
      </x:c>
      <x:c r="K148" s="93" t="n">
        <x:f>SUM(C148:J148)</x:f>
        <x:v>-0.003219628162796794</x:v>
      </x:c>
      <x:c r="L148" s="93" t="n">
        <x:f>B148-K148</x:f>
        <x:v>0.024766640935443715</x:v>
      </x:c>
      <x:c r="M148" s="79" t="n">
        <x:f>'Datos_fuente'!B141</x:f>
        <x:v>2942.286129</x:v>
      </x:c>
      <x:c r="N148" s="79" t="n">
        <x:f>EXP('Transformaciones'!B140+K148)</x:f>
        <x:v>2870.3105604771654</x:v>
      </x:c>
      <x:c r="O148" s="1"/>
      <x:c r="P148" s="1"/>
      <x:c r="Q148" s="1"/>
      <x:c r="R148" s="1"/>
      <x:c r="S148" s="1"/>
      <x:c r="T148" s="1"/>
      <x:c r="U148" s="1"/>
      <x:c r="V148" s="1"/>
      <x:c r="W148" s="1"/>
      <x:c r="X148" s="1"/>
      <x:c r="Y148" s="1"/>
      <x:c r="Z148" s="1"/>
    </x:row>
    <x:row r="149">
      <x:c r="A149" s="1" t="str">
        <x:f>'Transformaciones'!A142</x:f>
        <x:v>2017-04</x:v>
      </x:c>
      <x:c r="B149" s="87" t="n">
        <x:f>'Transformaciones'!C142</x:f>
        <x:v>-0.022153231744213464</x:v>
      </x:c>
      <x:c r="C149" s="87" t="n">
        <x:f>$B$6</x:f>
        <x:v>-0.00045209606279241735</x:v>
      </x:c>
      <x:c r="D149" s="87" t="n">
        <x:f>$B$7*'Transformaciones'!E142</x:f>
        <x:v>-0.0007152303911694835</x:v>
      </x:c>
      <x:c r="E149" s="87" t="n">
        <x:f>$B$8*'Transformaciones'!M142</x:f>
        <x:v>-0.009344250683243764</x:v>
      </x:c>
      <x:c r="F149" s="87" t="n">
        <x:f>$B$9*'Transformaciones'!O142</x:f>
        <x:v>0.0038241115495974065</x:v>
      </x:c>
      <x:c r="G149" s="87" t="n">
        <x:f>$B$10*'Transformaciones'!G141</x:f>
        <x:v>0.003274895195108832</x:v>
      </x:c>
      <x:c r="H149" s="87" t="n">
        <x:f>$B$11*'Transformaciones'!I141</x:f>
        <x:v>0.003987969743008876</x:v>
      </x:c>
      <x:c r="I149" s="87" t="n">
        <x:f>$B$12*'Transformaciones'!K141</x:f>
        <x:v>0.0004689768064439274</x:v>
      </x:c>
      <x:c r="J149" s="87" t="n">
        <x:f>$B$13*'Transformaciones'!P142</x:f>
        <x:v>0</x:v>
      </x:c>
      <x:c r="K149" s="93" t="n">
        <x:f>SUM(C149:J149)</x:f>
        <x:v>0.0010443761569533772</x:v>
      </x:c>
      <x:c r="L149" s="93" t="n">
        <x:f>B149-K149</x:f>
        <x:v>-0.02319760790116684</x:v>
      </x:c>
      <x:c r="M149" s="79" t="n">
        <x:f>'Datos_fuente'!B142</x:f>
        <x:v>2877.821667</x:v>
      </x:c>
      <x:c r="N149" s="79" t="n">
        <x:f>EXP('Transformaciones'!B141+K149)</x:f>
        <x:v>2945.360587646266</x:v>
      </x:c>
      <x:c r="O149" s="1"/>
      <x:c r="P149" s="1"/>
      <x:c r="Q149" s="1"/>
      <x:c r="R149" s="1"/>
      <x:c r="S149" s="1"/>
      <x:c r="T149" s="1"/>
      <x:c r="U149" s="1"/>
      <x:c r="V149" s="1"/>
      <x:c r="W149" s="1"/>
      <x:c r="X149" s="1"/>
      <x:c r="Y149" s="1"/>
      <x:c r="Z149" s="1"/>
    </x:row>
    <x:row r="150">
      <x:c r="A150" s="1" t="str">
        <x:f>'Transformaciones'!A143</x:f>
        <x:v>2017-05</x:v>
      </x:c>
      <x:c r="B150" s="87" t="n">
        <x:f>'Transformaciones'!C143</x:f>
        <x:v>0.015786504674748514</x:v>
      </x:c>
      <x:c r="C150" s="87" t="n">
        <x:f>$B$6</x:f>
        <x:v>-0.00045209606279241735</x:v>
      </x:c>
      <x:c r="D150" s="87" t="n">
        <x:f>$B$7*'Transformaciones'!E143</x:f>
        <x:v>0.001996102433530947</x:v>
      </x:c>
      <x:c r="E150" s="87" t="n">
        <x:f>$B$8*'Transformaciones'!M143</x:f>
        <x:v>-0.005418243139996603</x:v>
      </x:c>
      <x:c r="F150" s="87" t="n">
        <x:f>$B$9*'Transformaciones'!O143</x:f>
        <x:v>-0.00734064267778326</x:v>
      </x:c>
      <x:c r="G150" s="87" t="n">
        <x:f>$B$10*'Transformaciones'!G142</x:f>
        <x:v>0.00009539223991201355</x:v>
      </x:c>
      <x:c r="H150" s="87" t="n">
        <x:f>$B$11*'Transformaciones'!I142</x:f>
        <x:v>0.003167635662904232</x:v>
      </x:c>
      <x:c r="I150" s="87" t="n">
        <x:f>$B$12*'Transformaciones'!K142</x:f>
        <x:v>-0.0009697230439170387</x:v>
      </x:c>
      <x:c r="J150" s="87" t="n">
        <x:f>$B$13*'Transformaciones'!P143</x:f>
        <x:v>0</x:v>
      </x:c>
      <x:c r="K150" s="93" t="n">
        <x:f>SUM(C150:J150)</x:f>
        <x:v>-0.008921574588142127</x:v>
      </x:c>
      <x:c r="L150" s="93" t="n">
        <x:f>B150-K150</x:f>
        <x:v>0.02470807926289064</x:v>
      </x:c>
      <x:c r="M150" s="79" t="n">
        <x:f>'Datos_fuente'!B143</x:f>
        <x:v>2923.612903</x:v>
      </x:c>
      <x:c r="N150" s="79" t="n">
        <x:f>EXP('Transformaciones'!B142+K150)</x:f>
        <x:v>2852.2611558891167</x:v>
      </x:c>
      <x:c r="O150" s="1"/>
      <x:c r="P150" s="1"/>
      <x:c r="Q150" s="1"/>
      <x:c r="R150" s="1"/>
      <x:c r="S150" s="1"/>
      <x:c r="T150" s="1"/>
      <x:c r="U150" s="1"/>
      <x:c r="V150" s="1"/>
      <x:c r="W150" s="1"/>
      <x:c r="X150" s="1"/>
      <x:c r="Y150" s="1"/>
      <x:c r="Z150" s="1"/>
    </x:row>
    <x:row r="151">
      <x:c r="A151" s="1" t="str">
        <x:f>'Transformaciones'!A144</x:f>
        <x:v>2017-06</x:v>
      </x:c>
      <x:c r="B151" s="87" t="n">
        <x:f>'Transformaciones'!C144</x:f>
        <x:v>0.011388347620424177</x:v>
      </x:c>
      <x:c r="C151" s="87" t="n">
        <x:f>$B$6</x:f>
        <x:v>-0.00045209606279241735</x:v>
      </x:c>
      <x:c r="D151" s="87" t="n">
        <x:f>$B$7*'Transformaciones'!E144</x:f>
        <x:v>0.004234565086319073</x:v>
      </x:c>
      <x:c r="E151" s="87" t="n">
        <x:f>$B$8*'Transformaciones'!M144</x:f>
        <x:v>-0.016044185892376137</x:v>
      </x:c>
      <x:c r="F151" s="87" t="n">
        <x:f>$B$9*'Transformaciones'!O144</x:f>
        <x:v>-0.0012598034323401002</x:v>
      </x:c>
      <x:c r="G151" s="87" t="n">
        <x:f>$B$10*'Transformaciones'!G143</x:f>
        <x:v>0.003305585529794612</x:v>
      </x:c>
      <x:c r="H151" s="87" t="n">
        <x:f>$B$11*'Transformaciones'!I143</x:f>
        <x:v>0.005053513611110441</x:v>
      </x:c>
      <x:c r="I151" s="87" t="n">
        <x:f>$B$12*'Transformaciones'!K143</x:f>
        <x:v>0.0001632358604143154</x:v>
      </x:c>
      <x:c r="J151" s="87" t="n">
        <x:f>$B$13*'Transformaciones'!P144</x:f>
        <x:v>0</x:v>
      </x:c>
      <x:c r="K151" s="93" t="n">
        <x:f>SUM(C151:J151)</x:f>
        <x:v>-0.0049991852998702135</x:v>
      </x:c>
      <x:c r="L151" s="93" t="n">
        <x:f>B151-K151</x:f>
        <x:v>0.016387532920294393</x:v>
      </x:c>
      <x:c r="M151" s="79" t="n">
        <x:f>'Datos_fuente'!B144</x:f>
        <x:v>2957.098333</x:v>
      </x:c>
      <x:c r="N151" s="79" t="n">
        <x:f>EXP('Transformaciones'!B143+K151)</x:f>
        <x:v>2909.0336928029064</x:v>
      </x:c>
      <x:c r="O151" s="1"/>
      <x:c r="P151" s="1"/>
      <x:c r="Q151" s="1"/>
      <x:c r="R151" s="1"/>
      <x:c r="S151" s="1"/>
      <x:c r="T151" s="1"/>
      <x:c r="U151" s="1"/>
      <x:c r="V151" s="1"/>
      <x:c r="W151" s="1"/>
      <x:c r="X151" s="1"/>
      <x:c r="Y151" s="1"/>
      <x:c r="Z151" s="1"/>
    </x:row>
    <x:row r="152">
      <x:c r="A152" s="1" t="str">
        <x:f>'Transformaciones'!A145</x:f>
        <x:v>2017-07</x:v>
      </x:c>
      <x:c r="B152" s="87" t="n">
        <x:f>'Transformaciones'!C145</x:f>
        <x:v>0.026524662289979517</x:v>
      </x:c>
      <x:c r="C152" s="87" t="n">
        <x:f>$B$6</x:f>
        <x:v>-0.00045209606279241735</x:v>
      </x:c>
      <x:c r="D152" s="87" t="n">
        <x:f>$B$7*'Transformaciones'!E145</x:f>
        <x:v>-0.0023007397590098827</x:v>
      </x:c>
      <x:c r="E152" s="87" t="n">
        <x:f>$B$8*'Transformaciones'!M145</x:f>
        <x:v>-0.018454326250496523</x:v>
      </x:c>
      <x:c r="F152" s="87" t="n">
        <x:f>$B$9*'Transformaciones'!O145</x:f>
        <x:v>-0.0009261205338309993</x:v>
      </x:c>
      <x:c r="G152" s="87" t="n">
        <x:f>$B$10*'Transformaciones'!G144</x:f>
        <x:v>0.004721122018760148</x:v>
      </x:c>
      <x:c r="H152" s="87" t="n">
        <x:f>$B$11*'Transformaciones'!I144</x:f>
        <x:v>0.003765363082788172</x:v>
      </x:c>
      <x:c r="I152" s="87" t="n">
        <x:f>$B$12*'Transformaciones'!K144</x:f>
        <x:v>0.0008801323515863044</x:v>
      </x:c>
      <x:c r="J152" s="87" t="n">
        <x:f>$B$13*'Transformaciones'!P145</x:f>
        <x:v>0</x:v>
      </x:c>
      <x:c r="K152" s="93" t="n">
        <x:f>SUM(C152:J152)</x:f>
        <x:v>-0.012766665152995196</x:v>
      </x:c>
      <x:c r="L152" s="93" t="n">
        <x:f>B152-K152</x:f>
        <x:v>0.03929132744297471</x:v>
      </x:c>
      <x:c r="M152" s="79" t="n">
        <x:f>'Datos_fuente'!B145</x:f>
        <x:v>3036.583871</x:v>
      </x:c>
      <x:c r="N152" s="79" t="n">
        <x:f>EXP('Transformaciones'!B144+K152)</x:f>
        <x:v>2919.58601188217</x:v>
      </x:c>
      <x:c r="O152" s="1"/>
      <x:c r="P152" s="1"/>
      <x:c r="Q152" s="1"/>
      <x:c r="R152" s="1"/>
      <x:c r="S152" s="1"/>
      <x:c r="T152" s="1"/>
      <x:c r="U152" s="1"/>
      <x:c r="V152" s="1"/>
      <x:c r="W152" s="1"/>
      <x:c r="X152" s="1"/>
      <x:c r="Y152" s="1"/>
      <x:c r="Z152" s="1"/>
    </x:row>
    <x:row r="153">
      <x:c r="A153" s="1" t="str">
        <x:f>'Transformaciones'!A146</x:f>
        <x:v>2017-08</x:v>
      </x:c>
      <x:c r="B153" s="87" t="n">
        <x:f>'Transformaciones'!C146</x:f>
        <x:v>-0.021092715512181393</x:v>
      </x:c>
      <x:c r="C153" s="87" t="n">
        <x:f>$B$6</x:f>
        <x:v>-0.00045209606279241735</x:v>
      </x:c>
      <x:c r="D153" s="87" t="n">
        <x:f>$B$7*'Transformaciones'!E146</x:f>
        <x:v>-0.0033300164018677156</x:v>
      </x:c>
      <x:c r="E153" s="87" t="n">
        <x:f>$B$8*'Transformaciones'!M146</x:f>
        <x:v>-0.012698668157455191</x:v>
      </x:c>
      <x:c r="F153" s="87" t="n">
        <x:f>$B$9*'Transformaciones'!O146</x:f>
        <x:v>0.005954238540263691</x:v>
      </x:c>
      <x:c r="G153" s="87" t="n">
        <x:f>$B$10*'Transformaciones'!G145</x:f>
        <x:v>0.005353820108318306</x:v>
      </x:c>
      <x:c r="H153" s="87" t="n">
        <x:f>$B$11*'Transformaciones'!I145</x:f>
        <x:v>0.005884578470649675</x:v>
      </x:c>
      <x:c r="I153" s="87" t="n">
        <x:f>$B$12*'Transformaciones'!K145</x:f>
        <x:v>-0.00003799080280358097</x:v>
      </x:c>
      <x:c r="J153" s="87" t="n">
        <x:f>$B$13*'Transformaciones'!P146</x:f>
        <x:v>0</x:v>
      </x:c>
      <x:c r="K153" s="93" t="n">
        <x:f>SUM(C153:J153)</x:f>
        <x:v>0.0006738656943127674</x:v>
      </x:c>
      <x:c r="L153" s="93" t="n">
        <x:f>B153-K153</x:f>
        <x:v>-0.02176658120649416</x:v>
      </x:c>
      <x:c r="M153" s="79" t="n">
        <x:f>'Datos_fuente'!B146</x:f>
        <x:v>2973.204839</x:v>
      </x:c>
      <x:c r="N153" s="79" t="n">
        <x:f>EXP('Transformaciones'!B145+K153)</x:f>
        <x:v>3038.630810302203</x:v>
      </x:c>
      <x:c r="O153" s="1"/>
      <x:c r="P153" s="1"/>
      <x:c r="Q153" s="1"/>
      <x:c r="R153" s="1"/>
      <x:c r="S153" s="1"/>
      <x:c r="T153" s="1"/>
      <x:c r="U153" s="1"/>
      <x:c r="V153" s="1"/>
      <x:c r="W153" s="1"/>
      <x:c r="X153" s="1"/>
      <x:c r="Y153" s="1"/>
      <x:c r="Z153" s="1"/>
    </x:row>
    <x:row r="154">
      <x:c r="A154" s="1" t="str">
        <x:f>'Transformaciones'!A147</x:f>
        <x:v>2017-09</x:v>
      </x:c>
      <x:c r="B154" s="87" t="n">
        <x:f>'Transformaciones'!C147</x:f>
        <x:v>-0.01905561141908052</x:v>
      </x:c>
      <x:c r="C154" s="87" t="n">
        <x:f>$B$6</x:f>
        <x:v>-0.00045209606279241735</x:v>
      </x:c>
      <x:c r="D154" s="87" t="n">
        <x:f>$B$7*'Transformaciones'!E147</x:f>
        <x:v>-0.004266457500032058</x:v>
      </x:c>
      <x:c r="E154" s="87" t="n">
        <x:f>$B$8*'Transformaciones'!M147</x:f>
        <x:v>-0.011681696267211307</x:v>
      </x:c>
      <x:c r="F154" s="87" t="n">
        <x:f>$B$9*'Transformaciones'!O147</x:f>
        <x:v>-0.005306942380488582</x:v>
      </x:c>
      <x:c r="G154" s="87" t="n">
        <x:f>$B$10*'Transformaciones'!G146</x:f>
        <x:v>0.002424074928368454</x:v>
      </x:c>
      <x:c r="H154" s="87" t="n">
        <x:f>$B$11*'Transformaciones'!I146</x:f>
        <x:v>0.002736121218891669</x:v>
      </x:c>
      <x:c r="I154" s="87" t="n">
        <x:f>$B$12*'Transformaciones'!K146</x:f>
        <x:v>-0.0024237701084253043</x:v>
      </x:c>
      <x:c r="J154" s="87" t="n">
        <x:f>$B$13*'Transformaciones'!P147</x:f>
        <x:v>0</x:v>
      </x:c>
      <x:c r="K154" s="93" t="n">
        <x:f>SUM(C154:J154)</x:f>
        <x:v>-0.018970766171689545</x:v>
      </x:c>
      <x:c r="L154" s="93" t="n">
        <x:f>B154-K154</x:f>
        <x:v>-0.00008484524739097582</x:v>
      </x:c>
      <x:c r="M154" s="79" t="n">
        <x:f>'Datos_fuente'!B147</x:f>
        <x:v>2917.085</x:v>
      </x:c>
      <x:c r="N154" s="79" t="n">
        <x:f>EXP('Transformaciones'!B146+K154)</x:f>
        <x:v>2917.3325112984166</x:v>
      </x:c>
      <x:c r="O154" s="1"/>
      <x:c r="P154" s="1"/>
      <x:c r="Q154" s="1"/>
      <x:c r="R154" s="1"/>
      <x:c r="S154" s="1"/>
      <x:c r="T154" s="1"/>
      <x:c r="U154" s="1"/>
      <x:c r="V154" s="1"/>
      <x:c r="W154" s="1"/>
      <x:c r="X154" s="1"/>
      <x:c r="Y154" s="1"/>
      <x:c r="Z154" s="1"/>
    </x:row>
    <x:row r="155">
      <x:c r="A155" s="1" t="str">
        <x:f>'Transformaciones'!A148</x:f>
        <x:v>2017-10</x:v>
      </x:c>
      <x:c r="B155" s="87" t="n">
        <x:f>'Transformaciones'!C148</x:f>
        <x:v>0.012492685166002993</x:v>
      </x:c>
      <x:c r="C155" s="87" t="n">
        <x:f>$B$6</x:f>
        <x:v>-0.00045209606279241735</x:v>
      </x:c>
      <x:c r="D155" s="87" t="n">
        <x:f>$B$7*'Transformaciones'!E148</x:f>
        <x:v>-0.0012324349196325636</x:v>
      </x:c>
      <x:c r="E155" s="87" t="n">
        <x:f>$B$8*'Transformaciones'!M148</x:f>
        <x:v>0.02250400468332292</x:v>
      </x:c>
      <x:c r="F155" s="87" t="n">
        <x:f>$B$9*'Transformaciones'!O148</x:f>
        <x:v>-0.0011739962990352372</x:v>
      </x:c>
      <x:c r="G155" s="87" t="n">
        <x:f>$B$10*'Transformaciones'!G147</x:f>
        <x:v>0.0021551864040614634</x:v>
      </x:c>
      <x:c r="H155" s="87" t="n">
        <x:f>$B$11*'Transformaciones'!I147</x:f>
        <x:v>0.0023781240522872693</x:v>
      </x:c>
      <x:c r="I155" s="87" t="n">
        <x:f>$B$12*'Transformaciones'!K147</x:f>
        <x:v>-0.0009804614508249945</x:v>
      </x:c>
      <x:c r="J155" s="87" t="n">
        <x:f>$B$13*'Transformaciones'!P148</x:f>
        <x:v>0</x:v>
      </x:c>
      <x:c r="K155" s="93" t="n">
        <x:f>SUM(C155:J155)</x:f>
        <x:v>0.023198326407386442</x:v>
      </x:c>
      <x:c r="L155" s="93" t="n">
        <x:f>B155-K155</x:f>
        <x:v>-0.01070564124138345</x:v>
      </x:c>
      <x:c r="M155" s="79" t="n">
        <x:f>'Datos_fuente'!B148</x:f>
        <x:v>2953.755806</x:v>
      </x:c>
      <x:c r="N155" s="79" t="n">
        <x:f>EXP('Transformaciones'!B147+K155)</x:f>
        <x:v>2985.547527718416</x:v>
      </x:c>
      <x:c r="O155" s="1"/>
      <x:c r="P155" s="1"/>
      <x:c r="Q155" s="1"/>
      <x:c r="R155" s="1"/>
      <x:c r="S155" s="1"/>
      <x:c r="T155" s="1"/>
      <x:c r="U155" s="1"/>
      <x:c r="V155" s="1"/>
      <x:c r="W155" s="1"/>
      <x:c r="X155" s="1"/>
      <x:c r="Y155" s="1"/>
      <x:c r="Z155" s="1"/>
    </x:row>
    <x:row r="156">
      <x:c r="A156" s="1" t="str">
        <x:f>'Transformaciones'!A149</x:f>
        <x:v>2017-11</x:v>
      </x:c>
      <x:c r="B156" s="87" t="n">
        <x:f>'Transformaciones'!C149</x:f>
        <x:v>0.020013617501344783</x:v>
      </x:c>
      <x:c r="C156" s="87" t="n">
        <x:f>$B$6</x:f>
        <x:v>-0.00045209606279241735</x:v>
      </x:c>
      <x:c r="D156" s="87" t="n">
        <x:f>$B$7*'Transformaciones'!E149</x:f>
        <x:v>-0.004480005681183605</x:v>
      </x:c>
      <x:c r="E156" s="87" t="n">
        <x:f>$B$8*'Transformaciones'!M149</x:f>
        <x:v>0.0030023462131556927</x:v>
      </x:c>
      <x:c r="F156" s="87" t="n">
        <x:f>$B$9*'Transformaciones'!O149</x:f>
        <x:v>0.0015512805373209424</x:v>
      </x:c>
      <x:c r="G156" s="87" t="n">
        <x:f>$B$10*'Transformaciones'!G148</x:f>
        <x:v>0.004937392240143486</x:v>
      </x:c>
      <x:c r="H156" s="87" t="n">
        <x:f>$B$11*'Transformaciones'!I148</x:f>
        <x:v>0.00015982016224712302</x:v>
      </x:c>
      <x:c r="I156" s="87" t="n">
        <x:f>$B$12*'Transformaciones'!K148</x:f>
        <x:v>-0.0008650454749601781</x:v>
      </x:c>
      <x:c r="J156" s="87" t="n">
        <x:f>$B$13*'Transformaciones'!P149</x:f>
        <x:v>0</x:v>
      </x:c>
      <x:c r="K156" s="93" t="n">
        <x:f>SUM(C156:J156)</x:f>
        <x:v>0.0038536919339310447</x:v>
      </x:c>
      <x:c r="L156" s="93" t="n">
        <x:f>B156-K156</x:f>
        <x:v>0.01615992556741374</x:v>
      </x:c>
      <x:c r="M156" s="79" t="n">
        <x:f>'Datos_fuente'!B149</x:f>
        <x:v>3013.466667</x:v>
      </x:c>
      <x:c r="N156" s="79" t="n">
        <x:f>EXP('Transformaciones'!B148+K156)</x:f>
        <x:v>2965.160632153297</x:v>
      </x:c>
      <x:c r="O156" s="1"/>
      <x:c r="P156" s="1"/>
      <x:c r="Q156" s="1"/>
      <x:c r="R156" s="1"/>
      <x:c r="S156" s="1"/>
      <x:c r="T156" s="1"/>
      <x:c r="U156" s="1"/>
      <x:c r="V156" s="1"/>
      <x:c r="W156" s="1"/>
      <x:c r="X156" s="1"/>
      <x:c r="Y156" s="1"/>
      <x:c r="Z156" s="1"/>
    </x:row>
    <x:row r="157">
      <x:c r="A157" s="1" t="str">
        <x:f>'Transformaciones'!A150</x:f>
        <x:v>2017-12</x:v>
      </x:c>
      <x:c r="B157" s="87" t="n">
        <x:f>'Transformaciones'!C150</x:f>
        <x:v>-0.007228642887845638</x:v>
      </x:c>
      <x:c r="C157" s="87" t="n">
        <x:f>$B$6</x:f>
        <x:v>-0.00045209606279241735</x:v>
      </x:c>
      <x:c r="D157" s="87" t="n">
        <x:f>$B$7*'Transformaciones'!E150</x:f>
        <x:v>-0.0013501381980422205</x:v>
      </x:c>
      <x:c r="E157" s="87" t="n">
        <x:f>$B$8*'Transformaciones'!M150</x:f>
        <x:v>-0.0031488094149030497</x:v>
      </x:c>
      <x:c r="F157" s="87" t="n">
        <x:f>$B$9*'Transformaciones'!O150</x:f>
        <x:v>-0.0010245803980608148</x:v>
      </x:c>
      <x:c r="G157" s="87" t="n">
        <x:f>$B$10*'Transformaciones'!G149</x:f>
        <x:v>0.0023124664758305846</x:v>
      </x:c>
      <x:c r="H157" s="87" t="n">
        <x:f>$B$11*'Transformaciones'!I149</x:f>
        <x:v>0.002746775898356583</x:v>
      </x:c>
      <x:c r="I157" s="87" t="n">
        <x:f>$B$12*'Transformaciones'!K149</x:f>
        <x:v>0.0007865972328522604</x:v>
      </x:c>
      <x:c r="J157" s="87" t="n">
        <x:f>$B$13*'Transformaciones'!P150</x:f>
        <x:v>0</x:v>
      </x:c>
      <x:c r="K157" s="93" t="n">
        <x:f>SUM(C157:J157)</x:f>
        <x:v>-0.00012978446675907462</x:v>
      </x:c>
      <x:c r="L157" s="93" t="n">
        <x:f>B157-K157</x:f>
        <x:v>-0.007098858421086563</x:v>
      </x:c>
      <x:c r="M157" s="79" t="n">
        <x:f>'Datos_fuente'!B150</x:f>
        <x:v>2991.761935</x:v>
      </x:c>
      <x:c r="N157" s="79" t="n">
        <x:f>EXP('Transformaciones'!B149+K157)</x:f>
        <x:v>3013.0755912138543</x:v>
      </x:c>
      <x:c r="O157" s="1"/>
      <x:c r="P157" s="1"/>
      <x:c r="Q157" s="1"/>
      <x:c r="R157" s="1"/>
      <x:c r="S157" s="1"/>
      <x:c r="T157" s="1"/>
      <x:c r="U157" s="1"/>
      <x:c r="V157" s="1"/>
      <x:c r="W157" s="1"/>
      <x:c r="X157" s="1"/>
      <x:c r="Y157" s="1"/>
      <x:c r="Z157" s="1"/>
    </x:row>
    <x:row r="158">
      <x:c r="A158" s="1" t="str">
        <x:f>'Transformaciones'!A151</x:f>
        <x:v>2018-01</x:v>
      </x:c>
      <x:c r="B158" s="87" t="n">
        <x:f>'Transformaciones'!C151</x:f>
        <x:v>-0.04204805485584995</x:v>
      </x:c>
      <x:c r="C158" s="87" t="n">
        <x:f>$B$6</x:f>
        <x:v>-0.00045209606279241735</x:v>
      </x:c>
      <x:c r="D158" s="87" t="n">
        <x:f>$B$7*'Transformaciones'!E151</x:f>
        <x:v>-0.0036453833280010598</x:v>
      </x:c>
      <x:c r="E158" s="87" t="n">
        <x:f>$B$8*'Transformaciones'!M151</x:f>
        <x:v>-0.027922965984955788</x:v>
      </x:c>
      <x:c r="F158" s="87" t="n">
        <x:f>$B$9*'Transformaciones'!O151</x:f>
        <x:v>0.0028908773889650004</x:v>
      </x:c>
      <x:c r="G158" s="87" t="n">
        <x:f>$B$10*'Transformaciones'!G150</x:f>
        <x:v>0.003662697478147822</x:v>
      </x:c>
      <x:c r="H158" s="87" t="n">
        <x:f>$B$11*'Transformaciones'!I150</x:f>
        <x:v>0.003534156581007637</x:v>
      </x:c>
      <x:c r="I158" s="87" t="n">
        <x:f>$B$12*'Transformaciones'!K150</x:f>
        <x:v>0.00110012416146023</x:v>
      </x:c>
      <x:c r="J158" s="87" t="n">
        <x:f>$B$13*'Transformaciones'!P151</x:f>
        <x:v>0</x:v>
      </x:c>
      <x:c r="K158" s="93" t="n">
        <x:f>SUM(C158:J158)</x:f>
        <x:v>-0.020832589766168575</x:v>
      </x:c>
      <x:c r="L158" s="93" t="n">
        <x:f>B158-K158</x:f>
        <x:v>-0.021215465089681373</x:v>
      </x:c>
      <x:c r="M158" s="79" t="n">
        <x:f>'Datos_fuente'!B151</x:f>
        <x:v>2868.572258</x:v>
      </x:c>
      <x:c r="N158" s="79" t="n">
        <x:f>EXP('Transformaciones'!B150+K158)</x:f>
        <x:v>2930.0805086349155</x:v>
      </x:c>
      <x:c r="O158" s="1"/>
      <x:c r="P158" s="1"/>
      <x:c r="Q158" s="1"/>
      <x:c r="R158" s="1"/>
      <x:c r="S158" s="1"/>
      <x:c r="T158" s="1"/>
      <x:c r="U158" s="1"/>
      <x:c r="V158" s="1"/>
      <x:c r="W158" s="1"/>
      <x:c r="X158" s="1"/>
      <x:c r="Y158" s="1"/>
      <x:c r="Z158" s="1"/>
    </x:row>
    <x:row r="159">
      <x:c r="A159" s="1" t="str">
        <x:f>'Transformaciones'!A152</x:f>
        <x:v>2018-02</x:v>
      </x:c>
      <x:c r="B159" s="87" t="n">
        <x:f>'Transformaciones'!C152</x:f>
        <x:v>-0.002904402449447119</x:v>
      </x:c>
      <x:c r="C159" s="87" t="n">
        <x:f>$B$6</x:f>
        <x:v>-0.00045209606279241735</x:v>
      </x:c>
      <x:c r="D159" s="87" t="n">
        <x:f>$B$7*'Transformaciones'!E152</x:f>
        <x:v>0.0028929983947731603</x:v>
      </x:c>
      <x:c r="E159" s="87" t="n">
        <x:f>$B$8*'Transformaciones'!M152</x:f>
        <x:v>-0.007950075475419562</x:v>
      </x:c>
      <x:c r="F159" s="87" t="n">
        <x:f>$B$9*'Transformaciones'!O152</x:f>
        <x:v>0.02735663252475947</x:v>
      </x:c>
      <x:c r="G159" s="87" t="n">
        <x:f>$B$10*'Transformaciones'!G151</x:f>
        <x:v>0.004269718474700586</x:v>
      </x:c>
      <x:c r="H159" s="87" t="n">
        <x:f>$B$11*'Transformaciones'!I151</x:f>
        <x:v>0.001249793686212128</x:v>
      </x:c>
      <x:c r="I159" s="87" t="n">
        <x:f>$B$12*'Transformaciones'!K151</x:f>
        <x:v>-0.003449238749623743</x:v>
      </x:c>
      <x:c r="J159" s="87" t="n">
        <x:f>$B$13*'Transformaciones'!P152</x:f>
        <x:v>0</x:v>
      </x:c>
      <x:c r="K159" s="93" t="n">
        <x:f>SUM(C159:J159)</x:f>
        <x:v>0.023917732792609624</x:v>
      </x:c>
      <x:c r="L159" s="93" t="n">
        <x:f>B159-K159</x:f>
        <x:v>-0.026822135242056743</x:v>
      </x:c>
      <x:c r="M159" s="79" t="n">
        <x:f>'Datos_fuente'!B152</x:f>
        <x:v>2860.252857</x:v>
      </x:c>
      <x:c r="N159" s="79" t="n">
        <x:f>EXP('Transformaciones'!B151+K159)</x:f>
        <x:v>2938.0090782945413</x:v>
      </x:c>
      <x:c r="O159" s="1"/>
      <x:c r="P159" s="1"/>
      <x:c r="Q159" s="1"/>
      <x:c r="R159" s="1"/>
      <x:c r="S159" s="1"/>
      <x:c r="T159" s="1"/>
      <x:c r="U159" s="1"/>
      <x:c r="V159" s="1"/>
      <x:c r="W159" s="1"/>
      <x:c r="X159" s="1"/>
      <x:c r="Y159" s="1"/>
      <x:c r="Z159" s="1"/>
    </x:row>
    <x:row r="160">
      <x:c r="A160" s="1" t="str">
        <x:f>'Transformaciones'!A153</x:f>
        <x:v>2018-03</x:v>
      </x:c>
      <x:c r="B160" s="87" t="n">
        <x:f>'Transformaciones'!C153</x:f>
        <x:v>-0.00431739138590892</x:v>
      </x:c>
      <x:c r="C160" s="87" t="n">
        <x:f>$B$6</x:f>
        <x:v>-0.00045209606279241735</x:v>
      </x:c>
      <x:c r="D160" s="87" t="n">
        <x:f>$B$7*'Transformaciones'!E153</x:f>
        <x:v>-0.000550380117837295</x:v>
      </x:c>
      <x:c r="E160" s="87" t="n">
        <x:f>$B$8*'Transformaciones'!M153</x:f>
        <x:v>0.0033484546219247134</x:v>
      </x:c>
      <x:c r="F160" s="87" t="n">
        <x:f>$B$9*'Transformaciones'!O153</x:f>
        <x:v>-0.006420401758074313</x:v>
      </x:c>
      <x:c r="G160" s="87" t="n">
        <x:f>$B$10*'Transformaciones'!G152</x:f>
        <x:v>0.003557213511406962</x:v>
      </x:c>
      <x:c r="H160" s="87" t="n">
        <x:f>$B$11*'Transformaciones'!I152</x:f>
        <x:v>0.00241648089439741</x:v>
      </x:c>
      <x:c r="I160" s="87" t="n">
        <x:f>$B$12*'Transformaciones'!K152</x:f>
        <x:v>-0.0001696876552840568</x:v>
      </x:c>
      <x:c r="J160" s="87" t="n">
        <x:f>$B$13*'Transformaciones'!P153</x:f>
        <x:v>0</x:v>
      </x:c>
      <x:c r="K160" s="93" t="n">
        <x:f>SUM(C160:J160)</x:f>
        <x:v>0.0017295834337410032</x:v>
      </x:c>
      <x:c r="L160" s="93" t="n">
        <x:f>B160-K160</x:f>
        <x:v>-0.006046974819649923</x:v>
      </x:c>
      <x:c r="M160" s="79" t="n">
        <x:f>'Datos_fuente'!B153</x:f>
        <x:v>2847.930645</x:v>
      </x:c>
      <x:c r="N160" s="79" t="n">
        <x:f>EXP('Transformaciones'!B152+K160)</x:f>
        <x:v>2865.2041835896925</x:v>
      </x:c>
      <x:c r="O160" s="1"/>
      <x:c r="P160" s="1"/>
      <x:c r="Q160" s="1"/>
      <x:c r="R160" s="1"/>
      <x:c r="S160" s="1"/>
      <x:c r="T160" s="1"/>
      <x:c r="U160" s="1"/>
      <x:c r="V160" s="1"/>
      <x:c r="W160" s="1"/>
      <x:c r="X160" s="1"/>
      <x:c r="Y160" s="1"/>
      <x:c r="Z160" s="1"/>
    </x:row>
    <x:row r="161">
      <x:c r="A161" s="1" t="str">
        <x:f>'Transformaciones'!A154</x:f>
        <x:v>2018-04</x:v>
      </x:c>
      <x:c r="B161" s="87" t="n">
        <x:f>'Transformaciones'!C154</x:f>
        <x:v>-0.029087376265255926</x:v>
      </x:c>
      <x:c r="C161" s="87" t="n">
        <x:f>$B$6</x:f>
        <x:v>-0.00045209606279241735</x:v>
      </x:c>
      <x:c r="D161" s="87" t="n">
        <x:f>$B$7*'Transformaciones'!E154</x:f>
        <x:v>-0.0045608106012919244</x:v>
      </x:c>
      <x:c r="E161" s="87" t="n">
        <x:f>$B$8*'Transformaciones'!M154</x:f>
        <x:v>-0.00004297387320468121</x:v>
      </x:c>
      <x:c r="F161" s="87" t="n">
        <x:f>$B$9*'Transformaciones'!O154</x:f>
        <x:v>-0.001566382752905219</x:v>
      </x:c>
      <x:c r="G161" s="87" t="n">
        <x:f>$B$10*'Transformaciones'!G153</x:f>
        <x:v>0.0009068972136456535</x:v>
      </x:c>
      <x:c r="H161" s="87" t="n">
        <x:f>$B$11*'Transformaciones'!I153</x:f>
        <x:v>0.0008917965196077237</x:v>
      </x:c>
      <x:c r="I161" s="87" t="n">
        <x:f>$B$12*'Transformaciones'!K153</x:f>
        <x:v>0.00012186646710445807</x:v>
      </x:c>
      <x:c r="J161" s="87" t="n">
        <x:f>$B$13*'Transformaciones'!P154</x:f>
        <x:v>0</x:v>
      </x:c>
      <x:c r="K161" s="93" t="n">
        <x:f>SUM(C161:J161)</x:f>
        <x:v>-0.004701703089836406</x:v>
      </x:c>
      <x:c r="L161" s="93" t="n">
        <x:f>B161-K161</x:f>
        <x:v>-0.02438567317541952</x:v>
      </x:c>
      <x:c r="M161" s="79" t="n">
        <x:f>'Datos_fuente'!B154</x:f>
        <x:v>2766.285</x:v>
      </x:c>
      <x:c r="N161" s="79" t="n">
        <x:f>EXP('Transformaciones'!B153+K161)</x:f>
        <x:v>2834.5719496054185</x:v>
      </x:c>
      <x:c r="O161" s="1"/>
      <x:c r="P161" s="1"/>
      <x:c r="Q161" s="1"/>
      <x:c r="R161" s="1"/>
      <x:c r="S161" s="1"/>
      <x:c r="T161" s="1"/>
      <x:c r="U161" s="1"/>
      <x:c r="V161" s="1"/>
      <x:c r="W161" s="1"/>
      <x:c r="X161" s="1"/>
      <x:c r="Y161" s="1"/>
      <x:c r="Z161" s="1"/>
    </x:row>
    <x:row r="162">
      <x:c r="A162" s="1" t="str">
        <x:f>'Transformaciones'!A155</x:f>
        <x:v>2018-05</x:v>
      </x:c>
      <x:c r="B162" s="87" t="n">
        <x:f>'Transformaciones'!C155</x:f>
        <x:v>0.03395455004048831</x:v>
      </x:c>
      <x:c r="C162" s="87" t="n">
        <x:f>$B$6</x:f>
        <x:v>-0.00045209606279241735</x:v>
      </x:c>
      <x:c r="D162" s="87" t="n">
        <x:f>$B$7*'Transformaciones'!E155</x:f>
        <x:v>-0.003377910705135901</x:v>
      </x:c>
      <x:c r="E162" s="87" t="n">
        <x:f>$B$8*'Transformaciones'!M155</x:f>
        <x:v>0.034442528229989326</x:v>
      </x:c>
      <x:c r="F162" s="87" t="n">
        <x:f>$B$9*'Transformaciones'!O155</x:f>
        <x:v>-0.009933083120020711</x:v>
      </x:c>
      <x:c r="G162" s="87" t="n">
        <x:f>$B$10*'Transformaciones'!G154</x:f>
        <x:v>0.005826017720311066</x:v>
      </x:c>
      <x:c r="H162" s="87" t="n">
        <x:f>$B$11*'Transformaciones'!I154</x:f>
        <x:v>0.0018661667877280313</x:v>
      </x:c>
      <x:c r="I162" s="87" t="n">
        <x:f>$B$12*'Transformaciones'!K154</x:f>
        <x:v>0.0014431978619916924</x:v>
      </x:c>
      <x:c r="J162" s="87" t="n">
        <x:f>$B$13*'Transformaciones'!P155</x:f>
        <x:v>0</x:v>
      </x:c>
      <x:c r="K162" s="93" t="n">
        <x:f>SUM(C162:J162)</x:f>
        <x:v>0.02981482071207109</x:v>
      </x:c>
      <x:c r="L162" s="93" t="n">
        <x:f>B162-K162</x:f>
        <x:v>0.004139729328417219</x:v>
      </x:c>
      <x:c r="M162" s="79" t="n">
        <x:f>'Datos_fuente'!B155</x:f>
        <x:v>2861.825806</x:v>
      </x:c>
      <x:c r="N162" s="79" t="n">
        <x:f>EXP('Transformaciones'!B154+K162)</x:f>
        <x:v>2850.0031100428205</x:v>
      </x:c>
      <x:c r="O162" s="1"/>
      <x:c r="P162" s="1"/>
      <x:c r="Q162" s="1"/>
      <x:c r="R162" s="1"/>
      <x:c r="S162" s="1"/>
      <x:c r="T162" s="1"/>
      <x:c r="U162" s="1"/>
      <x:c r="V162" s="1"/>
      <x:c r="W162" s="1"/>
      <x:c r="X162" s="1"/>
      <x:c r="Y162" s="1"/>
      <x:c r="Z162" s="1"/>
    </x:row>
    <x:row r="163">
      <x:c r="A163" s="1" t="str">
        <x:f>'Transformaciones'!A156</x:f>
        <x:v>2018-06</x:v>
      </x:c>
      <x:c r="B163" s="87" t="n">
        <x:f>'Transformaciones'!C156</x:f>
        <x:v>0.009689069025481167</x:v>
      </x:c>
      <x:c r="C163" s="87" t="n">
        <x:f>$B$6</x:f>
        <x:v>-0.00045209606279241735</x:v>
      </x:c>
      <x:c r="D163" s="87" t="n">
        <x:f>$B$7*'Transformaciones'!E156</x:f>
        <x:v>0.0017556683156774817</x:v>
      </x:c>
      <x:c r="E163" s="87" t="n">
        <x:f>$B$8*'Transformaciones'!M156</x:f>
        <x:v>0.01950854111699001</x:v>
      </x:c>
      <x:c r="F163" s="87" t="n">
        <x:f>$B$9*'Transformaciones'!O156</x:f>
        <x:v>-0.0012403392690975986</x:v>
      </x:c>
      <x:c r="G163" s="87" t="n">
        <x:f>$B$10*'Transformaciones'!G155</x:f>
        <x:v>0.0022707705022956028</x:v>
      </x:c>
      <x:c r="H163" s="87" t="n">
        <x:f>$B$11*'Transformaciones'!I155</x:f>
        <x:v>0.002493727308131962</x:v>
      </x:c>
      <x:c r="I163" s="87" t="n">
        <x:f>$B$12*'Transformaciones'!K155</x:f>
        <x:v>0.0003297305457151893</x:v>
      </x:c>
      <x:c r="J163" s="87" t="n">
        <x:f>$B$13*'Transformaciones'!P156</x:f>
        <x:v>0</x:v>
      </x:c>
      <x:c r="K163" s="93" t="n">
        <x:f>SUM(C163:J163)</x:f>
        <x:v>0.024666002456920227</x:v>
      </x:c>
      <x:c r="L163" s="93" t="n">
        <x:f>B163-K163</x:f>
        <x:v>-0.01497693343143906</x:v>
      </x:c>
      <x:c r="M163" s="79" t="n">
        <x:f>'Datos_fuente'!B156</x:f>
        <x:v>2889.689</x:v>
      </x:c>
      <x:c r="N163" s="79" t="n">
        <x:f>EXP('Transformaciones'!B155+K163)</x:f>
        <x:v>2933.293394782771</x:v>
      </x:c>
      <x:c r="O163" s="1"/>
      <x:c r="P163" s="1"/>
      <x:c r="Q163" s="1"/>
      <x:c r="R163" s="1"/>
      <x:c r="S163" s="1"/>
      <x:c r="T163" s="1"/>
      <x:c r="U163" s="1"/>
      <x:c r="V163" s="1"/>
      <x:c r="W163" s="1"/>
      <x:c r="X163" s="1"/>
      <x:c r="Y163" s="1"/>
      <x:c r="Z163" s="1"/>
    </x:row>
    <x:row r="164">
      <x:c r="A164" s="1" t="str">
        <x:f>'Transformaciones'!A157</x:f>
        <x:v>2018-07</x:v>
      </x:c>
      <x:c r="B164" s="87" t="n">
        <x:f>'Transformaciones'!C157</x:f>
        <x:v>-0.0015124008877460682</x:v>
      </x:c>
      <x:c r="C164" s="87" t="n">
        <x:f>$B$6</x:f>
        <x:v>-0.00045209606279241735</x:v>
      </x:c>
      <x:c r="D164" s="87" t="n">
        <x:f>$B$7*'Transformaciones'!E157</x:f>
        <x:v>0.0001047839229099522</x:v>
      </x:c>
      <x:c r="E164" s="87" t="n">
        <x:f>$B$8*'Transformaciones'!M157</x:f>
        <x:v>0.002313977487987056</x:v>
      </x:c>
      <x:c r="F164" s="87" t="n">
        <x:f>$B$9*'Transformaciones'!O157</x:f>
        <x:v>-0.0015275217304755232</x:v>
      </x:c>
      <x:c r="G164" s="87" t="n">
        <x:f>$B$10*'Transformaciones'!G156</x:f>
        <x:v>0.0005030506221041038</x:v>
      </x:c>
      <x:c r="H164" s="87" t="n">
        <x:f>$B$11*'Transformaciones'!I156</x:f>
        <x:v>0.0011890620261436303</x:v>
      </x:c>
      <x:c r="I164" s="87" t="n">
        <x:f>$B$12*'Transformaciones'!K156</x:f>
        <x:v>-0.000014393479228707384</x:v>
      </x:c>
      <x:c r="J164" s="87" t="n">
        <x:f>$B$13*'Transformaciones'!P157</x:f>
        <x:v>0</x:v>
      </x:c>
      <x:c r="K164" s="93" t="n">
        <x:f>SUM(C164:J164)</x:f>
        <x:v>0.002116862786648095</x:v>
      </x:c>
      <x:c r="L164" s="93" t="n">
        <x:f>B164-K164</x:f>
        <x:v>-0.003629263674394163</x:v>
      </x:c>
      <x:c r="M164" s="79" t="n">
        <x:f>'Datos_fuente'!B157</x:f>
        <x:v>2885.321935</x:v>
      </x:c>
      <x:c r="N164" s="79" t="n">
        <x:f>EXP('Transformaciones'!B156+K164)</x:f>
        <x:v>2895.812554184382</x:v>
      </x:c>
      <x:c r="O164" s="1"/>
      <x:c r="P164" s="1"/>
      <x:c r="Q164" s="1"/>
      <x:c r="R164" s="1"/>
      <x:c r="S164" s="1"/>
      <x:c r="T164" s="1"/>
      <x:c r="U164" s="1"/>
      <x:c r="V164" s="1"/>
      <x:c r="W164" s="1"/>
      <x:c r="X164" s="1"/>
      <x:c r="Y164" s="1"/>
      <x:c r="Z164" s="1"/>
    </x:row>
    <x:row r="165">
      <x:c r="A165" s="1" t="str">
        <x:f>'Transformaciones'!A158</x:f>
        <x:v>2018-08</x:v>
      </x:c>
      <x:c r="B165" s="87" t="n">
        <x:f>'Transformaciones'!C158</x:f>
        <x:v>0.025102269690628454</x:v>
      </x:c>
      <x:c r="C165" s="87" t="n">
        <x:f>$B$6</x:f>
        <x:v>-0.00045209606279241735</x:v>
      </x:c>
      <x:c r="D165" s="87" t="n">
        <x:f>$B$7*'Transformaciones'!E158</x:f>
        <x:v>0.0012156255977059693</x:v>
      </x:c>
      <x:c r="E165" s="87" t="n">
        <x:f>$B$8*'Transformaciones'!M158</x:f>
        <x:v>0.008269315479618355</x:v>
      </x:c>
      <x:c r="F165" s="87" t="n">
        <x:f>$B$9*'Transformaciones'!O158</x:f>
        <x:v>-0.001805861337421017</x:v>
      </x:c>
      <x:c r="G165" s="87" t="n">
        <x:f>$B$10*'Transformaciones'!G157</x:f>
        <x:v>0.0018661879597114033</x:v>
      </x:c>
      <x:c r="H165" s="87" t="n">
        <x:f>$B$11*'Transformaciones'!I157</x:f>
        <x:v>0.0008917965196077282</x:v>
      </x:c>
      <x:c r="I165" s="87" t="n">
        <x:f>$B$12*'Transformaciones'!K157</x:f>
        <x:v>0.0006765321491868241</x:v>
      </x:c>
      <x:c r="J165" s="87" t="n">
        <x:f>$B$13*'Transformaciones'!P158</x:f>
        <x:v>0</x:v>
      </x:c>
      <x:c r="K165" s="93" t="n">
        <x:f>SUM(C165:J165)</x:f>
        <x:v>0.010661500305616847</x:v>
      </x:c>
      <x:c r="L165" s="93" t="n">
        <x:f>B165-K165</x:f>
        <x:v>0.014440769385011607</x:v>
      </x:c>
      <x:c r="M165" s="79" t="n">
        <x:f>'Datos_fuente'!B158</x:f>
        <x:v>2958.666774</x:v>
      </x:c>
      <x:c r="N165" s="79" t="n">
        <x:f>EXP('Transformaciones'!B157+K165)</x:f>
        <x:v>2916.2483638131007</x:v>
      </x:c>
      <x:c r="O165" s="1"/>
      <x:c r="P165" s="1"/>
      <x:c r="Q165" s="1"/>
      <x:c r="R165" s="1"/>
      <x:c r="S165" s="1"/>
      <x:c r="T165" s="1"/>
      <x:c r="U165" s="1"/>
      <x:c r="V165" s="1"/>
      <x:c r="W165" s="1"/>
      <x:c r="X165" s="1"/>
      <x:c r="Y165" s="1"/>
      <x:c r="Z165" s="1"/>
    </x:row>
    <x:row r="166">
      <x:c r="A166" s="1" t="str">
        <x:f>'Transformaciones'!A159</x:f>
        <x:v>2018-09</x:v>
      </x:c>
      <x:c r="B166" s="87" t="n">
        <x:f>'Transformaciones'!C159</x:f>
        <x:v>0.025066658612159287</x:v>
      </x:c>
      <x:c r="C166" s="87" t="n">
        <x:f>$B$6</x:f>
        <x:v>-0.00045209606279241735</x:v>
      </x:c>
      <x:c r="D166" s="87" t="n">
        <x:f>$B$7*'Transformaciones'!E159</x:f>
        <x:v>-0.0043468479412064895</x:v>
      </x:c>
      <x:c r="E166" s="87" t="n">
        <x:f>$B$8*'Transformaciones'!M159</x:f>
        <x:v>0.002633931014918515</x:v>
      </x:c>
      <x:c r="F166" s="87" t="n">
        <x:f>$B$9*'Transformaciones'!O159</x:f>
        <x:v>0.0011031080330496787</x:v>
      </x:c>
      <x:c r="G166" s="87" t="n">
        <x:f>$B$10*'Transformaciones'!G158</x:f>
        <x:v>0.004314409688026882</x:v>
      </x:c>
      <x:c r="H166" s="87" t="n">
        <x:f>$B$11*'Transformaciones'!I158</x:f>
        <x:v>0</x:v>
      </x:c>
      <x:c r="I166" s="87" t="n">
        <x:f>$B$12*'Transformaciones'!K158</x:f>
        <x:v>0.0020739655282660803</x:v>
      </x:c>
      <x:c r="J166" s="87" t="n">
        <x:f>$B$13*'Transformaciones'!P159</x:f>
        <x:v>0</x:v>
      </x:c>
      <x:c r="K166" s="93" t="n">
        <x:f>SUM(C166:J166)</x:f>
        <x:v>0.005326470260262249</x:v>
      </x:c>
      <x:c r="L166" s="93" t="n">
        <x:f>B166-K166</x:f>
        <x:v>0.019740188351897038</x:v>
      </x:c>
      <x:c r="M166" s="79" t="n">
        <x:f>'Datos_fuente'!B159</x:f>
        <x:v>3033.768</x:v>
      </x:c>
      <x:c r="N166" s="79" t="n">
        <x:f>EXP('Transformaciones'!B158+K166)</x:f>
        <x:v>2974.468069789212</x:v>
      </x:c>
      <x:c r="O166" s="1"/>
      <x:c r="P166" s="1"/>
      <x:c r="Q166" s="1"/>
      <x:c r="R166" s="1"/>
      <x:c r="S166" s="1"/>
      <x:c r="T166" s="1"/>
      <x:c r="U166" s="1"/>
      <x:c r="V166" s="1"/>
      <x:c r="W166" s="1"/>
      <x:c r="X166" s="1"/>
      <x:c r="Y166" s="1"/>
      <x:c r="Z166" s="1"/>
    </x:row>
    <x:row r="167">
      <x:c r="A167" s="1" t="str">
        <x:f>'Transformaciones'!A160</x:f>
        <x:v>2018-10</x:v>
      </x:c>
      <x:c r="B167" s="87" t="n">
        <x:f>'Transformaciones'!C160</x:f>
        <x:v>0.016691452992116496</x:v>
      </x:c>
      <x:c r="C167" s="87" t="n">
        <x:f>$B$6</x:f>
        <x:v>-0.00045209606279241735</x:v>
      </x:c>
      <x:c r="D167" s="87" t="n">
        <x:f>$B$7*'Transformaciones'!E160</x:f>
        <x:v>-0.0013842742330234133</x:v>
      </x:c>
      <x:c r="E167" s="87" t="n">
        <x:f>$B$8*'Transformaciones'!M160</x:f>
        <x:v>0.007989366434976821</x:v>
      </x:c>
      <x:c r="F167" s="87" t="n">
        <x:f>$B$9*'Transformaciones'!O160</x:f>
        <x:v>0.015630961245245906</x:v>
      </x:c>
      <x:c r="G167" s="87" t="n">
        <x:f>$B$10*'Transformaciones'!G159</x:f>
        <x:v>0.0037727463170619136</x:v>
      </x:c>
      <x:c r="H167" s="87" t="n">
        <x:f>$B$11*'Transformaciones'!I159</x:f>
        <x:v>0.00039635400871454484</x:v>
      </x:c>
      <x:c r="I167" s="87" t="n">
        <x:f>$B$12*'Transformaciones'!K159</x:f>
        <x:v>0.00038698047601666406</x:v>
      </x:c>
      <x:c r="J167" s="87" t="n">
        <x:f>$B$13*'Transformaciones'!P160</x:f>
        <x:v>0</x:v>
      </x:c>
      <x:c r="K167" s="93" t="n">
        <x:f>SUM(C167:J167)</x:f>
        <x:v>0.026340038186200017</x:v>
      </x:c>
      <x:c r="L167" s="93" t="n">
        <x:f>B167-K167</x:f>
        <x:v>-0.009648585194083521</x:v>
      </x:c>
      <x:c r="M167" s="79" t="n">
        <x:f>'Datos_fuente'!B160</x:f>
        <x:v>3084.830968</x:v>
      </x:c>
      <x:c r="N167" s="79" t="n">
        <x:f>EXP('Transformaciones'!B159+K167)</x:f>
        <x:v>3114.739276810586</x:v>
      </x:c>
      <x:c r="O167" s="1"/>
      <x:c r="P167" s="1"/>
      <x:c r="Q167" s="1"/>
      <x:c r="R167" s="1"/>
      <x:c r="S167" s="1"/>
      <x:c r="T167" s="1"/>
      <x:c r="U167" s="1"/>
      <x:c r="V167" s="1"/>
      <x:c r="W167" s="1"/>
      <x:c r="X167" s="1"/>
      <x:c r="Y167" s="1"/>
      <x:c r="Z167" s="1"/>
    </x:row>
    <x:row r="168">
      <x:c r="A168" s="1" t="str">
        <x:f>'Transformaciones'!A161</x:f>
        <x:v>2018-11</x:v>
      </x:c>
      <x:c r="B168" s="87" t="n">
        <x:f>'Transformaciones'!C161</x:f>
        <x:v>0.034787934668214504</x:v>
      </x:c>
      <x:c r="C168" s="87" t="n">
        <x:f>$B$6</x:f>
        <x:v>-0.00045209606279241735</x:v>
      </x:c>
      <x:c r="D168" s="87" t="n">
        <x:f>$B$7*'Transformaciones'!E161</x:f>
        <x:v>0.011596679272197125</x:v>
      </x:c>
      <x:c r="E168" s="87" t="n">
        <x:f>$B$8*'Transformaciones'!M161</x:f>
        <x:v>0.014073187171184139</x:v>
      </x:c>
      <x:c r="F168" s="87" t="n">
        <x:f>$B$9*'Transformaciones'!O161</x:f>
        <x:v>0.00007351226999681078</x:v>
      </x:c>
      <x:c r="G168" s="87" t="n">
        <x:f>$B$10*'Transformaciones'!G160</x:f>
        <x:v>0.003632096049317661</x:v>
      </x:c>
      <x:c r="H168" s="87" t="n">
        <x:f>$B$11*'Transformaciones'!I160</x:f>
        <x:v>0.002378124052287265</x:v>
      </x:c>
      <x:c r="I168" s="87" t="n">
        <x:f>$B$12*'Transformaciones'!K160</x:f>
        <x:v>0.00019719174675561385</x:v>
      </x:c>
      <x:c r="J168" s="87" t="n">
        <x:f>$B$13*'Transformaciones'!P161</x:f>
        <x:v>0</x:v>
      </x:c>
      <x:c r="K168" s="93" t="n">
        <x:f>SUM(C168:J168)</x:f>
        <x:v>0.0314986944989462</x:v>
      </x:c>
      <x:c r="L168" s="93" t="n">
        <x:f>B168-K168</x:f>
        <x:v>0.0032892401692683065</x:v>
      </x:c>
      <x:c r="M168" s="79" t="n">
        <x:f>'Datos_fuente'!B161</x:f>
        <x:v>3194.034333</x:v>
      </x:c>
      <x:c r="N168" s="79" t="n">
        <x:f>EXP('Transformaciones'!B160+K168)</x:f>
        <x:v>3183.5456463311416</x:v>
      </x:c>
      <x:c r="O168" s="1"/>
      <x:c r="P168" s="1"/>
      <x:c r="Q168" s="1"/>
      <x:c r="R168" s="1"/>
      <x:c r="S168" s="1"/>
      <x:c r="T168" s="1"/>
      <x:c r="U168" s="1"/>
      <x:c r="V168" s="1"/>
      <x:c r="W168" s="1"/>
      <x:c r="X168" s="1"/>
      <x:c r="Y168" s="1"/>
      <x:c r="Z168" s="1"/>
    </x:row>
    <x:row r="169">
      <x:c r="A169" s="1" t="str">
        <x:f>'Transformaciones'!A162</x:f>
        <x:v>2018-12</x:v>
      </x:c>
      <x:c r="B169" s="87" t="n">
        <x:f>'Transformaciones'!C162</x:f>
        <x:v>0.007646449381239151</x:v>
      </x:c>
      <x:c r="C169" s="87" t="n">
        <x:f>$B$6</x:f>
        <x:v>-0.00045209606279241735</x:v>
      </x:c>
      <x:c r="D169" s="87" t="n">
        <x:f>$B$7*'Transformaciones'!E162</x:f>
        <x:v>0.006260834139053251</x:v>
      </x:c>
      <x:c r="E169" s="87" t="n">
        <x:f>$B$8*'Transformaciones'!M162</x:f>
        <x:v>0.0004471507440015883</x:v>
      </x:c>
      <x:c r="F169" s="87" t="n">
        <x:f>$B$9*'Transformaciones'!O162</x:f>
        <x:v>0.00974293299304473</x:v>
      </x:c>
      <x:c r="G169" s="87" t="n">
        <x:f>$B$10*'Transformaciones'!G161</x:f>
        <x:v>0.0024191766695657703</x:v>
      </x:c>
      <x:c r="H169" s="87" t="n">
        <x:f>$B$11*'Transformaciones'!I161</x:f>
        <x:v>0.00009908850217863842</x:v>
      </x:c>
      <x:c r="I169" s="87" t="n">
        <x:f>$B$12*'Transformaciones'!K161</x:f>
        <x:v>-0.0012276665433748539</x:v>
      </x:c>
      <x:c r="J169" s="87" t="n">
        <x:f>$B$13*'Transformaciones'!P162</x:f>
        <x:v>0</x:v>
      </x:c>
      <x:c r="K169" s="93" t="n">
        <x:f>SUM(C169:J169)</x:f>
        <x:v>0.01728942044167671</x:v>
      </x:c>
      <x:c r="L169" s="93" t="n">
        <x:f>B169-K169</x:f>
        <x:v>-0.009642971060437558</x:v>
      </x:c>
      <x:c r="M169" s="79" t="n">
        <x:f>'Datos_fuente'!B162</x:f>
        <x:v>3218.550968</x:v>
      </x:c>
      <x:c r="N169" s="79" t="n">
        <x:f>EXP('Transformaciones'!B161+K169)</x:f>
        <x:v>3249.737485522872</x:v>
      </x:c>
      <x:c r="O169" s="1"/>
      <x:c r="P169" s="1"/>
      <x:c r="Q169" s="1"/>
      <x:c r="R169" s="1"/>
      <x:c r="S169" s="1"/>
      <x:c r="T169" s="1"/>
      <x:c r="U169" s="1"/>
      <x:c r="V169" s="1"/>
      <x:c r="W169" s="1"/>
      <x:c r="X169" s="1"/>
      <x:c r="Y169" s="1"/>
      <x:c r="Z169" s="1"/>
    </x:row>
    <x:row r="170">
      <x:c r="A170" s="1" t="str">
        <x:f>'Transformaciones'!A163</x:f>
        <x:v>2019-01</x:v>
      </x:c>
      <x:c r="B170" s="87" t="n">
        <x:f>'Transformaciones'!C163</x:f>
        <x:v>-0.016718774281571314</x:v>
      </x:c>
      <x:c r="C170" s="87" t="n">
        <x:f>$B$6</x:f>
        <x:v>-0.00045209606279241735</x:v>
      </x:c>
      <x:c r="D170" s="87" t="n">
        <x:f>$B$7*'Transformaciones'!E163</x:f>
        <x:v>-0.0018126772470614162</x:v>
      </x:c>
      <x:c r="E170" s="87" t="n">
        <x:f>$B$8*'Transformaciones'!M163</x:f>
        <x:v>-0.018640851673476268</x:v>
      </x:c>
      <x:c r="F170" s="87" t="n">
        <x:f>$B$9*'Transformaciones'!O163</x:f>
        <x:v>-0.009379498672872364</x:v>
      </x:c>
      <x:c r="G170" s="87" t="n">
        <x:f>$B$10*'Transformaciones'!G162</x:f>
        <x:v>0.002808255472067713</x:v>
      </x:c>
      <x:c r="H170" s="87" t="n">
        <x:f>$B$11*'Transformaciones'!I162</x:f>
        <x:v>0.0006936195152504513</x:v>
      </x:c>
      <x:c r="I170" s="87" t="n">
        <x:f>$B$12*'Transformaciones'!K162</x:f>
        <x:v>-0.0028943209100832554</x:v>
      </x:c>
      <x:c r="J170" s="87" t="n">
        <x:f>$B$13*'Transformaciones'!P163</x:f>
        <x:v>0</x:v>
      </x:c>
      <x:c r="K170" s="93" t="n">
        <x:f>SUM(C170:J170)</x:f>
        <x:v>-0.029677569578967552</x:v>
      </x:c>
      <x:c r="L170" s="93" t="n">
        <x:f>B170-K170</x:f>
        <x:v>0.012958795297396238</x:v>
      </x:c>
      <x:c r="M170" s="79" t="n">
        <x:f>'Datos_fuente'!B163</x:f>
        <x:v>3165.188065</x:v>
      </x:c>
      <x:c r="N170" s="79" t="n">
        <x:f>EXP('Transformaciones'!B162+K170)</x:f>
        <x:v>3124.435662106984</x:v>
      </x:c>
      <x:c r="O170" s="1"/>
      <x:c r="P170" s="1"/>
      <x:c r="Q170" s="1"/>
      <x:c r="R170" s="1"/>
      <x:c r="S170" s="1"/>
      <x:c r="T170" s="1"/>
      <x:c r="U170" s="1"/>
      <x:c r="V170" s="1"/>
      <x:c r="W170" s="1"/>
      <x:c r="X170" s="1"/>
      <x:c r="Y170" s="1"/>
      <x:c r="Z170" s="1"/>
    </x:row>
    <x:row r="171">
      <x:c r="A171" s="1" t="str">
        <x:f>'Transformaciones'!A164</x:f>
        <x:v>2019-02</x:v>
      </x:c>
      <x:c r="B171" s="87" t="n">
        <x:f>'Transformaciones'!C164</x:f>
        <x:v>-0.01571415386816888</x:v>
      </x:c>
      <x:c r="C171" s="87" t="n">
        <x:f>$B$6</x:f>
        <x:v>-0.00045209606279241735</x:v>
      </x:c>
      <x:c r="D171" s="87" t="n">
        <x:f>$B$7*'Transformaciones'!E164</x:f>
        <x:v>-0.0038154478492992074</x:v>
      </x:c>
      <x:c r="E171" s="87" t="n">
        <x:f>$B$8*'Transformaciones'!M164</x:f>
        <x:v>-0.00031307219404229695</x:v>
      </x:c>
      <x:c r="F171" s="87" t="n">
        <x:f>$B$9*'Transformaciones'!O164</x:f>
        <x:v>-0.009675323723425217</x:v>
      </x:c>
      <x:c r="G171" s="87" t="n">
        <x:f>$B$10*'Transformaciones'!G163</x:f>
        <x:v>0.0016298811826459913</x:v>
      </x:c>
      <x:c r="H171" s="87" t="n">
        <x:f>$B$11*'Transformaciones'!I163</x:f>
        <x:v>0.0012881505283222686</x:v>
      </x:c>
      <x:c r="I171" s="87" t="n">
        <x:f>$B$12*'Transformaciones'!K163</x:f>
        <x:v>-0.0004413757412961462</x:v>
      </x:c>
      <x:c r="J171" s="87" t="n">
        <x:f>$B$13*'Transformaciones'!P164</x:f>
        <x:v>0</x:v>
      </x:c>
      <x:c r="K171" s="93" t="n">
        <x:f>SUM(C171:J171)</x:f>
        <x:v>-0.011779283859887026</x:v>
      </x:c>
      <x:c r="L171" s="93" t="n">
        <x:f>B171-K171</x:f>
        <x:v>-0.003934870008281853</x:v>
      </x:c>
      <x:c r="M171" s="79" t="n">
        <x:f>'Datos_fuente'!B164</x:f>
        <x:v>3115.838571</x:v>
      </x:c>
      <x:c r="N171" s="79" t="n">
        <x:f>EXP('Transformaciones'!B163+K171)</x:f>
        <x:v>3128.123143992216</x:v>
      </x:c>
      <x:c r="O171" s="1"/>
      <x:c r="P171" s="1"/>
      <x:c r="Q171" s="1"/>
      <x:c r="R171" s="1"/>
      <x:c r="S171" s="1"/>
      <x:c r="T171" s="1"/>
      <x:c r="U171" s="1"/>
      <x:c r="V171" s="1"/>
      <x:c r="W171" s="1"/>
      <x:c r="X171" s="1"/>
      <x:c r="Y171" s="1"/>
      <x:c r="Z171" s="1"/>
    </x:row>
    <x:row r="172">
      <x:c r="A172" s="1" t="str">
        <x:f>'Transformaciones'!A165</x:f>
        <x:v>2019-03</x:v>
      </x:c>
      <x:c r="B172" s="87" t="n">
        <x:f>'Transformaciones'!C165</x:f>
        <x:v>0.004114210678045183</x:v>
      </x:c>
      <x:c r="C172" s="87" t="n">
        <x:f>$B$6</x:f>
        <x:v>-0.00045209606279241735</x:v>
      </x:c>
      <x:c r="D172" s="87" t="n">
        <x:f>$B$7*'Transformaciones'!E165</x:f>
        <x:v>-0.0017309883364077377</x:v>
      </x:c>
      <x:c r="E172" s="87" t="n">
        <x:f>$B$8*'Transformaciones'!M165</x:f>
        <x:v>0.003928346750431632</x:v>
      </x:c>
      <x:c r="F172" s="87" t="n">
        <x:f>$B$9*'Transformaciones'!O165</x:f>
        <x:v>-0.0019481874360255628</x:v>
      </x:c>
      <x:c r="G172" s="87" t="n">
        <x:f>$B$10*'Transformaciones'!G164</x:f>
        <x:v>0.0015423516140010119</x:v>
      </x:c>
      <x:c r="H172" s="87" t="n">
        <x:f>$B$11*'Transformaciones'!I164</x:f>
        <x:v>0</x:v>
      </x:c>
      <x:c r="I172" s="87" t="n">
        <x:f>$B$12*'Transformaciones'!K164</x:f>
        <x:v>0.0006243131346447633</x:v>
      </x:c>
      <x:c r="J172" s="87" t="n">
        <x:f>$B$13*'Transformaciones'!P165</x:f>
        <x:v>0</x:v>
      </x:c>
      <x:c r="K172" s="93" t="n">
        <x:f>SUM(C172:J172)</x:f>
        <x:v>0.001963739663851689</x:v>
      </x:c>
      <x:c r="L172" s="93" t="n">
        <x:f>B172-K172</x:f>
        <x:v>0.0021504710141934938</x:v>
      </x:c>
      <x:c r="M172" s="79" t="n">
        <x:f>'Datos_fuente'!B165</x:f>
        <x:v>3128.684194</x:v>
      </x:c>
      <x:c r="N172" s="79" t="n">
        <x:f>EXP('Transformaciones'!B164+K172)</x:f>
        <x:v>3121.9632784853275</x:v>
      </x:c>
      <x:c r="O172" s="1"/>
      <x:c r="P172" s="1"/>
      <x:c r="Q172" s="1"/>
      <x:c r="R172" s="1"/>
      <x:c r="S172" s="1"/>
      <x:c r="T172" s="1"/>
      <x:c r="U172" s="1"/>
      <x:c r="V172" s="1"/>
      <x:c r="W172" s="1"/>
      <x:c r="X172" s="1"/>
      <x:c r="Y172" s="1"/>
      <x:c r="Z172" s="1"/>
    </x:row>
    <x:row r="173">
      <x:c r="A173" s="1" t="str">
        <x:f>'Transformaciones'!A166</x:f>
        <x:v>2019-04</x:v>
      </x:c>
      <x:c r="B173" s="87" t="n">
        <x:f>'Transformaciones'!C166</x:f>
        <x:v>0.008618408005897749</x:v>
      </x:c>
      <x:c r="C173" s="87" t="n">
        <x:f>$B$6</x:f>
        <x:v>-0.00045209606279241735</x:v>
      </x:c>
      <x:c r="D173" s="87" t="n">
        <x:f>$B$7*'Transformaciones'!E166</x:f>
        <x:v>-0.003836019897399376</x:v>
      </x:c>
      <x:c r="E173" s="87" t="n">
        <x:f>$B$8*'Transformaciones'!M166</x:f>
        <x:v>0.0012720651852301597</x:v>
      </x:c>
      <x:c r="F173" s="87" t="n">
        <x:f>$B$9*'Transformaciones'!O166</x:f>
        <x:v>-0.004329344173863646</x:v>
      </x:c>
      <x:c r="G173" s="87" t="n">
        <x:f>$B$10*'Transformaciones'!G165</x:f>
        <x:v>0.0023523653468985996</x:v>
      </x:c>
      <x:c r="H173" s="87" t="n">
        <x:f>$B$11*'Transformaciones'!I165</x:f>
        <x:v>0.00009908850217863621</x:v>
      </x:c>
      <x:c r="I173" s="87" t="n">
        <x:f>$B$12*'Transformaciones'!K165</x:f>
        <x:v>-0.0006351437194241675</x:v>
      </x:c>
      <x:c r="J173" s="87" t="n">
        <x:f>$B$13*'Transformaciones'!P166</x:f>
        <x:v>0</x:v>
      </x:c>
      <x:c r="K173" s="93" t="n">
        <x:f>SUM(C173:J173)</x:f>
        <x:v>-0.005529084819172212</x:v>
      </x:c>
      <x:c r="L173" s="93" t="n">
        <x:f>B173-K173</x:f>
        <x:v>0.014147492825069961</x:v>
      </x:c>
      <x:c r="M173" s="79" t="n">
        <x:f>'Datos_fuente'!B166</x:f>
        <x:v>3155.765</x:v>
      </x:c>
      <x:c r="N173" s="79" t="n">
        <x:f>EXP('Transformaciones'!B165+K173)</x:f>
        <x:v>3111.4331688576726</x:v>
      </x:c>
      <x:c r="O173" s="1"/>
      <x:c r="P173" s="1"/>
      <x:c r="Q173" s="1"/>
      <x:c r="R173" s="1"/>
      <x:c r="S173" s="1"/>
      <x:c r="T173" s="1"/>
      <x:c r="U173" s="1"/>
      <x:c r="V173" s="1"/>
      <x:c r="W173" s="1"/>
      <x:c r="X173" s="1"/>
      <x:c r="Y173" s="1"/>
      <x:c r="Z173" s="1"/>
    </x:row>
    <x:row r="174">
      <x:c r="A174" s="1" t="str">
        <x:f>'Transformaciones'!A167</x:f>
        <x:v>2019-05</x:v>
      </x:c>
      <x:c r="B174" s="87" t="n">
        <x:f>'Transformaciones'!C167</x:f>
        <x:v>0.04605257750406899</x:v>
      </x:c>
      <x:c r="C174" s="87" t="n">
        <x:f>$B$6</x:f>
        <x:v>-0.00045209606279241735</x:v>
      </x:c>
      <x:c r="D174" s="87" t="n">
        <x:f>$B$7*'Transformaciones'!E167</x:f>
        <x:v>-0.00006120635271646878</x:v>
      </x:c>
      <x:c r="E174" s="87" t="n">
        <x:f>$B$8*'Transformaciones'!M167</x:f>
        <x:v>0.011090541393921054</x:v>
      </x:c>
      <x:c r="F174" s="87" t="n">
        <x:f>$B$9*'Transformaciones'!O167</x:f>
        <x:v>0.009874235810137317</x:v>
      </x:c>
      <x:c r="G174" s="87" t="n">
        <x:f>$B$10*'Transformaciones'!G166</x:f>
        <x:v>0.002352265223878177</x:v>
      </x:c>
      <x:c r="H174" s="87" t="n">
        <x:f>$B$11*'Transformaciones'!I166</x:f>
        <x:v>0.00009908850217863621</x:v>
      </x:c>
      <x:c r="I174" s="87" t="n">
        <x:f>$B$12*'Transformaciones'!K166</x:f>
        <x:v>-0.001120393300120515</x:v>
      </x:c>
      <x:c r="J174" s="87" t="n">
        <x:f>$B$13*'Transformaciones'!P167</x:f>
        <x:v>0</x:v>
      </x:c>
      <x:c r="K174" s="93" t="n">
        <x:f>SUM(C174:J174)</x:f>
        <x:v>0.021782435214485783</x:v>
      </x:c>
      <x:c r="L174" s="93" t="n">
        <x:f>B174-K174</x:f>
        <x:v>0.02427014228958321</x:v>
      </x:c>
      <x:c r="M174" s="79" t="n">
        <x:f>'Datos_fuente'!B167</x:f>
        <x:v>3304.494516</x:v>
      </x:c>
      <x:c r="N174" s="79" t="n">
        <x:f>EXP('Transformaciones'!B166+K174)</x:f>
        <x:v>3225.2593772962546</x:v>
      </x:c>
      <x:c r="O174" s="1"/>
      <x:c r="P174" s="1"/>
      <x:c r="Q174" s="1"/>
      <x:c r="R174" s="1"/>
      <x:c r="S174" s="1"/>
      <x:c r="T174" s="1"/>
      <x:c r="U174" s="1"/>
      <x:c r="V174" s="1"/>
      <x:c r="W174" s="1"/>
      <x:c r="X174" s="1"/>
      <x:c r="Y174" s="1"/>
      <x:c r="Z174" s="1"/>
    </x:row>
    <x:row r="175">
      <x:c r="A175" s="1" t="str">
        <x:f>'Transformaciones'!A168</x:f>
        <x:v>2019-06</x:v>
      </x:c>
      <x:c r="B175" s="87" t="n">
        <x:f>'Transformaciones'!C168</x:f>
        <x:v>-0.01339774461006904</x:v>
      </x:c>
      <x:c r="C175" s="87" t="n">
        <x:f>$B$6</x:f>
        <x:v>-0.00045209606279241735</x:v>
      </x:c>
      <x:c r="D175" s="87" t="n">
        <x:f>$B$7*'Transformaciones'!E168</x:f>
        <x:v>0.005418510966171429</x:v>
      </x:c>
      <x:c r="E175" s="87" t="n">
        <x:f>$B$8*'Transformaciones'!M168</x:f>
        <x:v>-0.005569438650485277</x:v>
      </x:c>
      <x:c r="F175" s="87" t="n">
        <x:f>$B$9*'Transformaciones'!O168</x:f>
        <x:v>-0.002101902995561974</x:v>
      </x:c>
      <x:c r="G175" s="87" t="n">
        <x:f>$B$10*'Transformaciones'!G167</x:f>
        <x:v>0.0038213507335669145</x:v>
      </x:c>
      <x:c r="H175" s="87" t="n">
        <x:f>$B$11*'Transformaciones'!I167</x:f>
        <x:v>-0.00029726550653590866</x:v>
      </x:c>
      <x:c r="I175" s="87" t="n">
        <x:f>$B$12*'Transformaciones'!K167</x:f>
        <x:v>-0.00029318719967270863</x:v>
      </x:c>
      <x:c r="J175" s="87" t="n">
        <x:f>$B$13*'Transformaciones'!P168</x:f>
        <x:v>0</x:v>
      </x:c>
      <x:c r="K175" s="93" t="n">
        <x:f>SUM(C175:J175)</x:f>
        <x:v>0.0005259712846900581</x:v>
      </x:c>
      <x:c r="L175" s="93" t="n">
        <x:f>B175-K175</x:f>
        <x:v>-0.013923715894759098</x:v>
      </x:c>
      <x:c r="M175" s="79" t="n">
        <x:f>'Datos_fuente'!B168</x:f>
        <x:v>3260.517</x:v>
      </x:c>
      <x:c r="N175" s="79" t="n">
        <x:f>EXP('Transformaciones'!B167+K175)</x:f>
        <x:v>3306.23304239323</x:v>
      </x:c>
      <x:c r="O175" s="1"/>
      <x:c r="P175" s="1"/>
      <x:c r="Q175" s="1"/>
      <x:c r="R175" s="1"/>
      <x:c r="S175" s="1"/>
      <x:c r="T175" s="1"/>
      <x:c r="U175" s="1"/>
      <x:c r="V175" s="1"/>
      <x:c r="W175" s="1"/>
      <x:c r="X175" s="1"/>
      <x:c r="Y175" s="1"/>
      <x:c r="Z175" s="1"/>
    </x:row>
    <x:row r="176">
      <x:c r="A176" s="1" t="str">
        <x:f>'Transformaciones'!A169</x:f>
        <x:v>2019-07</x:v>
      </x:c>
      <x:c r="B176" s="87" t="n">
        <x:f>'Transformaciones'!C169</x:f>
        <x:v>-0.016674485259432714</x:v>
      </x:c>
      <x:c r="C176" s="87" t="n">
        <x:f>$B$6</x:f>
        <x:v>-0.00045209606279241735</x:v>
      </x:c>
      <x:c r="D176" s="87" t="n">
        <x:f>$B$7*'Transformaciones'!E169</x:f>
        <x:v>0.00024314893526581328</x:v>
      </x:c>
      <x:c r="E176" s="87" t="n">
        <x:f>$B$8*'Transformaciones'!M169</x:f>
        <x:v>-0.0036843033057437015</x:v>
      </x:c>
      <x:c r="F176" s="87" t="n">
        <x:f>$B$9*'Transformaciones'!O169</x:f>
        <x:v>-0.006722473085167526</x:v>
      </x:c>
      <x:c r="G176" s="87" t="n">
        <x:f>$B$10*'Transformaciones'!G168</x:f>
        <x:v>0.0005507462541857515</x:v>
      </x:c>
      <x:c r="H176" s="87" t="n">
        <x:f>$B$11*'Transformaciones'!I168</x:f>
        <x:v>-0.00009908850217863621</x:v>
      </x:c>
      <x:c r="I176" s="87" t="n">
        <x:f>$B$12*'Transformaciones'!K168</x:f>
        <x:v>-0.0015225606092488036</x:v>
      </x:c>
      <x:c r="J176" s="87" t="n">
        <x:f>$B$13*'Transformaciones'!P169</x:f>
        <x:v>0</x:v>
      </x:c>
      <x:c r="K176" s="93" t="n">
        <x:f>SUM(C176:J176)</x:f>
        <x:v>-0.011686626375679519</x:v>
      </x:c>
      <x:c r="L176" s="93" t="n">
        <x:f>B176-K176</x:f>
        <x:v>-0.004987858883753195</x:v>
      </x:c>
      <x:c r="M176" s="79" t="n">
        <x:f>'Datos_fuente'!B169</x:f>
        <x:v>3206.600323</x:v>
      </x:c>
      <x:c r="N176" s="79" t="n">
        <x:f>EXP('Transformaciones'!B168+K176)</x:f>
        <x:v>3222.6343473910456</x:v>
      </x:c>
      <x:c r="O176" s="1"/>
      <x:c r="P176" s="1"/>
      <x:c r="Q176" s="1"/>
      <x:c r="R176" s="1"/>
      <x:c r="S176" s="1"/>
      <x:c r="T176" s="1"/>
      <x:c r="U176" s="1"/>
      <x:c r="V176" s="1"/>
      <x:c r="W176" s="1"/>
      <x:c r="X176" s="1"/>
      <x:c r="Y176" s="1"/>
      <x:c r="Z176" s="1"/>
    </x:row>
    <x:row r="177">
      <x:c r="A177" s="1" t="str">
        <x:f>'Transformaciones'!A170</x:f>
        <x:v>2019-08</x:v>
      </x:c>
      <x:c r="B177" s="87" t="n">
        <x:f>'Transformaciones'!C170</x:f>
        <x:v>0.061714774318119225</x:v>
      </x:c>
      <x:c r="C177" s="87" t="n">
        <x:f>$B$6</x:f>
        <x:v>-0.00045209606279241735</x:v>
      </x:c>
      <x:c r="D177" s="87" t="n">
        <x:f>$B$7*'Transformaciones'!E170</x:f>
        <x:v>0.004102956545826984</x:v>
      </x:c>
      <x:c r="E177" s="87" t="n">
        <x:f>$B$8*'Transformaciones'!M170</x:f>
        <x:v>0.021171688216641865</x:v>
      </x:c>
      <x:c r="F177" s="87" t="n">
        <x:f>$B$9*'Transformaciones'!O170</x:f>
        <x:v>0.013714283841513866</x:v>
      </x:c>
      <x:c r="G177" s="87" t="n">
        <x:f>$B$10*'Transformaciones'!G169</x:f>
        <x:v>0.0020088384455266423</x:v>
      </x:c>
      <x:c r="H177" s="87" t="n">
        <x:f>$B$11*'Transformaciones'!I169</x:f>
        <x:v>0.00019817700435727242</x:v>
      </x:c>
      <x:c r="I177" s="87" t="n">
        <x:f>$B$12*'Transformaciones'!K169</x:f>
        <x:v>-0.0010717345166510257</x:v>
      </x:c>
      <x:c r="J177" s="87" t="n">
        <x:f>$B$13*'Transformaciones'!P170</x:f>
        <x:v>0</x:v>
      </x:c>
      <x:c r="K177" s="93" t="n">
        <x:f>SUM(C177:J177)</x:f>
        <x:v>0.03967211347442318</x:v>
      </x:c>
      <x:c r="L177" s="93" t="n">
        <x:f>B177-K177</x:f>
        <x:v>0.022042660843696042</x:v>
      </x:c>
      <x:c r="M177" s="79" t="n">
        <x:f>'Datos_fuente'!B170</x:f>
        <x:v>3410.729032</x:v>
      </x:c>
      <x:c r="N177" s="79" t="n">
        <x:f>EXP('Transformaciones'!B169+K177)</x:f>
        <x:v>3336.370034563058</x:v>
      </x:c>
      <x:c r="O177" s="1"/>
      <x:c r="P177" s="1"/>
      <x:c r="Q177" s="1"/>
      <x:c r="R177" s="1"/>
      <x:c r="S177" s="1"/>
      <x:c r="T177" s="1"/>
      <x:c r="U177" s="1"/>
      <x:c r="V177" s="1"/>
      <x:c r="W177" s="1"/>
      <x:c r="X177" s="1"/>
      <x:c r="Y177" s="1"/>
      <x:c r="Z177" s="1"/>
    </x:row>
    <x:row r="178">
      <x:c r="A178" s="1" t="str">
        <x:f>'Transformaciones'!A171</x:f>
        <x:v>2019-09</x:v>
      </x:c>
      <x:c r="B178" s="87" t="n">
        <x:f>'Transformaciones'!C171</x:f>
        <x:v>-0.00331034783503803</x:v>
      </x:c>
      <x:c r="C178" s="87" t="n">
        <x:f>$B$6</x:f>
        <x:v>-0.00045209606279241735</x:v>
      </x:c>
      <x:c r="D178" s="87" t="n">
        <x:f>$B$7*'Transformaciones'!E171</x:f>
        <x:v>-0.0032118290018457074</x:v>
      </x:c>
      <x:c r="E178" s="87" t="n">
        <x:f>$B$8*'Transformaciones'!M171</x:f>
        <x:v>0.002317148407642667</x:v>
      </x:c>
      <x:c r="F178" s="87" t="n">
        <x:f>$B$9*'Transformaciones'!O171</x:f>
        <x:v>-0.0076732807350142675</x:v>
      </x:c>
      <x:c r="G178" s="87" t="n">
        <x:f>$B$10*'Transformaciones'!G170</x:f>
        <x:v>0.002748513354964471</x:v>
      </x:c>
      <x:c r="H178" s="87" t="n">
        <x:f>$B$11*'Transformaciones'!I170</x:f>
        <x:v>-0.0026753895588231755</x:v>
      </x:c>
      <x:c r="I178" s="87" t="n">
        <x:f>$B$12*'Transformaciones'!K170</x:f>
        <x:v>-0.00011489572817141312</x:v>
      </x:c>
      <x:c r="J178" s="87" t="n">
        <x:f>$B$13*'Transformaciones'!P171</x:f>
        <x:v>0</x:v>
      </x:c>
      <x:c r="K178" s="93" t="n">
        <x:f>SUM(C178:J178)</x:f>
        <x:v>-0.00906182932403984</x:v>
      </x:c>
      <x:c r="L178" s="93" t="n">
        <x:f>B178-K178</x:f>
        <x:v>0.0057514814890018105</x:v>
      </x:c>
      <x:c r="M178" s="79" t="n">
        <x:f>'Datos_fuente'!B171</x:f>
        <x:v>3399.457</x:v>
      </x:c>
      <x:c r="N178" s="79" t="n">
        <x:f>EXP('Transformaciones'!B170+K178)</x:f>
        <x:v>3379.961204587688</x:v>
      </x:c>
      <x:c r="O178" s="1"/>
      <x:c r="P178" s="1"/>
      <x:c r="Q178" s="1"/>
      <x:c r="R178" s="1"/>
      <x:c r="S178" s="1"/>
      <x:c r="T178" s="1"/>
      <x:c r="U178" s="1"/>
      <x:c r="V178" s="1"/>
      <x:c r="W178" s="1"/>
      <x:c r="X178" s="1"/>
      <x:c r="Y178" s="1"/>
      <x:c r="Z178" s="1"/>
    </x:row>
    <x:row r="179">
      <x:c r="A179" s="1" t="str">
        <x:f>'Transformaciones'!A172</x:f>
        <x:v>2019-10</x:v>
      </x:c>
      <x:c r="B179" s="87" t="n">
        <x:f>'Transformaciones'!C172</x:f>
        <x:v>0.009909567251369822</x:v>
      </x:c>
      <x:c r="C179" s="87" t="n">
        <x:f>$B$6</x:f>
        <x:v>-0.00045209606279241735</x:v>
      </x:c>
      <x:c r="D179" s="87" t="n">
        <x:f>$B$7*'Transformaciones'!E172</x:f>
        <x:v>0.002627473436515706</x:v>
      </x:c>
      <x:c r="E179" s="87" t="n">
        <x:f>$B$8*'Transformaciones'!M172</x:f>
        <x:v>-0.005997100303202445</x:v>
      </x:c>
      <x:c r="F179" s="87" t="n">
        <x:f>$B$9*'Transformaciones'!O172</x:f>
        <x:v>-0.00023021733343736383</x:v>
      </x:c>
      <x:c r="G179" s="87" t="n">
        <x:f>$B$10*'Transformaciones'!G171</x:f>
        <x:v>0.0011915336604401826</x:v>
      </x:c>
      <x:c r="H179" s="87" t="n">
        <x:f>$B$11*'Transformaciones'!I171</x:f>
        <x:v>-0.0008917965196077237</x:v>
      </x:c>
      <x:c r="I179" s="87" t="n">
        <x:f>$B$12*'Transformaciones'!K171</x:f>
        <x:v>-0.0010638748660219965</x:v>
      </x:c>
      <x:c r="J179" s="87" t="n">
        <x:f>$B$13*'Transformaciones'!P172</x:f>
        <x:v>0</x:v>
      </x:c>
      <x:c r="K179" s="93" t="n">
        <x:f>SUM(C179:J179)</x:f>
        <x:v>-0.004816077988106059</x:v>
      </x:c>
      <x:c r="L179" s="93" t="n">
        <x:f>B179-K179</x:f>
        <x:v>0.01472564523947588</x:v>
      </x:c>
      <x:c r="M179" s="79" t="n">
        <x:f>'Datos_fuente'!B172</x:f>
        <x:v>3433.311613</x:v>
      </x:c>
      <x:c r="N179" s="79" t="n">
        <x:f>EXP('Transformaciones'!B171+K179)</x:f>
        <x:v>3383.124311291253</x:v>
      </x:c>
      <x:c r="O179" s="1"/>
      <x:c r="P179" s="1"/>
      <x:c r="Q179" s="1"/>
      <x:c r="R179" s="1"/>
      <x:c r="S179" s="1"/>
      <x:c r="T179" s="1"/>
      <x:c r="U179" s="1"/>
      <x:c r="V179" s="1"/>
      <x:c r="W179" s="1"/>
      <x:c r="X179" s="1"/>
      <x:c r="Y179" s="1"/>
      <x:c r="Z179" s="1"/>
    </x:row>
    <x:row r="180">
      <x:c r="A180" s="1" t="str">
        <x:f>'Transformaciones'!A173</x:f>
        <x:v>2019-11</x:v>
      </x:c>
      <x:c r="B180" s="87" t="n">
        <x:f>'Transformaciones'!C173</x:f>
        <x:v>-0.009316707139870317</x:v>
      </x:c>
      <x:c r="C180" s="87" t="n">
        <x:f>$B$6</x:f>
        <x:v>-0.00045209606279241735</x:v>
      </x:c>
      <x:c r="D180" s="87" t="n">
        <x:f>$B$7*'Transformaciones'!E173</x:f>
        <x:v>-0.002943470277789896</x:v>
      </x:c>
      <x:c r="E180" s="87" t="n">
        <x:f>$B$8*'Transformaciones'!M173</x:f>
        <x:v>-0.001945554888104105</x:v>
      </x:c>
      <x:c r="F180" s="87" t="n">
        <x:f>$B$9*'Transformaciones'!O173</x:f>
        <x:v>-0.00815106931294491</x:v>
      </x:c>
      <x:c r="G180" s="87" t="n">
        <x:f>$B$10*'Transformaciones'!G172</x:f>
        <x:v>-0.0007233164359290829</x:v>
      </x:c>
      <x:c r="H180" s="87" t="n">
        <x:f>$B$11*'Transformaciones'!I172</x:f>
        <x:v>-0.0020808585457513583</x:v>
      </x:c>
      <x:c r="I180" s="87" t="n">
        <x:f>$B$12*'Transformaciones'!K172</x:f>
        <x:v>0.0012160879425501217</x:v>
      </x:c>
      <x:c r="J180" s="87" t="n">
        <x:f>$B$13*'Transformaciones'!P173</x:f>
        <x:v>0</x:v>
      </x:c>
      <x:c r="K180" s="93" t="n">
        <x:f>SUM(C180:J180)</x:f>
        <x:v>-0.015080277580761647</x:v>
      </x:c>
      <x:c r="L180" s="93" t="n">
        <x:f>B180-K180</x:f>
        <x:v>0.0057635704408913295</x:v>
      </x:c>
      <x:c r="M180" s="79" t="n">
        <x:f>'Datos_fuente'!B173</x:f>
        <x:v>3401.473</x:v>
      </x:c>
      <x:c r="N180" s="79" t="n">
        <x:f>EXP('Transformaciones'!B172+K180)</x:f>
        <x:v>3381.924758708524</x:v>
      </x:c>
      <x:c r="O180" s="1"/>
      <x:c r="P180" s="1"/>
      <x:c r="Q180" s="1"/>
      <x:c r="R180" s="1"/>
      <x:c r="S180" s="1"/>
      <x:c r="T180" s="1"/>
      <x:c r="U180" s="1"/>
      <x:c r="V180" s="1"/>
      <x:c r="W180" s="1"/>
      <x:c r="X180" s="1"/>
      <x:c r="Y180" s="1"/>
      <x:c r="Z180" s="1"/>
    </x:row>
    <x:row r="181">
      <x:c r="A181" s="1" t="str">
        <x:f>'Transformaciones'!A174</x:f>
        <x:v>2019-12</x:v>
      </x:c>
      <x:c r="B181" s="87" t="n">
        <x:f>'Transformaciones'!C174</x:f>
        <x:v>-0.0069097622245291035</x:v>
      </x:c>
      <x:c r="C181" s="87" t="n">
        <x:f>$B$6</x:f>
        <x:v>-0.00045209606279241735</x:v>
      </x:c>
      <x:c r="D181" s="87" t="n">
        <x:f>$B$7*'Transformaciones'!E174</x:f>
        <x:v>-0.0031757493919076533</x:v>
      </x:c>
      <x:c r="E181" s="87" t="n">
        <x:f>$B$8*'Transformaciones'!M174</x:f>
        <x:v>-0.00679310332110034</x:v>
      </x:c>
      <x:c r="F181" s="87" t="n">
        <x:f>$B$9*'Transformaciones'!O174</x:f>
        <x:v>0.0036268441548207046</x:v>
      </x:c>
      <x:c r="G181" s="87" t="n">
        <x:f>$B$10*'Transformaciones'!G173</x:f>
        <x:v>-0.0016905436288654594</x:v>
      </x:c>
      <x:c r="H181" s="87" t="n">
        <x:f>$B$11*'Transformaciones'!I173</x:f>
        <x:v>-0.002774478061001814</x:v>
      </x:c>
      <x:c r="I181" s="87" t="n">
        <x:f>$B$12*'Transformaciones'!K173</x:f>
        <x:v>0.00032151462851950533</x:v>
      </x:c>
      <x:c r="J181" s="87" t="n">
        <x:f>$B$13*'Transformaciones'!P174</x:f>
        <x:v>0</x:v>
      </x:c>
      <x:c r="K181" s="93" t="n">
        <x:f>SUM(C181:J181)</x:f>
        <x:v>-0.010937611682327476</x:v>
      </x:c>
      <x:c r="L181" s="93" t="n">
        <x:f>B181-K181</x:f>
        <x:v>0.004027849457798372</x:v>
      </x:c>
      <x:c r="M181" s="79" t="n">
        <x:f>'Datos_fuente'!B174</x:f>
        <x:v>3378.050645</x:v>
      </x:c>
      <x:c r="N181" s="79" t="n">
        <x:f>EXP('Transformaciones'!B173+K181)</x:f>
        <x:v>3364.4717308103964</x:v>
      </x:c>
      <x:c r="O181" s="1"/>
      <x:c r="P181" s="1"/>
      <x:c r="Q181" s="1"/>
      <x:c r="R181" s="1"/>
      <x:c r="S181" s="1"/>
      <x:c r="T181" s="1"/>
      <x:c r="U181" s="1"/>
      <x:c r="V181" s="1"/>
      <x:c r="W181" s="1"/>
      <x:c r="X181" s="1"/>
      <x:c r="Y181" s="1"/>
      <x:c r="Z181" s="1"/>
    </x:row>
    <x:row r="182">
      <x:c r="A182" s="1" t="str">
        <x:f>'Transformaciones'!A175</x:f>
        <x:v>2020-01</x:v>
      </x:c>
      <x:c r="B182" s="87" t="n">
        <x:f>'Transformaciones'!C175</x:f>
        <x:v>-0.019991364271753298</x:v>
      </x:c>
      <x:c r="C182" s="87" t="n">
        <x:f>$B$6</x:f>
        <x:v>-0.00045209606279241735</x:v>
      </x:c>
      <x:c r="D182" s="87" t="n">
        <x:f>$B$7*'Transformaciones'!E175</x:f>
        <x:v>0.002822419285376965</x:v>
      </x:c>
      <x:c r="E182" s="87" t="n">
        <x:f>$B$8*'Transformaciones'!M175</x:f>
        <x:v>-0.00662433989101142</x:v>
      </x:c>
      <x:c r="F182" s="87" t="n">
        <x:f>$B$9*'Transformaciones'!O175</x:f>
        <x:v>0.0005138919421203056</x:v>
      </x:c>
      <x:c r="G182" s="87" t="n">
        <x:f>$B$10*'Transformaciones'!G174</x:f>
        <x:v>0.0014773151016934307</x:v>
      </x:c>
      <x:c r="H182" s="87" t="n">
        <x:f>$B$11*'Transformaciones'!I174</x:f>
        <x:v>0</x:v>
      </x:c>
      <x:c r="I182" s="87" t="n">
        <x:f>$B$12*'Transformaciones'!K174</x:f>
        <x:v>0.0014603096819304003</x:v>
      </x:c>
      <x:c r="J182" s="87" t="n">
        <x:f>$B$13*'Transformaciones'!P175</x:f>
        <x:v>0</x:v>
      </x:c>
      <x:c r="K182" s="93" t="n">
        <x:f>SUM(C182:J182)</x:f>
        <x:v>-0.0008024999426827354</x:v>
      </x:c>
      <x:c r="L182" s="93" t="n">
        <x:f>B182-K182</x:f>
        <x:v>-0.019188864329070562</x:v>
      </x:c>
      <x:c r="M182" s="79" t="n">
        <x:f>'Datos_fuente'!B175</x:f>
        <x:v>3311.189355</x:v>
      </x:c>
      <x:c r="N182" s="79" t="n">
        <x:f>EXP('Transformaciones'!B174+K182)</x:f>
        <x:v>3375.3408470028007</x:v>
      </x:c>
      <x:c r="O182" s="1"/>
      <x:c r="P182" s="1"/>
      <x:c r="Q182" s="1"/>
      <x:c r="R182" s="1"/>
      <x:c r="S182" s="1"/>
      <x:c r="T182" s="1"/>
      <x:c r="U182" s="1"/>
      <x:c r="V182" s="1"/>
      <x:c r="W182" s="1"/>
      <x:c r="X182" s="1"/>
      <x:c r="Y182" s="1"/>
      <x:c r="Z182" s="1"/>
    </x:row>
    <x:row r="183">
      <x:c r="A183" s="1" t="str">
        <x:f>'Transformaciones'!A176</x:f>
        <x:v>2020-02</x:v>
      </x:c>
      <x:c r="B183" s="87" t="n">
        <x:f>'Transformaciones'!C176</x:f>
        <x:v>0.02971352402789229</x:v>
      </x:c>
      <x:c r="C183" s="87" t="n">
        <x:f>$B$6</x:f>
        <x:v>-0.00045209606279241735</x:v>
      </x:c>
      <x:c r="D183" s="87" t="n">
        <x:f>$B$7*'Transformaciones'!E176</x:f>
        <x:v>0.006932970650386379</x:v>
      </x:c>
      <x:c r="E183" s="87" t="n">
        <x:f>$B$8*'Transformaciones'!M176</x:f>
        <x:v>0.014991221550689101</x:v>
      </x:c>
      <x:c r="F183" s="87" t="n">
        <x:f>$B$9*'Transformaciones'!O176</x:f>
        <x:v>0.013213991588226705</x:v>
      </x:c>
      <x:c r="G183" s="87" t="n">
        <x:f>$B$10*'Transformaciones'!G175</x:f>
        <x:v>-0.0012856253803857952</x:v>
      </x:c>
      <x:c r="H183" s="87" t="n">
        <x:f>$B$11*'Transformaciones'!I175</x:f>
        <x:v>0</x:v>
      </x:c>
      <x:c r="I183" s="87" t="n">
        <x:f>$B$12*'Transformaciones'!K175</x:f>
        <x:v>0.0011771954723321847</x:v>
      </x:c>
      <x:c r="J183" s="87" t="n">
        <x:f>$B$13*'Transformaciones'!P176</x:f>
        <x:v>0</x:v>
      </x:c>
      <x:c r="K183" s="93" t="n">
        <x:f>SUM(C183:J183)</x:f>
        <x:v>0.034577657818456155</x:v>
      </x:c>
      <x:c r="L183" s="93" t="n">
        <x:f>B183-K183</x:f>
        <x:v>-0.004864133790563864</x:v>
      </x:c>
      <x:c r="M183" s="79" t="n">
        <x:f>'Datos_fuente'!B176</x:f>
        <x:v>3411.052759</x:v>
      </x:c>
      <x:c r="N183" s="79" t="n">
        <x:f>EXP('Transformaciones'!B175+K183)</x:f>
        <x:v>3427.6849939014164</x:v>
      </x:c>
      <x:c r="O183" s="1"/>
      <x:c r="P183" s="1"/>
      <x:c r="Q183" s="1"/>
      <x:c r="R183" s="1"/>
      <x:c r="S183" s="1"/>
      <x:c r="T183" s="1"/>
      <x:c r="U183" s="1"/>
      <x:c r="V183" s="1"/>
      <x:c r="W183" s="1"/>
      <x:c r="X183" s="1"/>
      <x:c r="Y183" s="1"/>
      <x:c r="Z183" s="1"/>
    </x:row>
    <x:row r="184">
      <x:c r="A184" s="1" t="str">
        <x:f>'Transformaciones'!A177</x:f>
        <x:v>2020-03</x:v>
      </x:c>
      <x:c r="B184" s="87" t="n">
        <x:f>'Transformaciones'!C177</x:f>
        <x:v>0.1280531685085613</x:v>
      </x:c>
      <x:c r="C184" s="87" t="n">
        <x:f>$B$6</x:f>
        <x:v>-0.00045209606279241735</x:v>
      </x:c>
      <x:c r="D184" s="87" t="n">
        <x:f>$B$7*'Transformaciones'!E177</x:f>
        <x:v>0.028591870918498144</x:v>
      </x:c>
      <x:c r="E184" s="87" t="n">
        <x:f>$B$8*'Transformaciones'!M177</x:f>
        <x:v>0.04408288094080682</x:v>
      </x:c>
      <x:c r="F184" s="87" t="n">
        <x:f>$B$9*'Transformaciones'!O177</x:f>
        <x:v>0.0416642167062036</x:v>
      </x:c>
      <x:c r="G184" s="87" t="n">
        <x:f>$B$10*'Transformaciones'!G176</x:f>
        <x:v>0.0008980339233077207</x:v>
      </x:c>
      <x:c r="H184" s="87" t="n">
        <x:f>$B$11*'Transformaciones'!I176</x:f>
        <x:v>0.0002972655065359108</x:v>
      </x:c>
      <x:c r="I184" s="87" t="n">
        <x:f>$B$12*'Transformaciones'!K176</x:f>
        <x:v>-0.001526600541665313</x:v>
      </x:c>
      <x:c r="J184" s="87" t="n">
        <x:f>$B$13*'Transformaciones'!P177</x:f>
        <x:v>0.008132674061635627</x:v>
      </x:c>
      <x:c r="K184" s="93" t="n">
        <x:f>SUM(C184:J184)</x:f>
        <x:v>0.1216882454525301</x:v>
      </x:c>
      <x:c r="L184" s="93" t="n">
        <x:f>B184-K184</x:f>
        <x:v>0.006364923056031202</x:v>
      </x:c>
      <x:c r="M184" s="79" t="n">
        <x:f>'Datos_fuente'!B177</x:f>
        <x:v>3877.048387</x:v>
      </x:c>
      <x:c r="N184" s="79" t="n">
        <x:f>EXP('Transformaciones'!B176+K184)</x:f>
        <x:v>3852.449639944195</x:v>
      </x:c>
      <x:c r="O184" s="1"/>
      <x:c r="P184" s="1"/>
      <x:c r="Q184" s="1"/>
      <x:c r="R184" s="1"/>
      <x:c r="S184" s="1"/>
      <x:c r="T184" s="1"/>
      <x:c r="U184" s="1"/>
      <x:c r="V184" s="1"/>
      <x:c r="W184" s="1"/>
      <x:c r="X184" s="1"/>
      <x:c r="Y184" s="1"/>
      <x:c r="Z184" s="1"/>
    </x:row>
    <x:row r="185">
      <x:c r="A185" s="1" t="str">
        <x:f>'Transformaciones'!A178</x:f>
        <x:v>2020-04</x:v>
      </x:c>
      <x:c r="B185" s="87" t="n">
        <x:f>'Transformaciones'!C178</x:f>
        <x:v>0.025552524134122123</x:v>
      </x:c>
      <x:c r="C185" s="87" t="n">
        <x:f>$B$6</x:f>
        <x:v>-0.00045209606279241735</x:v>
      </x:c>
      <x:c r="D185" s="87" t="n">
        <x:f>$B$7*'Transformaciones'!E178</x:f>
        <x:v>0.02868453179702163</x:v>
      </x:c>
      <x:c r="E185" s="87" t="n">
        <x:f>$B$8*'Transformaciones'!M178</x:f>
        <x:v>0.022456643067723655</x:v>
      </x:c>
      <x:c r="F185" s="87" t="n">
        <x:f>$B$9*'Transformaciones'!O178</x:f>
        <x:v>-0.01279462762516441</x:v>
      </x:c>
      <x:c r="G185" s="87" t="n">
        <x:f>$B$10*'Transformaciones'!G177</x:f>
        <x:v>0.005829944367696375</x:v>
      </x:c>
      <x:c r="H185" s="87" t="n">
        <x:f>$B$11*'Transformaciones'!I177</x:f>
        <x:v>-0.008895590368210051</x:v>
      </x:c>
      <x:c r="I185" s="87" t="n">
        <x:f>$B$12*'Transformaciones'!K177</x:f>
        <x:v>-0.0006493519709454721</x:v>
      </x:c>
      <x:c r="J185" s="87" t="n">
        <x:f>$B$13*'Transformaciones'!P178</x:f>
        <x:v>0.008132674061635627</x:v>
      </x:c>
      <x:c r="K185" s="93" t="n">
        <x:f>SUM(C185:J185)</x:f>
        <x:v>0.042312127266964934</x:v>
      </x:c>
      <x:c r="L185" s="93" t="n">
        <x:f>B185-K185</x:f>
        <x:v>-0.01675960313284281</x:v>
      </x:c>
      <x:c r="M185" s="79" t="n">
        <x:f>'Datos_fuente'!B178</x:f>
        <x:v>3977.393333</x:v>
      </x:c>
      <x:c r="N185" s="79" t="n">
        <x:f>EXP('Transformaciones'!B177+K185)</x:f>
        <x:v>4044.614594151437</x:v>
      </x:c>
      <x:c r="O185" s="1"/>
      <x:c r="P185" s="1"/>
      <x:c r="Q185" s="1"/>
      <x:c r="R185" s="1"/>
      <x:c r="S185" s="1"/>
      <x:c r="T185" s="1"/>
      <x:c r="U185" s="1"/>
      <x:c r="V185" s="1"/>
      <x:c r="W185" s="1"/>
      <x:c r="X185" s="1"/>
      <x:c r="Y185" s="1"/>
      <x:c r="Z185" s="1"/>
    </x:row>
    <x:row r="186">
      <x:c r="A186" s="1" t="str">
        <x:f>'Transformaciones'!A179</x:f>
        <x:v>2020-05</x:v>
      </x:c>
      <x:c r="B186" s="87" t="n">
        <x:f>'Transformaciones'!C179</x:f>
        <x:v>-0.030428083613546875</x:v>
      </x:c>
      <x:c r="C186" s="87" t="n">
        <x:f>$B$6</x:f>
        <x:v>-0.00045209606279241735</x:v>
      </x:c>
      <x:c r="D186" s="87" t="n">
        <x:f>$B$7*'Transformaciones'!E179</x:f>
        <x:v>-0.02424868270093003</x:v>
      </x:c>
      <x:c r="E186" s="87" t="n">
        <x:f>$B$8*'Transformaciones'!M179</x:f>
        <x:v>-0.006575139575346705</x:v>
      </x:c>
      <x:c r="F186" s="87" t="n">
        <x:f>$B$9*'Transformaciones'!O179</x:f>
        <x:v>-0.011350535269480244</x:v>
      </x:c>
      <x:c r="G186" s="87" t="n">
        <x:f>$B$10*'Transformaciones'!G178</x:f>
        <x:v>-0.009132699768229814</x:v>
      </x:c>
      <x:c r="H186" s="87" t="n">
        <x:f>$B$11*'Transformaciones'!I178</x:f>
        <x:v>-0.0013105253561894723</x:v>
      </x:c>
      <x:c r="I186" s="87" t="n">
        <x:f>$B$12*'Transformaciones'!K178</x:f>
        <x:v>0.004114241119364783</x:v>
      </x:c>
      <x:c r="J186" s="87" t="n">
        <x:f>$B$13*'Transformaciones'!P179</x:f>
        <x:v>0.008132674061635627</x:v>
      </x:c>
      <x:c r="K186" s="93" t="n">
        <x:f>SUM(C186:J186)</x:f>
        <x:v>-0.04082276355196827</x:v>
      </x:c>
      <x:c r="L186" s="93" t="n">
        <x:f>B186-K186</x:f>
        <x:v>0.010394679938421393</x:v>
      </x:c>
      <x:c r="M186" s="79" t="n">
        <x:f>'Datos_fuente'!B179</x:f>
        <x:v>3858.191613</x:v>
      </x:c>
      <x:c r="N186" s="79" t="n">
        <x:f>EXP('Transformaciones'!B178+K186)</x:f>
        <x:v>3818.2946632891867</x:v>
      </x:c>
      <x:c r="O186" s="1"/>
      <x:c r="P186" s="1"/>
      <x:c r="Q186" s="1"/>
      <x:c r="R186" s="1"/>
      <x:c r="S186" s="1"/>
      <x:c r="T186" s="1"/>
      <x:c r="U186" s="1"/>
      <x:c r="V186" s="1"/>
      <x:c r="W186" s="1"/>
      <x:c r="X186" s="1"/>
      <x:c r="Y186" s="1"/>
      <x:c r="Z186" s="1"/>
    </x:row>
    <x:row r="187">
      <x:c r="A187" s="1" t="str">
        <x:f>'Transformaciones'!A180</x:f>
        <x:v>2020-06</x:v>
      </x:c>
      <x:c r="B187" s="87" t="n">
        <x:f>'Transformaciones'!C180</x:f>
        <x:v>-0.041432250472812626</x:v>
      </x:c>
      <x:c r="C187" s="87" t="n">
        <x:f>$B$6</x:f>
        <x:v>-0.00045209606279241735</x:v>
      </x:c>
      <x:c r="D187" s="87" t="n">
        <x:f>$B$7*'Transformaciones'!E180</x:f>
        <x:v>-0.016295959524230835</x:v>
      </x:c>
      <x:c r="E187" s="87" t="n">
        <x:f>$B$8*'Transformaciones'!M180</x:f>
        <x:v>-0.029471903276286786</x:v>
      </x:c>
      <x:c r="F187" s="87" t="n">
        <x:f>$B$9*'Transformaciones'!O180</x:f>
        <x:v>0.00027715913015271686</x:v>
      </x:c>
      <x:c r="G187" s="87" t="n">
        <x:f>$B$10*'Transformaciones'!G179</x:f>
        <x:v>-0.007776114629491235</x:v>
      </x:c>
      <x:c r="H187" s="87" t="n">
        <x:f>$B$11*'Transformaciones'!I179</x:f>
        <x:v>0.004474964612281569</x:v>
      </x:c>
      <x:c r="I187" s="87" t="n">
        <x:f>$B$12*'Transformaciones'!K179</x:f>
        <x:v>0.003154721566665332</x:v>
      </x:c>
      <x:c r="J187" s="87" t="n">
        <x:f>$B$13*'Transformaciones'!P180</x:f>
        <x:v>0</x:v>
      </x:c>
      <x:c r="K187" s="93" t="n">
        <x:f>SUM(C187:J187)</x:f>
        <x:v>-0.04608922818370166</x:v>
      </x:c>
      <x:c r="L187" s="93" t="n">
        <x:f>B187-K187</x:f>
        <x:v>0.004656977710889035</x:v>
      </x:c>
      <x:c r="M187" s="79" t="n">
        <x:f>'Datos_fuente'!B180</x:f>
        <x:v>3701.604333</x:v>
      </x:c>
      <x:c r="N187" s="79" t="n">
        <x:f>EXP('Transformaciones'!B179+K187)</x:f>
        <x:v>3684.406121053628</x:v>
      </x:c>
      <x:c r="O187" s="1"/>
      <x:c r="P187" s="1"/>
      <x:c r="Q187" s="1"/>
      <x:c r="R187" s="1"/>
      <x:c r="S187" s="1"/>
      <x:c r="T187" s="1"/>
      <x:c r="U187" s="1"/>
      <x:c r="V187" s="1"/>
      <x:c r="W187" s="1"/>
      <x:c r="X187" s="1"/>
      <x:c r="Y187" s="1"/>
      <x:c r="Z187" s="1"/>
    </x:row>
    <x:row r="188">
      <x:c r="A188" s="1" t="str">
        <x:f>'Transformaciones'!A181</x:f>
        <x:v>2020-07</x:v>
      </x:c>
      <x:c r="B188" s="87" t="n">
        <x:f>'Transformaciones'!C181</x:f>
        <x:v>-0.011886200327753116</x:v>
      </x:c>
      <x:c r="C188" s="87" t="n">
        <x:f>$B$6</x:f>
        <x:v>-0.00045209606279241735</x:v>
      </x:c>
      <x:c r="D188" s="87" t="n">
        <x:f>$B$7*'Transformaciones'!E181</x:f>
        <x:v>-0.0036850651131775623</x:v>
      </x:c>
      <x:c r="E188" s="87" t="n">
        <x:f>$B$8*'Transformaciones'!M181</x:f>
        <x:v>-0.010057536244603503</x:v>
      </x:c>
      <x:c r="F188" s="87" t="n">
        <x:f>$B$9*'Transformaciones'!O181</x:f>
        <x:v>-0.005712552980482904</x:v>
      </x:c>
      <x:c r="G188" s="87" t="n">
        <x:f>$B$10*'Transformaciones'!G180</x:f>
        <x:v>0.000025962647870836284</x:v>
      </x:c>
      <x:c r="H188" s="87" t="n">
        <x:f>$B$11*'Transformaciones'!I180</x:f>
        <x:v>0.005731151112117955</x:v>
      </x:c>
      <x:c r="I188" s="87" t="n">
        <x:f>$B$12*'Transformaciones'!K180</x:f>
        <x:v>0.00546611578188808</x:v>
      </x:c>
      <x:c r="J188" s="87" t="n">
        <x:f>$B$13*'Transformaciones'!P181</x:f>
        <x:v>0</x:v>
      </x:c>
      <x:c r="K188" s="93" t="n">
        <x:f>SUM(C188:J188)</x:f>
        <x:v>-0.008684020859179513</x:v>
      </x:c>
      <x:c r="L188" s="93" t="n">
        <x:f>B188-K188</x:f>
        <x:v>-0.003202179468573603</x:v>
      </x:c>
      <x:c r="M188" s="79" t="n">
        <x:f>'Datos_fuente'!B181</x:f>
        <x:v>3657.866774</x:v>
      </x:c>
      <x:c r="N188" s="79" t="n">
        <x:f>EXP('Transformaciones'!B180+K188)</x:f>
        <x:v>3669.598693713817</x:v>
      </x:c>
      <x:c r="O188" s="1"/>
      <x:c r="P188" s="1"/>
      <x:c r="Q188" s="1"/>
      <x:c r="R188" s="1"/>
      <x:c r="S188" s="1"/>
      <x:c r="T188" s="1"/>
      <x:c r="U188" s="1"/>
      <x:c r="V188" s="1"/>
      <x:c r="W188" s="1"/>
      <x:c r="X188" s="1"/>
      <x:c r="Y188" s="1"/>
      <x:c r="Z188" s="1"/>
    </x:row>
    <x:row r="189">
      <x:c r="A189" s="1" t="str">
        <x:f>'Transformaciones'!A182</x:f>
        <x:v>2020-08</x:v>
      </x:c>
      <x:c r="B189" s="87" t="n">
        <x:f>'Transformaciones'!C182</x:f>
        <x:v>0.03364403834070728</x:v>
      </x:c>
      <x:c r="C189" s="87" t="n">
        <x:f>$B$6</x:f>
        <x:v>-0.00045209606279241735</x:v>
      </x:c>
      <x:c r="D189" s="87" t="n">
        <x:f>$B$7*'Transformaciones'!E182</x:f>
        <x:v>-0.00175558749325345</x:v>
      </x:c>
      <x:c r="E189" s="87" t="n">
        <x:f>$B$8*'Transformaciones'!M182</x:f>
        <x:v>-0.01799294735718407</x:v>
      </x:c>
      <x:c r="F189" s="87" t="n">
        <x:f>$B$9*'Transformaciones'!O182</x:f>
        <x:v>-0.0061491286283030374</x:v>
      </x:c>
      <x:c r="G189" s="87" t="n">
        <x:f>$B$10*'Transformaciones'!G181</x:f>
        <x:v>-0.0008631778502642933</x:v>
      </x:c>
      <x:c r="H189" s="87" t="n">
        <x:f>$B$11*'Transformaciones'!I181</x:f>
        <x:v>0.002576301056644537</x:v>
      </x:c>
      <x:c r="I189" s="87" t="n">
        <x:f>$B$12*'Transformaciones'!K181</x:f>
        <x:v>0.002654607827207306</x:v>
      </x:c>
      <x:c r="J189" s="87" t="n">
        <x:f>$B$13*'Transformaciones'!P182</x:f>
        <x:v>0</x:v>
      </x:c>
      <x:c r="K189" s="93" t="n">
        <x:f>SUM(C189:J189)</x:f>
        <x:v>-0.021982028507945426</x:v>
      </x:c>
      <x:c r="L189" s="93" t="n">
        <x:f>B189-K189</x:f>
        <x:v>0.055626066848652705</x:v>
      </x:c>
      <x:c r="M189" s="79" t="n">
        <x:f>'Datos_fuente'!B182</x:f>
        <x:v>3783.025806</x:v>
      </x:c>
      <x:c r="N189" s="79" t="n">
        <x:f>EXP('Transformaciones'!B181+K189)</x:f>
        <x:v>3578.3367602565722</x:v>
      </x:c>
      <x:c r="O189" s="1"/>
      <x:c r="P189" s="1"/>
      <x:c r="Q189" s="1"/>
      <x:c r="R189" s="1"/>
      <x:c r="S189" s="1"/>
      <x:c r="T189" s="1"/>
      <x:c r="U189" s="1"/>
      <x:c r="V189" s="1"/>
      <x:c r="W189" s="1"/>
      <x:c r="X189" s="1"/>
      <x:c r="Y189" s="1"/>
      <x:c r="Z189" s="1"/>
    </x:row>
    <x:row r="190">
      <x:c r="A190" s="1" t="str">
        <x:f>'Transformaciones'!A183</x:f>
        <x:v>2020-09</x:v>
      </x:c>
      <x:c r="B190" s="87" t="n">
        <x:f>'Transformaciones'!C183</x:f>
        <x:v>-0.008710906730742707</x:v>
      </x:c>
      <x:c r="C190" s="87" t="n">
        <x:f>$B$6</x:f>
        <x:v>-0.00045209606279241735</x:v>
      </x:c>
      <x:c r="D190" s="87" t="n">
        <x:f>$B$7*'Transformaciones'!E183</x:f>
        <x:v>0.004622071249304316</x:v>
      </x:c>
      <x:c r="E190" s="87" t="n">
        <x:f>$B$8*'Transformaciones'!M183</x:f>
        <x:v>-0.006272956548171522</x:v>
      </x:c>
      <x:c r="F190" s="87" t="n">
        <x:f>$B$9*'Transformaciones'!O183</x:f>
        <x:v>0.007293346024752551</x:v>
      </x:c>
      <x:c r="G190" s="87" t="n">
        <x:f>$B$10*'Transformaciones'!G182</x:f>
        <x:v>-0.0017325567977940673</x:v>
      </x:c>
      <x:c r="H190" s="87" t="n">
        <x:f>$B$11*'Transformaciones'!I182</x:f>
        <x:v>0.00241648089439741</x:v>
      </x:c>
      <x:c r="I190" s="87" t="n">
        <x:f>$B$12*'Transformaciones'!K182</x:f>
        <x:v>0.0023031060113062954</x:v>
      </x:c>
      <x:c r="J190" s="87" t="n">
        <x:f>$B$13*'Transformaciones'!P183</x:f>
        <x:v>0</x:v>
      </x:c>
      <x:c r="K190" s="93" t="n">
        <x:f>SUM(C190:J190)</x:f>
        <x:v>0.008177394771002565</x:v>
      </x:c>
      <x:c r="L190" s="93" t="n">
        <x:f>B190-K190</x:f>
        <x:v>-0.01688830150174527</x:v>
      </x:c>
      <x:c r="M190" s="79" t="n">
        <x:f>'Datos_fuente'!B183</x:f>
        <x:v>3750.215333</x:v>
      </x:c>
      <x:c r="N190" s="79" t="n">
        <x:f>EXP('Transformaciones'!B182+K190)</x:f>
        <x:v>3814.0879319849096</x:v>
      </x:c>
      <x:c r="O190" s="1"/>
      <x:c r="P190" s="1"/>
      <x:c r="Q190" s="1"/>
      <x:c r="R190" s="1"/>
      <x:c r="S190" s="1"/>
      <x:c r="T190" s="1"/>
      <x:c r="U190" s="1"/>
      <x:c r="V190" s="1"/>
      <x:c r="W190" s="1"/>
      <x:c r="X190" s="1"/>
      <x:c r="Y190" s="1"/>
      <x:c r="Z190" s="1"/>
    </x:row>
    <x:row r="191">
      <x:c r="A191" s="1" t="str">
        <x:f>'Transformaciones'!A184</x:f>
        <x:v>2020-10</x:v>
      </x:c>
      <x:c r="B191" s="87" t="n">
        <x:f>'Transformaciones'!C184</x:f>
        <x:v>0.02204018884077108</x:v>
      </x:c>
      <x:c r="C191" s="87" t="n">
        <x:f>$B$6</x:f>
        <x:v>-0.00045209606279241735</x:v>
      </x:c>
      <x:c r="D191" s="87" t="n">
        <x:f>$B$7*'Transformaciones'!E184</x:f>
        <x:v>0.0009178750423406693</x:v>
      </x:c>
      <x:c r="E191" s="87" t="n">
        <x:f>$B$8*'Transformaciones'!M184</x:f>
        <x:v>-0.005897266052824403</x:v>
      </x:c>
      <x:c r="F191" s="87" t="n">
        <x:f>$B$9*'Transformaciones'!O184</x:f>
        <x:v>0.0024239684320222256</x:v>
      </x:c>
      <x:c r="G191" s="87" t="n">
        <x:f>$B$10*'Transformaciones'!G183</x:f>
        <x:v>0.00275106946130863</x:v>
      </x:c>
      <x:c r="H191" s="87" t="n">
        <x:f>$B$11*'Transformaciones'!I183</x:f>
        <x:v>0.0027856654699809883</x:v>
      </x:c>
      <x:c r="I191" s="87" t="n">
        <x:f>$B$12*'Transformaciones'!K183</x:f>
        <x:v>0.004486319268747737</x:v>
      </x:c>
      <x:c r="J191" s="87" t="n">
        <x:f>$B$13*'Transformaciones'!P184</x:f>
        <x:v>0</x:v>
      </x:c>
      <x:c r="K191" s="93" t="n">
        <x:f>SUM(C191:J191)</x:f>
        <x:v>0.007015535558783429</x:v>
      </x:c>
      <x:c r="L191" s="93" t="n">
        <x:f>B191-K191</x:f>
        <x:v>0.015024653281987651</x:v>
      </x:c>
      <x:c r="M191" s="79" t="n">
        <x:f>'Datos_fuente'!B184</x:f>
        <x:v>3833.788387</x:v>
      </x:c>
      <x:c r="N191" s="79" t="n">
        <x:f>EXP('Transformaciones'!B183+K191)</x:f>
        <x:v>3776.6176067787587</x:v>
      </x:c>
      <x:c r="O191" s="1"/>
      <x:c r="P191" s="1"/>
      <x:c r="Q191" s="1"/>
      <x:c r="R191" s="1"/>
      <x:c r="S191" s="1"/>
      <x:c r="T191" s="1"/>
      <x:c r="U191" s="1"/>
      <x:c r="V191" s="1"/>
      <x:c r="W191" s="1"/>
      <x:c r="X191" s="1"/>
      <x:c r="Y191" s="1"/>
      <x:c r="Z191" s="1"/>
    </x:row>
    <x:row r="192">
      <x:c r="A192" s="1" t="str">
        <x:f>'Transformaciones'!A185</x:f>
        <x:v>2020-11</x:v>
      </x:c>
      <x:c r="B192" s="87" t="n">
        <x:f>'Transformaciones'!C185</x:f>
        <x:v>-0.039412879237527676</x:v>
      </x:c>
      <x:c r="C192" s="87" t="n">
        <x:f>$B$6</x:f>
        <x:v>-0.00045209606279241735</x:v>
      </x:c>
      <x:c r="D192" s="87" t="n">
        <x:f>$B$7*'Transformaciones'!E185</x:f>
        <x:v>-0.0031229150615849203</x:v>
      </x:c>
      <x:c r="E192" s="87" t="n">
        <x:f>$B$8*'Transformaciones'!M185</x:f>
        <x:v>-0.017774533556374063</x:v>
      </x:c>
      <x:c r="F192" s="87" t="n">
        <x:f>$B$9*'Transformaciones'!O185</x:f>
        <x:v>-0.006318322249253268</x:v>
      </x:c>
      <x:c r="G192" s="87" t="n">
        <x:f>$B$10*'Transformaciones'!G184</x:f>
        <x:v>0.001900726540398792</x:v>
      </x:c>
      <x:c r="H192" s="87" t="n">
        <x:f>$B$11*'Transformaciones'!I184</x:f>
        <x:v>0.0022294912990193138</x:v>
      </x:c>
      <x:c r="I192" s="87" t="n">
        <x:f>$B$12*'Transformaciones'!K184</x:f>
        <x:v>-0.0038138232619534863</x:v>
      </x:c>
      <x:c r="J192" s="87" t="n">
        <x:f>$B$13*'Transformaciones'!P185</x:f>
        <x:v>0</x:v>
      </x:c>
      <x:c r="K192" s="93" t="n">
        <x:f>SUM(C192:J192)</x:f>
        <x:v>-0.02735147235254005</x:v>
      </x:c>
      <x:c r="L192" s="93" t="n">
        <x:f>B192-K192</x:f>
        <x:v>-0.012061406884987625</x:v>
      </x:c>
      <x:c r="M192" s="79" t="n">
        <x:f>'Datos_fuente'!B185</x:f>
        <x:v>3685.626667</x:v>
      </x:c>
      <x:c r="N192" s="79" t="n">
        <x:f>EXP('Transformaciones'!B184+K192)</x:f>
        <x:v>3730.3496788971725</x:v>
      </x:c>
      <x:c r="O192" s="1"/>
      <x:c r="P192" s="1"/>
      <x:c r="Q192" s="1"/>
      <x:c r="R192" s="1"/>
      <x:c r="S192" s="1"/>
      <x:c r="T192" s="1"/>
      <x:c r="U192" s="1"/>
      <x:c r="V192" s="1"/>
      <x:c r="W192" s="1"/>
      <x:c r="X192" s="1"/>
      <x:c r="Y192" s="1"/>
      <x:c r="Z192" s="1"/>
    </x:row>
    <x:row r="193">
      <x:c r="A193" s="1" t="str">
        <x:f>'Transformaciones'!A186</x:f>
        <x:v>2020-12</x:v>
      </x:c>
      <x:c r="B193" s="87" t="n">
        <x:f>'Transformaciones'!C186</x:f>
        <x:v>-0.06140270980120022</x:v>
      </x:c>
      <x:c r="C193" s="87" t="n">
        <x:f>$B$6</x:f>
        <x:v>-0.00045209606279241735</x:v>
      </x:c>
      <x:c r="D193" s="87" t="n">
        <x:f>$B$7*'Transformaciones'!E186</x:f>
        <x:v>-0.008160930925914685</x:v>
      </x:c>
      <x:c r="E193" s="87" t="n">
        <x:f>$B$8*'Transformaciones'!M186</x:f>
        <x:v>-0.02364750373725445</x:v>
      </x:c>
      <x:c r="F193" s="87" t="n">
        <x:f>$B$9*'Transformaciones'!O186</x:f>
        <x:v>-0.004278536778764087</x:v>
      </x:c>
      <x:c r="G193" s="87" t="n">
        <x:f>$B$10*'Transformaciones'!G185</x:f>
        <x:v>0.0022833857510453485</x:v>
      </x:c>
      <x:c r="H193" s="87" t="n">
        <x:f>$B$11*'Transformaciones'!I185</x:f>
        <x:v>0</x:v>
      </x:c>
      <x:c r="I193" s="87" t="n">
        <x:f>$B$12*'Transformaciones'!K185</x:f>
        <x:v>0.001790326685252</x:v>
      </x:c>
      <x:c r="J193" s="87" t="n">
        <x:f>$B$13*'Transformaciones'!P186</x:f>
        <x:v>0</x:v>
      </x:c>
      <x:c r="K193" s="93" t="n">
        <x:f>SUM(C193:J193)</x:f>
        <x:v>-0.032465355068428285</x:v>
      </x:c>
      <x:c r="L193" s="93" t="n">
        <x:f>B193-K193</x:f>
        <x:v>-0.028937354732771932</x:v>
      </x:c>
      <x:c r="M193" s="79" t="n">
        <x:f>'Datos_fuente'!B186</x:f>
        <x:v>3466.127097</x:v>
      </x:c>
      <x:c r="N193" s="79" t="n">
        <x:f>EXP('Transformaciones'!B185+K193)</x:f>
        <x:v>3567.8929626192844</x:v>
      </x:c>
      <x:c r="O193" s="1"/>
      <x:c r="P193" s="1"/>
      <x:c r="Q193" s="1"/>
      <x:c r="R193" s="1"/>
      <x:c r="S193" s="1"/>
      <x:c r="T193" s="1"/>
      <x:c r="U193" s="1"/>
      <x:c r="V193" s="1"/>
      <x:c r="W193" s="1"/>
      <x:c r="X193" s="1"/>
      <x:c r="Y193" s="1"/>
      <x:c r="Z193" s="1"/>
    </x:row>
    <x:row r="194">
      <x:c r="A194" s="1" t="str">
        <x:f>'Transformaciones'!A187</x:f>
        <x:v>2021-01</x:v>
      </x:c>
      <x:c r="B194" s="87" t="n">
        <x:f>'Transformaciones'!C187</x:f>
        <x:v>0.0072424899352565575</x:v>
      </x:c>
      <x:c r="C194" s="87" t="n">
        <x:f>$B$6</x:f>
        <x:v>-0.00045209606279241735</x:v>
      </x:c>
      <x:c r="D194" s="87" t="n">
        <x:f>$B$7*'Transformaciones'!E187</x:f>
        <x:v>-0.0047205335868692995</x:v>
      </x:c>
      <x:c r="E194" s="87" t="n">
        <x:f>$B$8*'Transformaciones'!M187</x:f>
        <x:v>-0.004481189598621408</x:v>
      </x:c>
      <x:c r="F194" s="87" t="n">
        <x:f>$B$9*'Transformaciones'!O187</x:f>
        <x:v>0.004146214093572088</x:v>
      </x:c>
      <x:c r="G194" s="87" t="n">
        <x:f>$B$10*'Transformaciones'!G186</x:f>
        <x:v>0.0004250081755863337</x:v>
      </x:c>
      <x:c r="H194" s="87" t="n">
        <x:f>$B$11*'Transformaciones'!I186</x:f>
        <x:v>0</x:v>
      </x:c>
      <x:c r="I194" s="87" t="n">
        <x:f>$B$12*'Transformaciones'!K186</x:f>
        <x:v>0.003855230654785789</x:v>
      </x:c>
      <x:c r="J194" s="87" t="n">
        <x:f>$B$13*'Transformaciones'!P187</x:f>
        <x:v>0</x:v>
      </x:c>
      <x:c r="K194" s="93" t="n">
        <x:f>SUM(C194:J194)</x:f>
        <x:v>-0.0012273663243389135</x:v>
      </x:c>
      <x:c r="L194" s="93" t="n">
        <x:f>B194-K194</x:f>
        <x:v>0.008469856259595471</x:v>
      </x:c>
      <x:c r="M194" s="79" t="n">
        <x:f>'Datos_fuente'!B187</x:f>
        <x:v>3491.321613</x:v>
      </x:c>
      <x:c r="N194" s="79" t="n">
        <x:f>EXP('Transformaciones'!B186+K194)</x:f>
        <x:v>3461.875498993102</x:v>
      </x:c>
      <x:c r="O194" s="1"/>
      <x:c r="P194" s="1"/>
      <x:c r="Q194" s="1"/>
      <x:c r="R194" s="1"/>
      <x:c r="S194" s="1"/>
      <x:c r="T194" s="1"/>
      <x:c r="U194" s="1"/>
      <x:c r="V194" s="1"/>
      <x:c r="W194" s="1"/>
      <x:c r="X194" s="1"/>
      <x:c r="Y194" s="1"/>
      <x:c r="Z194" s="1"/>
    </x:row>
    <x:row r="195">
      <x:c r="A195" s="1" t="str">
        <x:f>'Transformaciones'!A188</x:f>
        <x:v>2021-02</x:v>
      </x:c>
      <x:c r="B195" s="87" t="n">
        <x:f>'Transformaciones'!C188</x:f>
        <x:v>0.017935261977779504</x:v>
      </x:c>
      <x:c r="C195" s="87" t="n">
        <x:f>$B$6</x:f>
        <x:v>-0.00045209606279241735</x:v>
      </x:c>
      <x:c r="D195" s="87" t="n">
        <x:f>$B$7*'Transformaciones'!E188</x:f>
        <x:v>-0.006635660747343982</x:v>
      </x:c>
      <x:c r="E195" s="87" t="n">
        <x:f>$B$8*'Transformaciones'!M188</x:f>
        <x:v>0.005760024291064384</x:v>
      </x:c>
      <x:c r="F195" s="87" t="n">
        <x:f>$B$9*'Transformaciones'!O188</x:f>
        <x:v>-0.00284549984306411</x:v>
      </x:c>
      <x:c r="G195" s="87" t="n">
        <x:f>$B$10*'Transformaciones'!G187</x:f>
        <x:v>0.0003692294306153027</x:v>
      </x:c>
      <x:c r="H195" s="87" t="n">
        <x:f>$B$11*'Transformaciones'!I187</x:f>
        <x:v>0</x:v>
      </x:c>
      <x:c r="I195" s="87" t="n">
        <x:f>$B$12*'Transformaciones'!K187</x:f>
        <x:v>-0.0030092273565114256</x:v>
      </x:c>
      <x:c r="J195" s="87" t="n">
        <x:f>$B$13*'Transformaciones'!P188</x:f>
        <x:v>0</x:v>
      </x:c>
      <x:c r="K195" s="93" t="n">
        <x:f>SUM(C195:J195)</x:f>
        <x:v>-0.006813230288032247</x:v>
      </x:c>
      <x:c r="L195" s="93" t="n">
        <x:f>B195-K195</x:f>
        <x:v>0.02474849226581175</x:v>
      </x:c>
      <x:c r="M195" s="79" t="n">
        <x:f>'Datos_fuente'!B188</x:f>
        <x:v>3554.504286</x:v>
      </x:c>
      <x:c r="N195" s="79" t="n">
        <x:f>EXP('Transformaciones'!B187+K195)</x:f>
        <x:v>3467.615284881546</x:v>
      </x:c>
      <x:c r="O195" s="1"/>
      <x:c r="P195" s="1"/>
      <x:c r="Q195" s="1"/>
      <x:c r="R195" s="1"/>
      <x:c r="S195" s="1"/>
      <x:c r="T195" s="1"/>
      <x:c r="U195" s="1"/>
      <x:c r="V195" s="1"/>
      <x:c r="W195" s="1"/>
      <x:c r="X195" s="1"/>
      <x:c r="Y195" s="1"/>
      <x:c r="Z195" s="1"/>
    </x:row>
    <x:row r="196">
      <x:c r="A196" s="1" t="str">
        <x:f>'Transformaciones'!A189</x:f>
        <x:v>2021-03</x:v>
      </x:c>
      <x:c r="B196" s="87" t="n">
        <x:f>'Transformaciones'!C189</x:f>
        <x:v>0.016258732475984417</x:v>
      </x:c>
      <x:c r="C196" s="87" t="n">
        <x:f>$B$6</x:f>
        <x:v>-0.00045209606279241735</x:v>
      </x:c>
      <x:c r="D196" s="87" t="n">
        <x:f>$B$7*'Transformaciones'!E189</x:f>
        <x:v>-0.002537625689784895</x:v>
      </x:c>
      <x:c r="E196" s="87" t="n">
        <x:f>$B$8*'Transformaciones'!M189</x:f>
        <x:v>0.014229614549989866</x:v>
      </x:c>
      <x:c r="F196" s="87" t="n">
        <x:f>$B$9*'Transformaciones'!O189</x:f>
        <x:v>-0.002228354911870017</x:v>
      </x:c>
      <x:c r="G196" s="87" t="n">
        <x:f>$B$10*'Transformaciones'!G188</x:f>
        <x:v>0.0026330207340369573</x:v>
      </x:c>
      <x:c r="H196" s="87" t="n">
        <x:f>$B$11*'Transformaciones'!I188</x:f>
        <x:v>-0.00009908850217863621</x:v>
      </x:c>
      <x:c r="I196" s="87" t="n">
        <x:f>$B$12*'Transformaciones'!K188</x:f>
        <x:v>0.0025766229090505998</x:v>
      </x:c>
      <x:c r="J196" s="87" t="n">
        <x:f>$B$13*'Transformaciones'!P189</x:f>
        <x:v>0</x:v>
      </x:c>
      <x:c r="K196" s="93" t="n">
        <x:f>SUM(C196:J196)</x:f>
        <x:v>0.014122093026451458</x:v>
      </x:c>
      <x:c r="L196" s="93" t="n">
        <x:f>B196-K196</x:f>
        <x:v>0.0021366394495329587</x:v>
      </x:c>
      <x:c r="M196" s="79" t="n">
        <x:f>'Datos_fuente'!B189</x:f>
        <x:v>3612.768387</x:v>
      </x:c>
      <x:c r="N196" s="79" t="n">
        <x:f>EXP('Transformaciones'!B188+K196)</x:f>
        <x:v>3605.0574442280877</x:v>
      </x:c>
      <x:c r="O196" s="1"/>
      <x:c r="P196" s="1"/>
      <x:c r="Q196" s="1"/>
      <x:c r="R196" s="1"/>
      <x:c r="S196" s="1"/>
      <x:c r="T196" s="1"/>
      <x:c r="U196" s="1"/>
      <x:c r="V196" s="1"/>
      <x:c r="W196" s="1"/>
      <x:c r="X196" s="1"/>
      <x:c r="Y196" s="1"/>
      <x:c r="Z196" s="1"/>
    </x:row>
    <x:row r="197">
      <x:c r="A197" s="1" t="str">
        <x:f>'Transformaciones'!A190</x:f>
        <x:v>2021-04</x:v>
      </x:c>
      <x:c r="B197" s="87" t="n">
        <x:f>'Transformaciones'!C190</x:f>
        <x:v>0.01046540307923749</x:v>
      </x:c>
      <x:c r="C197" s="87" t="n">
        <x:f>$B$6</x:f>
        <x:v>-0.00045209606279241735</x:v>
      </x:c>
      <x:c r="D197" s="87" t="n">
        <x:f>$B$7*'Transformaciones'!E190</x:f>
        <x:v>0.0004791483599067056</x:v>
      </x:c>
      <x:c r="E197" s="87" t="n">
        <x:f>$B$8*'Transformaciones'!M190</x:f>
        <x:v>-0.007574589823810807</x:v>
      </x:c>
      <x:c r="F197" s="87" t="n">
        <x:f>$B$9*'Transformaciones'!O190</x:f>
        <x:v>-0.00874621845990394</x:v>
      </x:c>
      <x:c r="G197" s="87" t="n">
        <x:f>$B$10*'Transformaciones'!G189</x:f>
        <x:v>0.002870875041953316</x:v>
      </x:c>
      <x:c r="H197" s="87" t="n">
        <x:f>$B$11*'Transformaciones'!I189</x:f>
        <x:v>-0.00009908850217863621</x:v>
      </x:c>
      <x:c r="I197" s="87" t="n">
        <x:f>$B$12*'Transformaciones'!K189</x:f>
        <x:v>-0.0005526695912982486</x:v>
      </x:c>
      <x:c r="J197" s="87" t="n">
        <x:f>$B$13*'Transformaciones'!P190</x:f>
        <x:v>0</x:v>
      </x:c>
      <x:c r="K197" s="93" t="n">
        <x:f>SUM(C197:J197)</x:f>
        <x:v>-0.014074639038124026</x:v>
      </x:c>
      <x:c r="L197" s="93" t="n">
        <x:f>B197-K197</x:f>
        <x:v>0.024540042117361514</x:v>
      </x:c>
      <x:c r="M197" s="79" t="n">
        <x:f>'Datos_fuente'!B190</x:f>
        <x:v>3650.776</x:v>
      </x:c>
      <x:c r="N197" s="79" t="n">
        <x:f>EXP('Transformaciones'!B189+K197)</x:f>
        <x:v>3562.2761396236647</x:v>
      </x:c>
      <x:c r="O197" s="1"/>
      <x:c r="P197" s="1"/>
      <x:c r="Q197" s="1"/>
      <x:c r="R197" s="1"/>
      <x:c r="S197" s="1"/>
      <x:c r="T197" s="1"/>
      <x:c r="U197" s="1"/>
      <x:c r="V197" s="1"/>
      <x:c r="W197" s="1"/>
      <x:c r="X197" s="1"/>
      <x:c r="Y197" s="1"/>
      <x:c r="Z197" s="1"/>
    </x:row>
    <x:row r="198">
      <x:c r="A198" s="1" t="str">
        <x:f>'Transformaciones'!A191</x:f>
        <x:v>2021-05</x:v>
      </x:c>
      <x:c r="B198" s="87" t="n">
        <x:f>'Transformaciones'!C191</x:f>
        <x:v>0.02298640273650321</x:v>
      </x:c>
      <x:c r="C198" s="87" t="n">
        <x:f>$B$6</x:f>
        <x:v>-0.00045209606279241735</x:v>
      </x:c>
      <x:c r="D198" s="87" t="n">
        <x:f>$B$7*'Transformaciones'!E191</x:f>
        <x:v>-0.0028910009564648066</x:v>
      </x:c>
      <x:c r="E198" s="87" t="n">
        <x:f>$B$8*'Transformaciones'!M191</x:f>
        <x:v>-0.015415804514994403</x:v>
      </x:c>
      <x:c r="F198" s="87" t="n">
        <x:f>$B$9*'Transformaciones'!O191</x:f>
        <x:v>0.00487682349196727</x:v>
      </x:c>
      <x:c r="G198" s="87" t="n">
        <x:f>$B$10*'Transformaciones'!G190</x:f>
        <x:v>0.013053339089273685</x:v>
      </x:c>
      <x:c r="H198" s="87" t="n">
        <x:f>$B$11*'Transformaciones'!I190</x:f>
        <x:v>0</x:v>
      </x:c>
      <x:c r="I198" s="87" t="n">
        <x:f>$B$12*'Transformaciones'!K190</x:f>
        <x:v>-0.0010137077954755682</x:v>
      </x:c>
      <x:c r="J198" s="87" t="n">
        <x:f>$B$13*'Transformaciones'!P191</x:f>
        <x:v>0</x:v>
      </x:c>
      <x:c r="K198" s="93" t="n">
        <x:f>SUM(C198:J198)</x:f>
        <x:v>-0.001842446748486241</x:v>
      </x:c>
      <x:c r="L198" s="93" t="n">
        <x:f>B198-K198</x:f>
        <x:v>0.02482884948498945</x:v>
      </x:c>
      <x:c r="M198" s="79" t="n">
        <x:f>'Datos_fuente'!B191</x:f>
        <x:v>3735.666129</x:v>
      </x:c>
      <x:c r="N198" s="79" t="n">
        <x:f>EXP('Transformaciones'!B190+K198)</x:f>
        <x:v>3644.0558323059327</x:v>
      </x:c>
      <x:c r="O198" s="1"/>
      <x:c r="P198" s="1"/>
      <x:c r="Q198" s="1"/>
      <x:c r="R198" s="1"/>
      <x:c r="S198" s="1"/>
      <x:c r="T198" s="1"/>
      <x:c r="U198" s="1"/>
      <x:c r="V198" s="1"/>
      <x:c r="W198" s="1"/>
      <x:c r="X198" s="1"/>
      <x:c r="Y198" s="1"/>
      <x:c r="Z198" s="1"/>
    </x:row>
    <x:row r="199">
      <x:c r="A199" s="1" t="str">
        <x:f>'Transformaciones'!A192</x:f>
        <x:v>2021-06</x:v>
      </x:c>
      <x:c r="B199" s="87" t="n">
        <x:f>'Transformaciones'!C192</x:f>
        <x:v>-0.013644046337864424</x:v>
      </x:c>
      <x:c r="C199" s="87" t="n">
        <x:f>$B$6</x:f>
        <x:v>-0.00045209606279241735</x:v>
      </x:c>
      <x:c r="D199" s="87" t="n">
        <x:f>$B$7*'Transformaciones'!E192</x:f>
        <x:v>-0.0033792116153787497</x:v>
      </x:c>
      <x:c r="E199" s="87" t="n">
        <x:f>$B$8*'Transformaciones'!M192</x:f>
        <x:v>0.003985815198764977</x:v>
      </x:c>
      <x:c r="F199" s="87" t="n">
        <x:f>$B$9*'Transformaciones'!O192</x:f>
        <x:v>-0.005909083948681465</x:v>
      </x:c>
      <x:c r="G199" s="87" t="n">
        <x:f>$B$10*'Transformaciones'!G191</x:f>
        <x:v>0.01077428038463099</x:v>
      </x:c>
      <x:c r="H199" s="87" t="n">
        <x:f>$B$11*'Transformaciones'!I191</x:f>
        <x:v>-0.00009908850217863621</x:v>
      </x:c>
      <x:c r="I199" s="87" t="n">
        <x:f>$B$12*'Transformaciones'!K191</x:f>
        <x:v>-0.0011726580150992648</x:v>
      </x:c>
      <x:c r="J199" s="87" t="n">
        <x:f>$B$13*'Transformaciones'!P192</x:f>
        <x:v>0</x:v>
      </x:c>
      <x:c r="K199" s="93" t="n">
        <x:f>SUM(C199:J199)</x:f>
        <x:v>0.0037479574392654336</x:v>
      </x:c>
      <x:c r="L199" s="93" t="n">
        <x:f>B199-K199</x:f>
        <x:v>-0.017392003777129857</x:v>
      </x:c>
      <x:c r="M199" s="79" t="n">
        <x:f>'Datos_fuente'!B192</x:f>
        <x:v>3685.042667</x:v>
      </x:c>
      <x:c r="N199" s="79" t="n">
        <x:f>EXP('Transformaciones'!B191+K199)</x:f>
        <x:v>3749.6935172654657</x:v>
      </x:c>
      <x:c r="O199" s="1"/>
      <x:c r="P199" s="1"/>
      <x:c r="Q199" s="1"/>
      <x:c r="R199" s="1"/>
      <x:c r="S199" s="1"/>
      <x:c r="T199" s="1"/>
      <x:c r="U199" s="1"/>
      <x:c r="V199" s="1"/>
      <x:c r="W199" s="1"/>
      <x:c r="X199" s="1"/>
      <x:c r="Y199" s="1"/>
      <x:c r="Z199" s="1"/>
    </x:row>
    <x:row r="200">
      <x:c r="A200" s="1" t="str">
        <x:f>'Transformaciones'!A193</x:f>
        <x:v>2021-07</x:v>
      </x:c>
      <x:c r="B200" s="87" t="n">
        <x:f>'Transformaciones'!C193</x:f>
        <x:v>0.03843074625904386</x:v>
      </x:c>
      <x:c r="C200" s="87" t="n">
        <x:f>$B$6</x:f>
        <x:v>-0.00045209606279241735</x:v>
      </x:c>
      <x:c r="D200" s="87" t="n">
        <x:f>$B$7*'Transformaciones'!E193</x:f>
        <x:v>-0.001395332278967633</x:v>
      </x:c>
      <x:c r="E200" s="87" t="n">
        <x:f>$B$8*'Transformaciones'!M193</x:f>
        <x:v>0.016070877331915256</x:v>
      </x:c>
      <x:c r="F200" s="87" t="n">
        <x:f>$B$9*'Transformaciones'!O193</x:f>
        <x:v>0.0014450068755044614</x:v>
      </x:c>
      <x:c r="G200" s="87" t="n">
        <x:f>$B$10*'Transformaciones'!G192</x:f>
        <x:v>0.005801401550893472</x:v>
      </x:c>
      <x:c r="H200" s="87" t="n">
        <x:f>$B$11*'Transformaciones'!I192</x:f>
        <x:v>0.00019817700435727242</x:v>
      </x:c>
      <x:c r="I200" s="87" t="n">
        <x:f>$B$12*'Transformaciones'!K192</x:f>
        <x:v>-0.0006539754332318136</x:v>
      </x:c>
      <x:c r="J200" s="87" t="n">
        <x:f>$B$13*'Transformaciones'!P193</x:f>
        <x:v>0</x:v>
      </x:c>
      <x:c r="K200" s="93" t="n">
        <x:f>SUM(C200:J200)</x:f>
        <x:v>0.021014058987678597</x:v>
      </x:c>
      <x:c r="L200" s="93" t="n">
        <x:f>B200-K200</x:f>
        <x:v>0.01741668727136526</x:v>
      </x:c>
      <x:c r="M200" s="79" t="n">
        <x:f>'Datos_fuente'!B193</x:f>
        <x:v>3829.418065</x:v>
      </x:c>
      <x:c r="N200" s="79" t="n">
        <x:f>EXP('Transformaciones'!B192+K200)</x:f>
        <x:v>3763.2997405783335</x:v>
      </x:c>
      <x:c r="O200" s="1"/>
      <x:c r="P200" s="1"/>
      <x:c r="Q200" s="1"/>
      <x:c r="R200" s="1"/>
      <x:c r="S200" s="1"/>
      <x:c r="T200" s="1"/>
      <x:c r="U200" s="1"/>
      <x:c r="V200" s="1"/>
      <x:c r="W200" s="1"/>
      <x:c r="X200" s="1"/>
      <x:c r="Y200" s="1"/>
      <x:c r="Z200" s="1"/>
    </x:row>
    <x:row r="201">
      <x:c r="A201" s="1" t="str">
        <x:f>'Transformaciones'!A194</x:f>
        <x:v>2021-08</x:v>
      </x:c>
      <x:c r="B201" s="87" t="n">
        <x:f>'Transformaciones'!C194</x:f>
        <x:v>0.013427294869787332</x:v>
      </x:c>
      <x:c r="C201" s="87" t="n">
        <x:f>$B$6</x:f>
        <x:v>-0.00045209606279241735</x:v>
      </x:c>
      <x:c r="D201" s="87" t="n">
        <x:f>$B$7*'Transformaciones'!E194</x:f>
        <x:v>0.0031318095256883684</x:v>
      </x:c>
      <x:c r="E201" s="87" t="n">
        <x:f>$B$8*'Transformaciones'!M194</x:f>
        <x:v>0.00363989838509915</x:v>
      </x:c>
      <x:c r="F201" s="87" t="n">
        <x:f>$B$9*'Transformaciones'!O194</x:f>
        <x:v>-0.0002875879601975924</x:v>
      </x:c>
      <x:c r="G201" s="87" t="n">
        <x:f>$B$10*'Transformaciones'!G193</x:f>
        <x:v>0.005167118036976931</x:v>
      </x:c>
      <x:c r="H201" s="87" t="n">
        <x:f>$B$11*'Transformaciones'!I193</x:f>
        <x:v>0.00019817700435727242</x:v>
      </x:c>
      <x:c r="I201" s="87" t="n">
        <x:f>$B$12*'Transformaciones'!K193</x:f>
        <x:v>-0.001185790068172285</x:v>
      </x:c>
      <x:c r="J201" s="87" t="n">
        <x:f>$B$13*'Transformaciones'!P194</x:f>
        <x:v>0</x:v>
      </x:c>
      <x:c r="K201" s="93" t="n">
        <x:f>SUM(C201:J201)</x:f>
        <x:v>0.010211528860959428</x:v>
      </x:c>
      <x:c r="L201" s="93" t="n">
        <x:f>B201-K201</x:f>
        <x:v>0.003215766008827904</x:v>
      </x:c>
      <x:c r="M201" s="79" t="n">
        <x:f>'Datos_fuente'!B194</x:f>
        <x:v>3881.183548</x:v>
      </x:c>
      <x:c r="N201" s="79" t="n">
        <x:f>EXP('Transformaciones'!B193+K201)</x:f>
        <x:v>3868.722616330929</x:v>
      </x:c>
      <x:c r="O201" s="1"/>
      <x:c r="P201" s="1"/>
      <x:c r="Q201" s="1"/>
      <x:c r="R201" s="1"/>
      <x:c r="S201" s="1"/>
      <x:c r="T201" s="1"/>
      <x:c r="U201" s="1"/>
      <x:c r="V201" s="1"/>
      <x:c r="W201" s="1"/>
      <x:c r="X201" s="1"/>
      <x:c r="Y201" s="1"/>
      <x:c r="Z201" s="1"/>
    </x:row>
    <x:row r="202">
      <x:c r="A202" s="1" t="str">
        <x:f>'Transformaciones'!A195</x:f>
        <x:v>2021-09</x:v>
      </x:c>
      <x:c r="B202" s="87" t="n">
        <x:f>'Transformaciones'!C195</x:f>
        <x:v>-0.015487273011800085</x:v>
      </x:c>
      <x:c r="C202" s="87" t="n">
        <x:f>$B$6</x:f>
        <x:v>-0.00045209606279241735</x:v>
      </x:c>
      <x:c r="D202" s="87" t="n">
        <x:f>$B$7*'Transformaciones'!E195</x:f>
        <x:v>-0.002663931894831326</x:v>
      </x:c>
      <x:c r="E202" s="87" t="n">
        <x:f>$B$8*'Transformaciones'!M195</x:f>
        <x:v>0.00044146587827253493</x:v>
      </x:c>
      <x:c r="F202" s="87" t="n">
        <x:f>$B$9*'Transformaciones'!O195</x:f>
        <x:v>0.004877047438878316</x:v>
      </x:c>
      <x:c r="G202" s="87" t="n">
        <x:f>$B$10*'Transformaciones'!G194</x:f>
        <x:v>0.0035149713059537406</x:v>
      </x:c>
      <x:c r="H202" s="87" t="n">
        <x:f>$B$11*'Transformaciones'!I194</x:f>
        <x:v>-0.00009908850217863621</x:v>
      </x:c>
      <x:c r="I202" s="87" t="n">
        <x:f>$B$12*'Transformaciones'!K194</x:f>
        <x:v>-0.005815132999682869</x:v>
      </x:c>
      <x:c r="J202" s="87" t="n">
        <x:f>$B$13*'Transformaciones'!P195</x:f>
        <x:v>0</x:v>
      </x:c>
      <x:c r="K202" s="93" t="n">
        <x:f>SUM(C202:J202)</x:f>
        <x:v>-0.0001967648363806569</x:v>
      </x:c>
      <x:c r="L202" s="93" t="n">
        <x:f>B202-K202</x:f>
        <x:v>-0.015290508175419427</x:v>
      </x:c>
      <x:c r="M202" s="79" t="n">
        <x:f>'Datos_fuente'!B195</x:f>
        <x:v>3821.537667</x:v>
      </x:c>
      <x:c r="N202" s="79" t="n">
        <x:f>EXP('Transformaciones'!B194+K202)</x:f>
        <x:v>3880.4199426820196</x:v>
      </x:c>
      <x:c r="O202" s="1"/>
      <x:c r="P202" s="1"/>
      <x:c r="Q202" s="1"/>
      <x:c r="R202" s="1"/>
      <x:c r="S202" s="1"/>
      <x:c r="T202" s="1"/>
      <x:c r="U202" s="1"/>
      <x:c r="V202" s="1"/>
      <x:c r="W202" s="1"/>
      <x:c r="X202" s="1"/>
      <x:c r="Y202" s="1"/>
      <x:c r="Z202" s="1"/>
    </x:row>
    <x:row r="203">
      <x:c r="A203" s="1" t="str">
        <x:f>'Transformaciones'!A196</x:f>
        <x:v>2021-10</x:v>
      </x:c>
      <x:c r="B203" s="87" t="n">
        <x:f>'Transformaciones'!C196</x:f>
        <x:v>-0.01268060926168424</x:v>
      </x:c>
      <x:c r="C203" s="87" t="n">
        <x:f>$B$6</x:f>
        <x:v>-0.00045209606279241735</x:v>
      </x:c>
      <x:c r="D203" s="87" t="n">
        <x:f>$B$7*'Transformaciones'!E196</x:f>
        <x:v>-0.005926838586421484</x:v>
      </x:c>
      <x:c r="E203" s="87" t="n">
        <x:f>$B$8*'Transformaciones'!M196</x:f>
        <x:v>0.006619529441380731</x:v>
      </x:c>
      <x:c r="F203" s="87" t="n">
        <x:f>$B$9*'Transformaciones'!O196</x:f>
        <x:v>-0.004005753611066359</x:v>
      </x:c>
      <x:c r="G203" s="87" t="n">
        <x:f>$B$10*'Transformaciones'!G195</x:f>
        <x:v>0.0009580741976868737</x:v>
      </x:c>
      <x:c r="H203" s="87" t="n">
        <x:f>$B$11*'Transformaciones'!I195</x:f>
        <x:v>-0.00009908850217863621</x:v>
      </x:c>
      <x:c r="I203" s="87" t="n">
        <x:f>$B$12*'Transformaciones'!K195</x:f>
        <x:v>-0.0018959666094894084</x:v>
      </x:c>
      <x:c r="J203" s="87" t="n">
        <x:f>$B$13*'Transformaciones'!P196</x:f>
        <x:v>0</x:v>
      </x:c>
      <x:c r="K203" s="93" t="n">
        <x:f>SUM(C203:J203)</x:f>
        <x:v>-0.004802139732880699</x:v>
      </x:c>
      <x:c r="L203" s="93" t="n">
        <x:f>B203-K203</x:f>
        <x:v>-0.00787846952880354</x:v>
      </x:c>
      <x:c r="M203" s="79" t="n">
        <x:f>'Datos_fuente'!B196</x:f>
        <x:v>3773.384194</x:v>
      </x:c>
      <x:c r="N203" s="79" t="n">
        <x:f>EXP('Transformaciones'!B195+K203)</x:f>
        <x:v>3803.230102052974</x:v>
      </x:c>
      <x:c r="O203" s="1"/>
      <x:c r="P203" s="1"/>
      <x:c r="Q203" s="1"/>
      <x:c r="R203" s="1"/>
      <x:c r="S203" s="1"/>
      <x:c r="T203" s="1"/>
      <x:c r="U203" s="1"/>
      <x:c r="V203" s="1"/>
      <x:c r="W203" s="1"/>
      <x:c r="X203" s="1"/>
      <x:c r="Y203" s="1"/>
      <x:c r="Z203" s="1"/>
    </x:row>
    <x:row r="204">
      <x:c r="A204" s="1" t="str">
        <x:f>'Transformaciones'!A197</x:f>
        <x:v>2021-11</x:v>
      </x:c>
      <x:c r="B204" s="87" t="n">
        <x:f>'Transformaciones'!C197</x:f>
        <x:v>0.03374785978165917</x:v>
      </x:c>
      <x:c r="C204" s="87" t="n">
        <x:f>$B$6</x:f>
        <x:v>-0.00045209606279241735</x:v>
      </x:c>
      <x:c r="D204" s="87" t="n">
        <x:f>$B$7*'Transformaciones'!E197</x:f>
        <x:v>0.0015629939866363873</x:v>
      </x:c>
      <x:c r="E204" s="87" t="n">
        <x:f>$B$8*'Transformaciones'!M197</x:f>
        <x:v>0.009827334772122305</x:v>
      </x:c>
      <x:c r="F204" s="87" t="n">
        <x:f>$B$9*'Transformaciones'!O197</x:f>
        <x:v>0.0013359092647052498</x:v>
      </x:c>
      <x:c r="G204" s="87" t="n">
        <x:f>$B$10*'Transformaciones'!G196</x:f>
        <x:v>0.0005580146734483402</x:v>
      </x:c>
      <x:c r="H204" s="87" t="n">
        <x:f>$B$11*'Transformaciones'!I196</x:f>
        <x:v>-0.002477212554465903</x:v>
      </x:c>
      <x:c r="I204" s="87" t="n">
        <x:f>$B$12*'Transformaciones'!K196</x:f>
        <x:v>0.006091826248284887</x:v>
      </x:c>
      <x:c r="J204" s="87" t="n">
        <x:f>$B$13*'Transformaciones'!P197</x:f>
        <x:v>0</x:v>
      </x:c>
      <x:c r="K204" s="93" t="n">
        <x:f>SUM(C204:J204)</x:f>
        <x:v>0.01644677032793885</x:v>
      </x:c>
      <x:c r="L204" s="93" t="n">
        <x:f>B204-K204</x:f>
        <x:v>0.017301089453720324</x:v>
      </x:c>
      <x:c r="M204" s="79" t="n">
        <x:f>'Datos_fuente'!B197</x:f>
        <x:v>3902.901</x:v>
      </x:c>
      <x:c r="N204" s="79" t="n">
        <x:f>EXP('Transformaciones'!B196+K204)</x:f>
        <x:v>3835.9573297168326</x:v>
      </x:c>
      <x:c r="O204" s="1"/>
      <x:c r="P204" s="1"/>
      <x:c r="Q204" s="1"/>
      <x:c r="R204" s="1"/>
      <x:c r="S204" s="1"/>
      <x:c r="T204" s="1"/>
      <x:c r="U204" s="1"/>
      <x:c r="V204" s="1"/>
      <x:c r="W204" s="1"/>
      <x:c r="X204" s="1"/>
      <x:c r="Y204" s="1"/>
      <x:c r="Z204" s="1"/>
    </x:row>
    <x:row r="205">
      <x:c r="A205" s="1" t="str">
        <x:f>'Transformaciones'!A198</x:f>
        <x:v>2021-12</x:v>
      </x:c>
      <x:c r="B205" s="87" t="n">
        <x:f>'Transformaciones'!C198</x:f>
        <x:v>0.015314889580594127</x:v>
      </x:c>
      <x:c r="C205" s="87" t="n">
        <x:f>$B$6</x:f>
        <x:v>-0.00045209606279241735</x:v>
      </x:c>
      <x:c r="D205" s="87" t="n">
        <x:f>$B$7*'Transformaciones'!E198</x:f>
        <x:v>0.004585108507077789</x:v>
      </x:c>
      <x:c r="E205" s="87" t="n">
        <x:f>$B$8*'Transformaciones'!M198</x:f>
        <x:v>0.008578491001179163</x:v>
      </x:c>
      <x:c r="F205" s="87" t="n">
        <x:f>$B$9*'Transformaciones'!O198</x:f>
        <x:v>0.005540407008081543</x:v>
      </x:c>
      <x:c r="G205" s="87" t="n">
        <x:f>$B$10*'Transformaciones'!G197</x:f>
        <x:v>0.006774997301598172</x:v>
      </x:c>
      <x:c r="H205" s="87" t="n">
        <x:f>$B$11*'Transformaciones'!I197</x:f>
        <x:v>-0.004789277601997797</x:v>
      </x:c>
      <x:c r="I205" s="87" t="n">
        <x:f>$B$12*'Transformaciones'!K197</x:f>
        <x:v>0.0016926140277426362</x:v>
      </x:c>
      <x:c r="J205" s="87" t="n">
        <x:f>$B$13*'Transformaciones'!P198</x:f>
        <x:v>0</x:v>
      </x:c>
      <x:c r="K205" s="93" t="n">
        <x:f>SUM(C205:J205)</x:f>
        <x:v>0.02193024418088909</x:v>
      </x:c>
      <x:c r="L205" s="93" t="n">
        <x:f>B205-K205</x:f>
        <x:v>-0.006615354600294963</x:v>
      </x:c>
      <x:c r="M205" s="79" t="n">
        <x:f>'Datos_fuente'!B198</x:f>
        <x:v>3963.133548</x:v>
      </x:c>
      <x:c r="N205" s="79" t="n">
        <x:f>EXP('Transformaciones'!B197+K205)</x:f>
        <x:v>3989.437992432226</x:v>
      </x:c>
      <x:c r="O205" s="1"/>
      <x:c r="P205" s="1"/>
      <x:c r="Q205" s="1"/>
      <x:c r="R205" s="1"/>
      <x:c r="S205" s="1"/>
      <x:c r="T205" s="1"/>
      <x:c r="U205" s="1"/>
      <x:c r="V205" s="1"/>
      <x:c r="W205" s="1"/>
      <x:c r="X205" s="1"/>
      <x:c r="Y205" s="1"/>
      <x:c r="Z205" s="1"/>
    </x:row>
    <x:row r="206">
      <x:c r="A206" s="1" t="str">
        <x:f>'Transformaciones'!A199</x:f>
        <x:v>2022-01</x:v>
      </x:c>
      <x:c r="B206" s="87" t="n">
        <x:f>'Transformaciones'!C199</x:f>
        <x:v>0.009163376411086332</x:v>
      </x:c>
      <x:c r="C206" s="87" t="n">
        <x:f>$B$6</x:f>
        <x:v>-0.00045209606279241735</x:v>
      </x:c>
      <x:c r="D206" s="87" t="n">
        <x:f>$B$7*'Transformaciones'!E199</x:f>
        <x:v>-0.007952277121011675</x:v>
      </x:c>
      <x:c r="E206" s="87" t="n">
        <x:f>$B$8*'Transformaciones'!M199</x:f>
        <x:v>-0.008076852297042848</x:v>
      </x:c>
      <x:c r="F206" s="87" t="n">
        <x:f>$B$9*'Transformaciones'!O199</x:f>
        <x:v>0.00316928963661496</x:v>
      </x:c>
      <x:c r="G206" s="87" t="n">
        <x:f>$B$10*'Transformaciones'!G198</x:f>
        <x:v>0.00500455030273664</x:v>
      </x:c>
      <x:c r="H206" s="87" t="n">
        <x:f>$B$11*'Transformaciones'!I198</x:f>
        <x:v>-0.0020829894836261096</x:v>
      </x:c>
      <x:c r="I206" s="87" t="n">
        <x:f>$B$12*'Transformaciones'!K198</x:f>
        <x:v>0.0014140541319188746</x:v>
      </x:c>
      <x:c r="J206" s="87" t="n">
        <x:f>$B$13*'Transformaciones'!P199</x:f>
        <x:v>0</x:v>
      </x:c>
      <x:c r="K206" s="93" t="n">
        <x:f>SUM(C206:J206)</x:f>
        <x:v>-0.008976320893202574</x:v>
      </x:c>
      <x:c r="L206" s="93" t="n">
        <x:f>B206-K206</x:f>
        <x:v>0.018139697304288906</x:v>
      </x:c>
      <x:c r="M206" s="79" t="n">
        <x:f>'Datos_fuente'!B199</x:f>
        <x:v>3999.616129</x:v>
      </x:c>
      <x:c r="N206" s="79" t="n">
        <x:f>EXP('Transformaciones'!B198+K206)</x:f>
        <x:v>3927.7183762992186</x:v>
      </x:c>
      <x:c r="O206" s="1"/>
      <x:c r="P206" s="1"/>
      <x:c r="Q206" s="1"/>
      <x:c r="R206" s="1"/>
      <x:c r="S206" s="1"/>
      <x:c r="T206" s="1"/>
      <x:c r="U206" s="1"/>
      <x:c r="V206" s="1"/>
      <x:c r="W206" s="1"/>
      <x:c r="X206" s="1"/>
      <x:c r="Y206" s="1"/>
      <x:c r="Z206" s="1"/>
    </x:row>
    <x:row r="207">
      <x:c r="A207" s="1" t="str">
        <x:f>'Transformaciones'!A200</x:f>
        <x:v>2022-02</x:v>
      </x:c>
      <x:c r="B207" s="87" t="n">
        <x:f>'Transformaciones'!C200</x:f>
        <x:v>-0.016075149775062414</x:v>
      </x:c>
      <x:c r="C207" s="87" t="n">
        <x:f>$B$6</x:f>
        <x:v>-0.00045209606279241735</x:v>
      </x:c>
      <x:c r="D207" s="87" t="n">
        <x:f>$B$7*'Transformaciones'!E200</x:f>
        <x:v>-0.005987775876908241</x:v>
      </x:c>
      <x:c r="E207" s="87" t="n">
        <x:f>$B$8*'Transformaciones'!M200</x:f>
        <x:v>-0.0004176699090377277</x:v>
      </x:c>
      <x:c r="F207" s="87" t="n">
        <x:f>$B$9*'Transformaciones'!O200</x:f>
        <x:v>0.0040564138340193805</x:v>
      </x:c>
      <x:c r="G207" s="87" t="n">
        <x:f>$B$10*'Transformaciones'!G199</x:f>
        <x:v>0.0035485281784606373</x:v>
      </x:c>
      <x:c r="H207" s="87" t="n">
        <x:f>$B$11*'Transformaciones'!I199</x:f>
        <x:v>-0.003356223466642817</x:v>
      </x:c>
      <x:c r="I207" s="87" t="n">
        <x:f>$B$12*'Transformaciones'!K199</x:f>
        <x:v>-0.007581531558746873</x:v>
      </x:c>
      <x:c r="J207" s="87" t="n">
        <x:f>$B$13*'Transformaciones'!P200</x:f>
        <x:v>0</x:v>
      </x:c>
      <x:c r="K207" s="93" t="n">
        <x:f>SUM(C207:J207)</x:f>
        <x:v>-0.010190354861648059</x:v>
      </x:c>
      <x:c r="L207" s="93" t="n">
        <x:f>B207-K207</x:f>
        <x:v>-0.005884794913414355</x:v>
      </x:c>
      <x:c r="M207" s="79" t="n">
        <x:f>'Datos_fuente'!B200</x:f>
        <x:v>3935.835714</x:v>
      </x:c>
      <x:c r="N207" s="79" t="n">
        <x:f>EXP('Transformaciones'!B199+K207)</x:f>
        <x:v>3959.065584462489</x:v>
      </x:c>
      <x:c r="O207" s="1"/>
      <x:c r="P207" s="1"/>
      <x:c r="Q207" s="1"/>
      <x:c r="R207" s="1"/>
      <x:c r="S207" s="1"/>
      <x:c r="T207" s="1"/>
      <x:c r="U207" s="1"/>
      <x:c r="V207" s="1"/>
      <x:c r="W207" s="1"/>
      <x:c r="X207" s="1"/>
      <x:c r="Y207" s="1"/>
      <x:c r="Z207" s="1"/>
    </x:row>
    <x:row r="208">
      <x:c r="A208" s="1" t="str">
        <x:f>'Transformaciones'!A201</x:f>
        <x:v>2022-03</x:v>
      </x:c>
      <x:c r="B208" s="87" t="n">
        <x:f>'Transformaciones'!C201</x:f>
        <x:v>-0.03323685374552632</x:v>
      </x:c>
      <x:c r="C208" s="87" t="n">
        <x:f>$B$6</x:f>
        <x:v>-0.00045209606279241735</x:v>
      </x:c>
      <x:c r="D208" s="87" t="n">
        <x:f>$B$7*'Transformaciones'!E201</x:f>
        <x:v>-0.009729914108549407</x:v>
      </x:c>
      <x:c r="E208" s="87" t="n">
        <x:f>$B$8*'Transformaciones'!M201</x:f>
        <x:v>0.01358610550827799</x:v>
      </x:c>
      <x:c r="F208" s="87" t="n">
        <x:f>$B$9*'Transformaciones'!O201</x:f>
        <x:v>0.0017881324474610133</x:v>
      </x:c>
      <x:c r="G208" s="87" t="n">
        <x:f>$B$10*'Transformaciones'!G200</x:f>
        <x:v>0.0012412498043182325</x:v>
      </x:c>
      <x:c r="H208" s="87" t="n">
        <x:f>$B$11*'Transformaciones'!I200</x:f>
        <x:v>-0.009589209883460502</x:v>
      </x:c>
      <x:c r="I208" s="87" t="n">
        <x:f>$B$12*'Transformaciones'!K200</x:f>
        <x:v>-0.00041131780392339613</x:v>
      </x:c>
      <x:c r="J208" s="87" t="n">
        <x:f>$B$13*'Transformaciones'!P201</x:f>
        <x:v>0</x:v>
      </x:c>
      <x:c r="K208" s="93" t="n">
        <x:f>SUM(C208:J208)</x:f>
        <x:v>-0.003567050098668487</x:v>
      </x:c>
      <x:c r="L208" s="93" t="n">
        <x:f>B208-K208</x:f>
        <x:v>-0.029669803646857833</x:v>
      </x:c>
      <x:c r="M208" s="79" t="n">
        <x:f>'Datos_fuente'!B201</x:f>
        <x:v>3807.170968</x:v>
      </x:c>
      <x:c r="N208" s="79" t="n">
        <x:f>EXP('Transformaciones'!B200+K208)</x:f>
        <x:v>3921.8214005667533</x:v>
      </x:c>
      <x:c r="O208" s="1"/>
      <x:c r="P208" s="1"/>
      <x:c r="Q208" s="1"/>
      <x:c r="R208" s="1"/>
      <x:c r="S208" s="1"/>
      <x:c r="T208" s="1"/>
      <x:c r="U208" s="1"/>
      <x:c r="V208" s="1"/>
      <x:c r="W208" s="1"/>
      <x:c r="X208" s="1"/>
      <x:c r="Y208" s="1"/>
      <x:c r="Z208" s="1"/>
    </x:row>
    <x:row r="209">
      <x:c r="A209" s="1" t="str">
        <x:f>'Transformaciones'!A202</x:f>
        <x:v>2022-04</x:v>
      </x:c>
      <x:c r="B209" s="87" t="n">
        <x:f>'Transformaciones'!C202</x:f>
        <x:v>-0.003733868132572482</x:v>
      </x:c>
      <x:c r="C209" s="87" t="n">
        <x:f>$B$6</x:f>
        <x:v>-0.00045209606279241735</x:v>
      </x:c>
      <x:c r="D209" s="87" t="n">
        <x:f>$B$7*'Transformaciones'!E202</x:f>
        <x:v>0.00591155865943284</x:v>
      </x:c>
      <x:c r="E209" s="87" t="n">
        <x:f>$B$8*'Transformaciones'!M202</x:f>
        <x:v>0.009138535281416855</x:v>
      </x:c>
      <x:c r="F209" s="87" t="n">
        <x:f>$B$9*'Transformaciones'!O202</x:f>
        <x:v>-0.003907348325622042</x:v>
      </x:c>
      <x:c r="G209" s="87" t="n">
        <x:f>$B$10*'Transformaciones'!G201</x:f>
        <x:v>-0.001850773646046598</x:v>
      </x:c>
      <x:c r="H209" s="87" t="n">
        <x:f>$B$11*'Transformaciones'!I201</x:f>
        <x:v>0.0011890620261436346</x:v>
      </x:c>
      <x:c r="I209" s="87" t="n">
        <x:f>$B$12*'Transformaciones'!K201</x:f>
        <x:v>0.002874849385845322</x:v>
      </x:c>
      <x:c r="J209" s="87" t="n">
        <x:f>$B$13*'Transformaciones'!P202</x:f>
        <x:v>0</x:v>
      </x:c>
      <x:c r="K209" s="93" t="n">
        <x:f>SUM(C209:J209)</x:f>
        <x:v>0.012903787318377595</x:v>
      </x:c>
      <x:c r="L209" s="93" t="n">
        <x:f>B209-K209</x:f>
        <x:v>-0.016637655450950077</x:v>
      </x:c>
      <x:c r="M209" s="79" t="n">
        <x:f>'Datos_fuente'!B202</x:f>
        <x:v>3792.982</x:v>
      </x:c>
      <x:c r="N209" s="79" t="n">
        <x:f>EXP('Transformaciones'!B201+K209)</x:f>
        <x:v>3856.61622189301</x:v>
      </x:c>
      <x:c r="O209" s="1"/>
      <x:c r="P209" s="1"/>
      <x:c r="Q209" s="1"/>
      <x:c r="R209" s="1"/>
      <x:c r="S209" s="1"/>
      <x:c r="T209" s="1"/>
      <x:c r="U209" s="1"/>
      <x:c r="V209" s="1"/>
      <x:c r="W209" s="1"/>
      <x:c r="X209" s="1"/>
      <x:c r="Y209" s="1"/>
      <x:c r="Z209" s="1"/>
    </x:row>
    <x:row r="210">
      <x:c r="A210" s="1" t="str">
        <x:f>'Transformaciones'!A203</x:f>
        <x:v>2022-05</x:v>
      </x:c>
      <x:c r="B210" s="87" t="n">
        <x:f>'Transformaciones'!C203</x:f>
        <x:v>0.05790034312203751</x:v>
      </x:c>
      <x:c r="C210" s="87" t="n">
        <x:f>$B$6</x:f>
        <x:v>-0.00045209606279241735</x:v>
      </x:c>
      <x:c r="D210" s="87" t="n">
        <x:f>$B$7*'Transformaciones'!E203</x:f>
        <x:v>-0.004159372821228377</x:v>
      </x:c>
      <x:c r="E210" s="87" t="n">
        <x:f>$B$8*'Transformaciones'!M203</x:f>
        <x:v>0.02592998918785978</x:v>
      </x:c>
      <x:c r="F210" s="87" t="n">
        <x:f>$B$9*'Transformaciones'!O203</x:f>
        <x:v>0.0071271375526797826</x:v>
      </x:c>
      <x:c r="G210" s="87" t="n">
        <x:f>$B$10*'Transformaciones'!G202</x:f>
        <x:v>0.0013777192324764312</x:v>
      </x:c>
      <x:c r="H210" s="87" t="n">
        <x:f>$B$11*'Transformaciones'!I202</x:f>
        <x:v>-0.008620699689541345</x:v>
      </x:c>
      <x:c r="I210" s="87" t="n">
        <x:f>$B$12*'Transformaciones'!K202</x:f>
        <x:v>-0.0017203565453896893</x:v>
      </x:c>
      <x:c r="J210" s="87" t="n">
        <x:f>$B$13*'Transformaciones'!P203</x:f>
        <x:v>0</x:v>
      </x:c>
      <x:c r="K210" s="93" t="n">
        <x:f>SUM(C210:J210)</x:f>
        <x:v>0.019482320854064164</x:v>
      </x:c>
      <x:c r="L210" s="93" t="n">
        <x:f>B210-K210</x:f>
        <x:v>0.03841802226797335</x:v>
      </x:c>
      <x:c r="M210" s="79" t="n">
        <x:f>'Datos_fuente'!B203</x:f>
        <x:v>4019.079355</x:v>
      </x:c>
      <x:c r="N210" s="79" t="n">
        <x:f>EXP('Transformaciones'!B202+K210)</x:f>
        <x:v>3867.602623542247</x:v>
      </x:c>
      <x:c r="O210" s="1"/>
      <x:c r="P210" s="1"/>
      <x:c r="Q210" s="1"/>
      <x:c r="R210" s="1"/>
      <x:c r="S210" s="1"/>
      <x:c r="T210" s="1"/>
      <x:c r="U210" s="1"/>
      <x:c r="V210" s="1"/>
      <x:c r="W210" s="1"/>
      <x:c r="X210" s="1"/>
      <x:c r="Y210" s="1"/>
      <x:c r="Z210" s="1"/>
    </x:row>
    <x:row r="211">
      <x:c r="A211" s="1" t="str">
        <x:f>'Transformaciones'!A204</x:f>
        <x:v>2022-06</x:v>
      </x:c>
      <x:c r="B211" s="87" t="n">
        <x:f>'Transformaciones'!C204</x:f>
        <x:v>-0.022218372716578116</x:v>
      </x:c>
      <x:c r="C211" s="87" t="n">
        <x:f>$B$6</x:f>
        <x:v>-0.00045209606279241735</x:v>
      </x:c>
      <x:c r="D211" s="87" t="n">
        <x:f>$B$7*'Transformaciones'!E204</x:f>
        <x:v>-0.004107492265586428</x:v>
      </x:c>
      <x:c r="E211" s="87" t="n">
        <x:f>$B$8*'Transformaciones'!M204</x:f>
        <x:v>0.003340308426432076</x:v>
      </x:c>
      <x:c r="F211" s="87" t="n">
        <x:f>$B$9*'Transformaciones'!O204</x:f>
        <x:v>-0.001450281804191745</x:v>
      </x:c>
      <x:c r="G211" s="87" t="n">
        <x:f>$B$10*'Transformaciones'!G203</x:f>
        <x:v>0.0024527856047476967</x:v>
      </x:c>
      <x:c r="H211" s="87" t="n">
        <x:f>$B$11*'Transformaciones'!I203</x:f>
        <x:v>-0.0052293157876005135</x:v>
      </x:c>
      <x:c r="I211" s="87" t="n">
        <x:f>$B$12*'Transformaciones'!K203</x:f>
        <x:v>-0.0003871162736966292</x:v>
      </x:c>
      <x:c r="J211" s="87" t="n">
        <x:f>$B$13*'Transformaciones'!P204</x:f>
        <x:v>0</x:v>
      </x:c>
      <x:c r="K211" s="93" t="n">
        <x:f>SUM(C211:J211)</x:f>
        <x:v>-0.00583320816268796</x:v>
      </x:c>
      <x:c r="L211" s="93" t="n">
        <x:f>B211-K211</x:f>
        <x:v>-0.016385164553890157</x:v>
      </x:c>
      <x:c r="M211" s="79" t="n">
        <x:f>'Datos_fuente'!B204</x:f>
        <x:v>3930.766667</x:v>
      </x:c>
      <x:c r="N211" s="79" t="n">
        <x:f>EXP('Transformaciones'!B203+K211)</x:f>
        <x:v>3995.703472975734</x:v>
      </x:c>
      <x:c r="O211" s="1"/>
      <x:c r="P211" s="1"/>
      <x:c r="Q211" s="1"/>
      <x:c r="R211" s="1"/>
      <x:c r="S211" s="1"/>
      <x:c r="T211" s="1"/>
      <x:c r="U211" s="1"/>
      <x:c r="V211" s="1"/>
      <x:c r="W211" s="1"/>
      <x:c r="X211" s="1"/>
      <x:c r="Y211" s="1"/>
      <x:c r="Z211" s="1"/>
    </x:row>
    <x:row r="212">
      <x:c r="A212" s="1" t="str">
        <x:f>'Transformaciones'!A205</x:f>
        <x:v>2022-07</x:v>
      </x:c>
      <x:c r="B212" s="87" t="n">
        <x:f>'Transformaciones'!C205</x:f>
        <x:v>0.10542629160397965</x:v>
      </x:c>
      <x:c r="C212" s="87" t="n">
        <x:f>$B$6</x:f>
        <x:v>-0.00045209606279241735</x:v>
      </x:c>
      <x:c r="D212" s="87" t="n">
        <x:f>$B$7*'Transformaciones'!E205</x:f>
        <x:v>0.004755494054748189</x:v>
      </x:c>
      <x:c r="E212" s="87" t="n">
        <x:f>$B$8*'Transformaciones'!M205</x:f>
        <x:v>0.027281552787068095</x:v>
      </x:c>
      <x:c r="F212" s="87" t="n">
        <x:f>$B$9*'Transformaciones'!O205</x:f>
        <x:v>-0.004704120633893458</x:v>
      </x:c>
      <x:c r="G212" s="87" t="n">
        <x:f>$B$10*'Transformaciones'!G204</x:f>
        <x:v>0.0036279795378831793</x:v>
      </x:c>
      <x:c r="H212" s="87" t="n">
        <x:f>$B$11*'Transformaciones'!I204</x:f>
        <x:v>0.004040253761456879</x:v>
      </x:c>
      <x:c r="I212" s="87" t="n">
        <x:f>$B$12*'Transformaciones'!K204</x:f>
        <x:v>0.0009455529864289021</x:v>
      </x:c>
      <x:c r="J212" s="87" t="n">
        <x:f>$B$13*'Transformaciones'!P205</x:f>
        <x:v>0</x:v>
      </x:c>
      <x:c r="K212" s="93" t="n">
        <x:f>SUM(C212:J212)</x:f>
        <x:v>0.035494616430899364</x:v>
      </x:c>
      <x:c r="L212" s="93" t="n">
        <x:f>B212-K212</x:f>
        <x:v>0.06993167517308028</x:v>
      </x:c>
      <x:c r="M212" s="79" t="n">
        <x:f>'Datos_fuente'!B205</x:f>
        <x:v>4367.805806</x:v>
      </x:c>
      <x:c r="N212" s="79" t="n">
        <x:f>EXP('Transformaciones'!B204+K212)</x:f>
        <x:v>4072.793403461831</x:v>
      </x:c>
      <x:c r="O212" s="1"/>
      <x:c r="P212" s="1"/>
      <x:c r="Q212" s="1"/>
      <x:c r="R212" s="1"/>
      <x:c r="S212" s="1"/>
      <x:c r="T212" s="1"/>
      <x:c r="U212" s="1"/>
      <x:c r="V212" s="1"/>
      <x:c r="W212" s="1"/>
      <x:c r="X212" s="1"/>
      <x:c r="Y212" s="1"/>
      <x:c r="Z212" s="1"/>
    </x:row>
    <x:row r="213">
      <x:c r="A213" s="1" t="str">
        <x:f>'Transformaciones'!A206</x:f>
        <x:v>2022-08</x:v>
      </x:c>
      <x:c r="B213" s="87" t="n">
        <x:f>'Transformaciones'!C206</x:f>
        <x:v>-0.010433930217986997</x:v>
      </x:c>
      <x:c r="C213" s="87" t="n">
        <x:f>$B$6</x:f>
        <x:v>-0.00045209606279241735</x:v>
      </x:c>
      <x:c r="D213" s="87" t="n">
        <x:f>$B$7*'Transformaciones'!E206</x:f>
        <x:v>0.0055936984160652285</x:v>
      </x:c>
      <x:c r="E213" s="87" t="n">
        <x:f>$B$8*'Transformaciones'!M206</x:f>
        <x:v>-0.0042979613696138745</x:v>
      </x:c>
      <x:c r="F213" s="87" t="n">
        <x:f>$B$9*'Transformaciones'!O206</x:f>
        <x:v>-0.004632766850380632</x:v>
      </x:c>
      <x:c r="G213" s="87" t="n">
        <x:f>$B$10*'Transformaciones'!G205</x:f>
        <x:v>0.004310307884753406</x:v>
      </x:c>
      <x:c r="H213" s="87" t="n">
        <x:f>$B$11*'Transformaciones'!I205</x:f>
        <x:v>-0.010206115724399523</x:v>
      </x:c>
      <x:c r="I213" s="87" t="n">
        <x:f>$B$12*'Transformaciones'!K205</x:f>
        <x:v>-0.00043445079344956713</x:v>
      </x:c>
      <x:c r="J213" s="87" t="n">
        <x:f>$B$13*'Transformaciones'!P206</x:f>
        <x:v>0</x:v>
      </x:c>
      <x:c r="K213" s="93" t="n">
        <x:f>SUM(C213:J213)</x:f>
        <x:v>-0.010119384499817379</x:v>
      </x:c>
      <x:c r="L213" s="93" t="n">
        <x:f>B213-K213</x:f>
        <x:v>-0.00031454571816961867</x:v>
      </x:c>
      <x:c r="M213" s="79" t="n">
        <x:f>'Datos_fuente'!B206</x:f>
        <x:v>4322.469355</x:v>
      </x:c>
      <x:c r="N213" s="79" t="n">
        <x:f>EXP('Transformaciones'!B205+K213)</x:f>
        <x:v>4323.829183080372</x:v>
      </x:c>
      <x:c r="O213" s="1"/>
      <x:c r="P213" s="1"/>
      <x:c r="Q213" s="1"/>
      <x:c r="R213" s="1"/>
      <x:c r="S213" s="1"/>
      <x:c r="T213" s="1"/>
      <x:c r="U213" s="1"/>
      <x:c r="V213" s="1"/>
      <x:c r="W213" s="1"/>
      <x:c r="X213" s="1"/>
      <x:c r="Y213" s="1"/>
      <x:c r="Z213" s="1"/>
    </x:row>
    <x:row r="214">
      <x:c r="A214" s="1" t="str">
        <x:f>'Transformaciones'!A207</x:f>
        <x:v>2022-09</x:v>
      </x:c>
      <x:c r="B214" s="87" t="n">
        <x:f>'Transformaciones'!C207</x:f>
        <x:v>0.02539654922491863</x:v>
      </x:c>
      <x:c r="C214" s="87" t="n">
        <x:f>$B$6</x:f>
        <x:v>-0.00045209606279241735</x:v>
      </x:c>
      <x:c r="D214" s="87" t="n">
        <x:f>$B$7*'Transformaciones'!E207</x:f>
        <x:v>0.005811834704622322</x:v>
      </x:c>
      <x:c r="E214" s="87" t="n">
        <x:f>$B$8*'Transformaciones'!M207</x:f>
        <x:v>0.03212158328338109</x:v>
      </x:c>
      <x:c r="F214" s="87" t="n">
        <x:f>$B$9*'Transformaciones'!O207</x:f>
        <x:v>0.008098008560713382</x:v>
      </x:c>
      <x:c r="G214" s="87" t="n">
        <x:f>$B$10*'Transformaciones'!G206</x:f>
        <x:v>0.0007221853396926163</x:v>
      </x:c>
      <x:c r="H214" s="87" t="n">
        <x:f>$B$11*'Transformaciones'!I206</x:f>
        <x:v>-0.008422522685184067</x:v>
      </x:c>
      <x:c r="I214" s="87" t="n">
        <x:f>$B$12*'Transformaciones'!K206</x:f>
        <x:v>0.004259903307868861</x:v>
      </x:c>
      <x:c r="J214" s="87" t="n">
        <x:f>$B$13*'Transformaciones'!P207</x:f>
        <x:v>0</x:v>
      </x:c>
      <x:c r="K214" s="93" t="n">
        <x:f>SUM(C214:J214)</x:f>
        <x:v>0.042138896448301794</x:v>
      </x:c>
      <x:c r="L214" s="93" t="n">
        <x:f>B214-K214</x:f>
        <x:v>-0.016742347223383164</x:v>
      </x:c>
      <x:c r="M214" s="79" t="n">
        <x:f>'Datos_fuente'!B207</x:f>
        <x:v>4433.651</x:v>
      </x:c>
      <x:c r="N214" s="79" t="n">
        <x:f>EXP('Transformaciones'!B206+K214)</x:f>
        <x:v>4508.505596825888</x:v>
      </x:c>
      <x:c r="O214" s="1"/>
      <x:c r="P214" s="1"/>
      <x:c r="Q214" s="1"/>
      <x:c r="R214" s="1"/>
      <x:c r="S214" s="1"/>
      <x:c r="T214" s="1"/>
      <x:c r="U214" s="1"/>
      <x:c r="V214" s="1"/>
      <x:c r="W214" s="1"/>
      <x:c r="X214" s="1"/>
      <x:c r="Y214" s="1"/>
      <x:c r="Z214" s="1"/>
    </x:row>
    <x:row r="215">
      <x:c r="A215" s="1" t="str">
        <x:f>'Transformaciones'!A208</x:f>
        <x:v>2022-10</x:v>
      </x:c>
      <x:c r="B215" s="87" t="n">
        <x:f>'Transformaciones'!C208</x:f>
        <x:v>0.060853038022941064</x:v>
      </x:c>
      <x:c r="C215" s="87" t="n">
        <x:f>$B$6</x:f>
        <x:v>-0.00045209606279241735</x:v>
      </x:c>
      <x:c r="D215" s="87" t="n">
        <x:f>$B$7*'Transformaciones'!E208</x:f>
        <x:v>-0.0020144229507352146</x:v>
      </x:c>
      <x:c r="E215" s="87" t="n">
        <x:f>$B$8*'Transformaciones'!M208</x:f>
        <x:v>0.01810984896398664</x:v>
      </x:c>
      <x:c r="F215" s="87" t="n">
        <x:f>$B$9*'Transformaciones'!O208</x:f>
        <x:v>0.003590305349107541</x:v>
      </x:c>
      <x:c r="G215" s="87" t="n">
        <x:f>$B$10*'Transformaciones'!G207</x:f>
        <x:v>0.0019567361456900917</x:v>
      </x:c>
      <x:c r="H215" s="87" t="n">
        <x:f>$B$11*'Transformaciones'!I207</x:f>
        <x:v>0.0019487405461494575</x:v>
      </x:c>
      <x:c r="I215" s="87" t="n">
        <x:f>$B$12*'Transformaciones'!K207</x:f>
        <x:v>-0.0005808316102051688</x:v>
      </x:c>
      <x:c r="J215" s="87" t="n">
        <x:f>$B$13*'Transformaciones'!P208</x:f>
        <x:v>0</x:v>
      </x:c>
      <x:c r="K215" s="93" t="n">
        <x:f>SUM(C215:J215)</x:f>
        <x:v>0.02255828038120093</x:v>
      </x:c>
      <x:c r="L215" s="93" t="n">
        <x:f>B215-K215</x:f>
        <x:v>0.03829475764174013</x:v>
      </x:c>
      <x:c r="M215" s="79" t="n">
        <x:f>'Datos_fuente'!B208</x:f>
        <x:v>4711.830323</x:v>
      </x:c>
      <x:c r="N215" s="79" t="n">
        <x:f>EXP('Transformaciones'!B207+K215)</x:f>
        <x:v>4534.803162333886</x:v>
      </x:c>
      <x:c r="O215" s="1"/>
      <x:c r="P215" s="1"/>
      <x:c r="Q215" s="1"/>
      <x:c r="R215" s="1"/>
      <x:c r="S215" s="1"/>
      <x:c r="T215" s="1"/>
      <x:c r="U215" s="1"/>
      <x:c r="V215" s="1"/>
      <x:c r="W215" s="1"/>
      <x:c r="X215" s="1"/>
      <x:c r="Y215" s="1"/>
      <x:c r="Z215" s="1"/>
    </x:row>
    <x:row r="216">
      <x:c r="A216" s="1" t="str">
        <x:f>'Transformaciones'!A209</x:f>
        <x:v>2022-11</x:v>
      </x:c>
      <x:c r="B216" s="87" t="n">
        <x:f>'Transformaciones'!C209</x:f>
        <x:v>0.044584972906045905</x:v>
      </x:c>
      <x:c r="C216" s="87" t="n">
        <x:f>$B$6</x:f>
        <x:v>-0.00045209606279241735</x:v>
      </x:c>
      <x:c r="D216" s="87" t="n">
        <x:f>$B$7*'Transformaciones'!E209</x:f>
        <x:v>0.0010724832535158138</x:v>
      </x:c>
      <x:c r="E216" s="87" t="n">
        <x:f>$B$8*'Transformaciones'!M209</x:f>
        <x:v>-0.025308184567657804</x:v>
      </x:c>
      <x:c r="F216" s="87" t="n">
        <x:f>$B$9*'Transformaciones'!O209</x:f>
        <x:v>-0.009769249584137179</x:v>
      </x:c>
      <x:c r="G216" s="87" t="n">
        <x:f>$B$10*'Transformaciones'!G208</x:f>
        <x:v>0.006511016372811639</x:v>
      </x:c>
      <x:c r="H216" s="87" t="n">
        <x:f>$B$11*'Transformaciones'!I208</x:f>
        <x:v>-0.004745593435018467</x:v>
      </x:c>
      <x:c r="I216" s="87" t="n">
        <x:f>$B$12*'Transformaciones'!K208</x:f>
        <x:v>-0.002005245768236846</x:v>
      </x:c>
      <x:c r="J216" s="87" t="n">
        <x:f>$B$13*'Transformaciones'!P209</x:f>
        <x:v>0</x:v>
      </x:c>
      <x:c r="K216" s="93" t="n">
        <x:f>SUM(C216:J216)</x:f>
        <x:v>-0.03469686979151526</x:v>
      </x:c>
      <x:c r="L216" s="93" t="n">
        <x:f>B216-K216</x:f>
        <x:v>0.07928184269756117</x:v>
      </x:c>
      <x:c r="M216" s="79" t="n">
        <x:f>'Datos_fuente'!B209</x:f>
        <x:v>4926.660667</x:v>
      </x:c>
      <x:c r="N216" s="79" t="n">
        <x:f>EXP('Transformaciones'!B208+K216)</x:f>
        <x:v>4551.148261820237</x:v>
      </x:c>
      <x:c r="O216" s="1"/>
      <x:c r="P216" s="1"/>
      <x:c r="Q216" s="1"/>
      <x:c r="R216" s="1"/>
      <x:c r="S216" s="1"/>
      <x:c r="T216" s="1"/>
      <x:c r="U216" s="1"/>
      <x:c r="V216" s="1"/>
      <x:c r="W216" s="1"/>
      <x:c r="X216" s="1"/>
      <x:c r="Y216" s="1"/>
      <x:c r="Z216" s="1"/>
    </x:row>
    <x:row r="217">
      <x:c r="A217" s="1" t="str">
        <x:f>'Transformaciones'!A210</x:f>
        <x:v>2022-12</x:v>
      </x:c>
      <x:c r="B217" s="87" t="n">
        <x:f>'Transformaciones'!C210</x:f>
        <x:v>-0.028446152718185402</x:v>
      </x:c>
      <x:c r="C217" s="87" t="n">
        <x:f>$B$6</x:f>
        <x:v>-0.00045209606279241735</x:v>
      </x:c>
      <x:c r="D217" s="87" t="n">
        <x:f>$B$7*'Transformaciones'!E210</x:f>
        <x:v>0.006301500677436549</x:v>
      </x:c>
      <x:c r="E217" s="87" t="n">
        <x:f>$B$8*'Transformaciones'!M210</x:f>
        <x:v>-0.025752203007891716</x:v>
      </x:c>
      <x:c r="F217" s="87" t="n">
        <x:f>$B$9*'Transformaciones'!O210</x:f>
        <x:v>-0.0025960917829523926</x:v>
      </x:c>
      <x:c r="G217" s="87" t="n">
        <x:f>$B$10*'Transformaciones'!G209</x:f>
        <x:v>-0.0001284737021872377</x:v>
      </x:c>
      <x:c r="H217" s="87" t="n">
        <x:f>$B$11*'Transformaciones'!I209</x:f>
        <x:v>-0.0026530147309559763</x:v>
      </x:c>
      <x:c r="I217" s="87" t="n">
        <x:f>$B$12*'Transformaciones'!K209</x:f>
        <x:v>-0.0023048141940876033</x:v>
      </x:c>
      <x:c r="J217" s="87" t="n">
        <x:f>$B$13*'Transformaciones'!P210</x:f>
        <x:v>0</x:v>
      </x:c>
      <x:c r="K217" s="93" t="n">
        <x:f>SUM(C217:J217)</x:f>
        <x:v>-0.027585192803430792</x:v>
      </x:c>
      <x:c r="L217" s="93" t="n">
        <x:f>B217-K217</x:f>
        <x:v>-0.0008609599147546103</x:v>
      </x:c>
      <x:c r="M217" s="79" t="n">
        <x:f>'Datos_fuente'!B210</x:f>
        <x:v>4788.490645</x:v>
      </x:c>
      <x:c r="N217" s="79" t="n">
        <x:f>EXP('Transformaciones'!B209+K217)</x:f>
        <x:v>4792.615118746037</x:v>
      </x:c>
      <x:c r="O217" s="1"/>
      <x:c r="P217" s="1"/>
      <x:c r="Q217" s="1"/>
      <x:c r="R217" s="1"/>
      <x:c r="S217" s="1"/>
      <x:c r="T217" s="1"/>
      <x:c r="U217" s="1"/>
      <x:c r="V217" s="1"/>
      <x:c r="W217" s="1"/>
      <x:c r="X217" s="1"/>
      <x:c r="Y217" s="1"/>
      <x:c r="Z217" s="1"/>
    </x:row>
    <x:row r="218">
      <x:c r="A218" s="1" t="str">
        <x:f>'Transformaciones'!A211</x:f>
        <x:v>2023-01</x:v>
      </x:c>
      <x:c r="B218" s="87" t="n">
        <x:f>'Transformaciones'!C211</x:f>
        <x:v>-0.01542310237575073</x:v>
      </x:c>
      <x:c r="C218" s="87" t="n">
        <x:f>$B$6</x:f>
        <x:v>-0.00045209606279241735</x:v>
      </x:c>
      <x:c r="D218" s="87" t="n">
        <x:f>$B$7*'Transformaciones'!E211</x:f>
        <x:v>-0.0009979279756781214</x:v>
      </x:c>
      <x:c r="E218" s="87" t="n">
        <x:f>$B$8*'Transformaciones'!M211</x:f>
        <x:v>-0.024339568891528874</x:v>
      </x:c>
      <x:c r="F218" s="87" t="n">
        <x:f>$B$9*'Transformaciones'!O211</x:f>
        <x:v>-0.0029750959479719974</x:v>
      </x:c>
      <x:c r="G218" s="87" t="n">
        <x:f>$B$10*'Transformaciones'!G210</x:f>
        <x:v>0.0005043175249814286</x:v>
      </x:c>
      <x:c r="H218" s="87" t="n">
        <x:f>$B$11*'Transformaciones'!I210</x:f>
        <x:v>-0.000984492218070955</x:v>
      </x:c>
      <x:c r="I218" s="87" t="n">
        <x:f>$B$12*'Transformaciones'!K210</x:f>
        <x:v>0.000014677575624305796</x:v>
      </x:c>
      <x:c r="J218" s="87" t="n">
        <x:f>$B$13*'Transformaciones'!P211</x:f>
        <x:v>0</x:v>
      </x:c>
      <x:c r="K218" s="93" t="n">
        <x:f>SUM(C218:J218)</x:f>
        <x:v>-0.029230185995436628</x:v>
      </x:c>
      <x:c r="L218" s="93" t="n">
        <x:f>B218-K218</x:f>
        <x:v>0.013807083619685898</x:v>
      </x:c>
      <x:c r="M218" s="79" t="n">
        <x:f>'Datos_fuente'!B211</x:f>
        <x:v>4715.203871</x:v>
      </x:c>
      <x:c r="N218" s="79" t="n">
        <x:f>EXP('Transformaciones'!B210+K218)</x:f>
        <x:v>4650.548038252331</x:v>
      </x:c>
      <x:c r="O218" s="1"/>
      <x:c r="P218" s="1"/>
      <x:c r="Q218" s="1"/>
      <x:c r="R218" s="1"/>
      <x:c r="S218" s="1"/>
      <x:c r="T218" s="1"/>
      <x:c r="U218" s="1"/>
      <x:c r="V218" s="1"/>
      <x:c r="W218" s="1"/>
      <x:c r="X218" s="1"/>
      <x:c r="Y218" s="1"/>
      <x:c r="Z218" s="1"/>
    </x:row>
    <x:row r="219">
      <x:c r="A219" s="1" t="str">
        <x:f>'Transformaciones'!A212</x:f>
        <x:v>2023-02</x:v>
      </x:c>
      <x:c r="B219" s="87" t="n">
        <x:f>'Transformaciones'!C212</x:f>
        <x:v>0.01847199130613575</x:v>
      </x:c>
      <x:c r="C219" s="87" t="n">
        <x:f>$B$6</x:f>
        <x:v>-0.00045209606279241735</x:v>
      </x:c>
      <x:c r="D219" s="87" t="n">
        <x:f>$B$7*'Transformaciones'!E212</x:f>
        <x:v>-0.000052336194215506966</x:v>
      </x:c>
      <x:c r="E219" s="87" t="n">
        <x:f>$B$8*'Transformaciones'!M212</x:f>
        <x:v>0.005042978632760224</x:v>
      </x:c>
      <x:c r="F219" s="87" t="n">
        <x:f>$B$9*'Transformaciones'!O212</x:f>
        <x:v>-0.0000930661910647263</x:v>
      </x:c>
      <x:c r="G219" s="87" t="n">
        <x:f>$B$10*'Transformaciones'!G211</x:f>
        <x:v>0.0033404626469965256</x:v>
      </x:c>
      <x:c r="H219" s="87" t="n">
        <x:f>$B$11*'Transformaciones'!I211</x:f>
        <x:v>-0.0039539508766179106</x:v>
      </x:c>
      <x:c r="I219" s="87" t="n">
        <x:f>$B$12*'Transformaciones'!K211</x:f>
        <x:v>-0.001879655024183226</x:v>
      </x:c>
      <x:c r="J219" s="87" t="n">
        <x:f>$B$13*'Transformaciones'!P212</x:f>
        <x:v>0</x:v>
      </x:c>
      <x:c r="K219" s="93" t="n">
        <x:f>SUM(C219:J219)</x:f>
        <x:v>0.0019523369308829615</x:v>
      </x:c>
      <x:c r="L219" s="93" t="n">
        <x:f>B219-K219</x:f>
        <x:v>0.01651965437525279</x:v>
      </x:c>
      <x:c r="M219" s="79" t="n">
        <x:f>'Datos_fuente'!B212</x:f>
        <x:v>4803.1125</x:v>
      </x:c>
      <x:c r="N219" s="79" t="n">
        <x:f>EXP('Transformaciones'!B211+K219)</x:f>
        <x:v>4724.418529786425</x:v>
      </x:c>
      <x:c r="O219" s="1"/>
      <x:c r="P219" s="1"/>
      <x:c r="Q219" s="1"/>
      <x:c r="R219" s="1"/>
      <x:c r="S219" s="1"/>
      <x:c r="T219" s="1"/>
      <x:c r="U219" s="1"/>
      <x:c r="V219" s="1"/>
      <x:c r="W219" s="1"/>
      <x:c r="X219" s="1"/>
      <x:c r="Y219" s="1"/>
      <x:c r="Z219" s="1"/>
    </x:row>
    <x:row r="220">
      <x:c r="A220" s="1" t="str">
        <x:f>'Transformaciones'!A213</x:f>
        <x:v>2023-03</x:v>
      </x:c>
      <x:c r="B220" s="87" t="n">
        <x:f>'Transformaciones'!C213</x:f>
        <x:v>-0.0076926045720711045</x:v>
      </x:c>
      <x:c r="C220" s="87" t="n">
        <x:f>$B$6</x:f>
        <x:v>-0.00045209606279241735</x:v>
      </x:c>
      <x:c r="D220" s="87" t="n">
        <x:f>$B$7*'Transformaciones'!E213</x:f>
        <x:v>0.002665570277100167</x:v>
      </x:c>
      <x:c r="E220" s="87" t="n">
        <x:f>$B$8*'Transformaciones'!M213</x:f>
        <x:v>0.0044017320851386975</x:v>
      </x:c>
      <x:c r="F220" s="87" t="n">
        <x:f>$B$9*'Transformaciones'!O213</x:f>
        <x:v>0.002819289699219637</x:v>
      </x:c>
      <x:c r="G220" s="87" t="n">
        <x:f>$B$10*'Transformaciones'!G212</x:f>
        <x:v>0.00505628446567724</x:v>
      </x:c>
      <x:c r="H220" s="87" t="n">
        <x:f>$B$11*'Transformaciones'!I212</x:f>
        <x:v>-0.004574053114460202</x:v>
      </x:c>
      <x:c r="I220" s="87" t="n">
        <x:f>$B$12*'Transformaciones'!K212</x:f>
        <x:v>0.00012420004268513007</x:v>
      </x:c>
      <x:c r="J220" s="87" t="n">
        <x:f>$B$13*'Transformaciones'!P213</x:f>
        <x:v>0</x:v>
      </x:c>
      <x:c r="K220" s="93" t="n">
        <x:f>SUM(C220:J220)</x:f>
        <x:v>0.010040927392568252</x:v>
      </x:c>
      <x:c r="L220" s="93" t="n">
        <x:f>B220-K220</x:f>
        <x:v>-0.01773353196463936</x:v>
      </x:c>
      <x:c r="M220" s="79" t="n">
        <x:f>'Datos_fuente'!B213</x:f>
        <x:v>4766.305806</x:v>
      </x:c>
      <x:c r="N220" s="79" t="n">
        <x:f>EXP('Transformaciones'!B212+K220)</x:f>
        <x:v>4851.5831417336</x:v>
      </x:c>
      <x:c r="O220" s="1"/>
      <x:c r="P220" s="1"/>
      <x:c r="Q220" s="1"/>
      <x:c r="R220" s="1"/>
      <x:c r="S220" s="1"/>
      <x:c r="T220" s="1"/>
      <x:c r="U220" s="1"/>
      <x:c r="V220" s="1"/>
      <x:c r="W220" s="1"/>
      <x:c r="X220" s="1"/>
      <x:c r="Y220" s="1"/>
      <x:c r="Z220" s="1"/>
    </x:row>
    <x:row r="221">
      <x:c r="A221" s="1" t="str">
        <x:f>'Transformaciones'!A214</x:f>
        <x:v>2023-04</x:v>
      </x:c>
      <x:c r="B221" s="87" t="n">
        <x:f>'Transformaciones'!C214</x:f>
        <x:v>-0.04805564193941869</x:v>
      </x:c>
      <x:c r="C221" s="87" t="n">
        <x:f>$B$6</x:f>
        <x:v>-0.00045209606279241735</x:v>
      </x:c>
      <x:c r="D221" s="87" t="n">
        <x:f>$B$7*'Transformaciones'!E214</x:f>
        <x:v>-0.003935091743522868</x:v>
      </x:c>
      <x:c r="E221" s="87" t="n">
        <x:f>$B$8*'Transformaciones'!M214</x:f>
        <x:v>-0.015187238321355236</x:v>
      </x:c>
      <x:c r="F221" s="87" t="n">
        <x:f>$B$9*'Transformaciones'!O214</x:f>
        <x:v>-0.0075127250243538935</x:v>
      </x:c>
      <x:c r="G221" s="87" t="n">
        <x:f>$B$10*'Transformaciones'!G213</x:f>
        <x:v>0.0033358478408495452</x:v>
      </x:c>
      <x:c r="H221" s="87" t="n">
        <x:f>$B$11*'Transformaciones'!I213</x:f>
        <x:v>0.000712797936305515</x:v>
      </x:c>
      <x:c r="I221" s="87" t="n">
        <x:f>$B$12*'Transformaciones'!K213</x:f>
        <x:v>-0.0007356167834559012</x:v>
      </x:c>
      <x:c r="J221" s="87" t="n">
        <x:f>$B$13*'Transformaciones'!P214</x:f>
        <x:v>0</x:v>
      </x:c>
      <x:c r="K221" s="93" t="n">
        <x:f>SUM(C221:J221)</x:f>
        <x:v>-0.02377412215832526</x:v>
      </x:c>
      <x:c r="L221" s="93" t="n">
        <x:f>B221-K221</x:f>
        <x:v>-0.02428151978109343</x:v>
      </x:c>
      <x:c r="M221" s="79" t="n">
        <x:f>'Datos_fuente'!B214</x:f>
        <x:v>4542.674333</x:v>
      </x:c>
      <x:c r="N221" s="79" t="n">
        <x:f>EXP('Transformaciones'!B213+K221)</x:f>
        <x:v>4654.327437445158</x:v>
      </x:c>
      <x:c r="O221" s="1"/>
      <x:c r="P221" s="1"/>
      <x:c r="Q221" s="1"/>
      <x:c r="R221" s="1"/>
      <x:c r="S221" s="1"/>
      <x:c r="T221" s="1"/>
      <x:c r="U221" s="1"/>
      <x:c r="V221" s="1"/>
      <x:c r="W221" s="1"/>
      <x:c r="X221" s="1"/>
      <x:c r="Y221" s="1"/>
      <x:c r="Z221" s="1"/>
    </x:row>
    <x:row r="222">
      <x:c r="A222" s="1" t="str">
        <x:f>'Transformaciones'!A215</x:f>
        <x:v>2023-05</x:v>
      </x:c>
      <x:c r="B222" s="87" t="n">
        <x:f>'Transformaciones'!C215</x:f>
        <x:v>-0.0005692763239384391</x:v>
      </x:c>
      <x:c r="C222" s="87" t="n">
        <x:f>$B$6</x:f>
        <x:v>-0.00045209606279241735</x:v>
      </x:c>
      <x:c r="D222" s="87" t="n">
        <x:f>$B$7*'Transformaciones'!E215</x:f>
        <x:v>0.005929365117274967</x:v>
      </x:c>
      <x:c r="E222" s="87" t="n">
        <x:f>$B$8*'Transformaciones'!M215</x:f>
        <x:v>0.003907503361521867</x:v>
      </x:c>
      <x:c r="F222" s="87" t="n">
        <x:f>$B$9*'Transformaciones'!O215</x:f>
        <x:v>-0.0003960658804693711</x:v>
      </x:c>
      <x:c r="G222" s="87" t="n">
        <x:f>$B$10*'Transformaciones'!G214</x:f>
        <x:v>-0.0004830869251432647</x:v>
      </x:c>
      <x:c r="H222" s="87" t="n">
        <x:f>$B$11*'Transformaciones'!I214</x:f>
        <x:v>-0.000613709434126881</x:v>
      </x:c>
      <x:c r="I222" s="87" t="n">
        <x:f>$B$12*'Transformaciones'!K214</x:f>
        <x:v>-0.0016402780231906436</x:v>
      </x:c>
      <x:c r="J222" s="87" t="n">
        <x:f>$B$13*'Transformaciones'!P215</x:f>
        <x:v>0</x:v>
      </x:c>
      <x:c r="K222" s="93" t="n">
        <x:f>SUM(C222:J222)</x:f>
        <x:v>0.006251632153074258</x:v>
      </x:c>
      <x:c r="L222" s="93" t="n">
        <x:f>B222-K222</x:f>
        <x:v>-0.006820908477012697</x:v>
      </x:c>
      <x:c r="M222" s="79" t="n">
        <x:f>'Datos_fuente'!B215</x:f>
        <x:v>4540.089032</x:v>
      </x:c>
      <x:c r="N222" s="79" t="n">
        <x:f>EXP('Transformaciones'!B214+K222)</x:f>
        <x:v>4571.162417651084</x:v>
      </x:c>
      <x:c r="O222" s="1"/>
      <x:c r="P222" s="1"/>
      <x:c r="Q222" s="1"/>
      <x:c r="R222" s="1"/>
      <x:c r="S222" s="1"/>
      <x:c r="T222" s="1"/>
      <x:c r="U222" s="1"/>
      <x:c r="V222" s="1"/>
      <x:c r="W222" s="1"/>
      <x:c r="X222" s="1"/>
      <x:c r="Y222" s="1"/>
      <x:c r="Z222" s="1"/>
    </x:row>
    <x:row r="223">
      <x:c r="A223" s="1" t="str">
        <x:f>'Transformaciones'!A216</x:f>
        <x:v>2023-06</x:v>
      </x:c>
      <x:c r="B223" s="87" t="n">
        <x:f>'Transformaciones'!C216</x:f>
        <x:v>-0.07565786159077881</x:v>
      </x:c>
      <x:c r="C223" s="87" t="n">
        <x:f>$B$6</x:f>
        <x:v>-0.00045209606279241735</x:v>
      </x:c>
      <x:c r="D223" s="87" t="n">
        <x:f>$B$7*'Transformaciones'!E216</x:f>
        <x:v>0.0004312102095745358</x:v>
      </x:c>
      <x:c r="E223" s="87" t="n">
        <x:f>$B$8*'Transformaciones'!M216</x:f>
        <x:v>-0.003379738688487038</x:v>
      </x:c>
      <x:c r="F223" s="87" t="n">
        <x:f>$B$9*'Transformaciones'!O216</x:f>
        <x:v>-0.008907655344681756</x:v>
      </x:c>
      <x:c r="G223" s="87" t="n">
        <x:f>$B$10*'Transformaciones'!G215</x:f>
        <x:v>0.0009623599512328891</x:v>
      </x:c>
      <x:c r="H223" s="87" t="n">
        <x:f>$B$11*'Transformaciones'!I215</x:f>
        <x:v>-0.00011826692323371093</x:v>
      </x:c>
      <x:c r="I223" s="87" t="n">
        <x:f>$B$12*'Transformaciones'!K215</x:f>
        <x:v>-0.0008659493395524223</x:v>
      </x:c>
      <x:c r="J223" s="87" t="n">
        <x:f>$B$13*'Transformaciones'!P216</x:f>
        <x:v>0</x:v>
      </x:c>
      <x:c r="K223" s="93" t="n">
        <x:f>SUM(C223:J223)</x:f>
        <x:v>-0.012330136197939918</x:v>
      </x:c>
      <x:c r="L223" s="93" t="n">
        <x:f>B223-K223</x:f>
        <x:v>-0.06332772539283889</x:v>
      </x:c>
      <x:c r="M223" s="79" t="n">
        <x:f>'Datos_fuente'!B216</x:f>
        <x:v>4209.268</x:v>
      </x:c>
      <x:c r="N223" s="79" t="n">
        <x:f>EXP('Transformaciones'!B215+K223)</x:f>
        <x:v>4484.452821782531</x:v>
      </x:c>
      <x:c r="O223" s="1"/>
      <x:c r="P223" s="1"/>
      <x:c r="Q223" s="1"/>
      <x:c r="R223" s="1"/>
      <x:c r="S223" s="1"/>
      <x:c r="T223" s="1"/>
      <x:c r="U223" s="1"/>
      <x:c r="V223" s="1"/>
      <x:c r="W223" s="1"/>
      <x:c r="X223" s="1"/>
      <x:c r="Y223" s="1"/>
      <x:c r="Z223" s="1"/>
    </x:row>
    <x:row r="224">
      <x:c r="A224" s="1" t="str">
        <x:f>'Transformaciones'!A217</x:f>
        <x:v>2023-07</x:v>
      </x:c>
      <x:c r="B224" s="87" t="n">
        <x:f>'Transformaciones'!C217</x:f>
        <x:v>-0.033834096567050054</x:v>
      </x:c>
      <x:c r="C224" s="87" t="n">
        <x:f>$B$6</x:f>
        <x:v>-0.00045209606279241735</x:v>
      </x:c>
      <x:c r="D224" s="87" t="n">
        <x:f>$B$7*'Transformaciones'!E217</x:f>
        <x:v>-0.003516964500080244</x:v>
      </x:c>
      <x:c r="E224" s="87" t="n">
        <x:f>$B$8*'Transformaciones'!M217</x:f>
        <x:v>-0.01277544424837899</x:v>
      </x:c>
      <x:c r="F224" s="87" t="n">
        <x:f>$B$9*'Transformaciones'!O217</x:f>
        <x:v>-0.0001957484249303737</x:v>
      </x:c>
      <x:c r="G224" s="87" t="n">
        <x:f>$B$10*'Transformaciones'!G216</x:f>
        <x:v>-0.0010163286234070661</x:v>
      </x:c>
      <x:c r="H224" s="87" t="n">
        <x:f>$B$11*'Transformaciones'!I216</x:f>
        <x:v>0.00011826692323371093</x:v>
      </x:c>
      <x:c r="I224" s="87" t="n">
        <x:f>$B$12*'Transformaciones'!K216</x:f>
        <x:v>-0.0020335960451436587</x:v>
      </x:c>
      <x:c r="J224" s="87" t="n">
        <x:f>$B$13*'Transformaciones'!P217</x:f>
        <x:v>0</x:v>
      </x:c>
      <x:c r="K224" s="93" t="n">
        <x:f>SUM(C224:J224)</x:f>
        <x:v>-0.019871910981499038</x:v>
      </x:c>
      <x:c r="L224" s="93" t="n">
        <x:f>B224-K224</x:f>
        <x:v>-0.013962185585551016</x:v>
      </x:c>
      <x:c r="M224" s="79" t="n">
        <x:f>'Datos_fuente'!B217</x:f>
        <x:v>4069.233548</x:v>
      </x:c>
      <x:c r="N224" s="79" t="n">
        <x:f>EXP('Transformaciones'!B216+K224)</x:f>
        <x:v>4126.447427944075</x:v>
      </x:c>
      <x:c r="O224" s="1"/>
      <x:c r="P224" s="1"/>
      <x:c r="Q224" s="1"/>
      <x:c r="R224" s="1"/>
      <x:c r="S224" s="1"/>
      <x:c r="T224" s="1"/>
      <x:c r="U224" s="1"/>
      <x:c r="V224" s="1"/>
      <x:c r="W224" s="1"/>
      <x:c r="X224" s="1"/>
      <x:c r="Y224" s="1"/>
      <x:c r="Z224" s="1"/>
    </x:row>
    <x:row r="225">
      <x:c r="A225" s="1" t="str">
        <x:f>'Transformaciones'!A218</x:f>
        <x:v>2023-08</x:v>
      </x:c>
      <x:c r="B225" s="87" t="n">
        <x:f>'Transformaciones'!C218</x:f>
        <x:v>0.00036649154375822945</x:v>
      </x:c>
      <x:c r="C225" s="87" t="n">
        <x:f>$B$6</x:f>
        <x:v>-0.00045209606279241735</x:v>
      </x:c>
      <x:c r="D225" s="87" t="n">
        <x:f>$B$7*'Transformaciones'!E218</x:f>
        <x:v>-0.003757339237675135</x:v>
      </x:c>
      <x:c r="E225" s="87" t="n">
        <x:f>$B$8*'Transformaciones'!M218</x:f>
        <x:v>0.01845948064664409</x:v>
      </x:c>
      <x:c r="F225" s="87" t="n">
        <x:f>$B$9*'Transformaciones'!O218</x:f>
        <x:v>0.004989429518918674</x:v>
      </x:c>
      <x:c r="G225" s="87" t="n">
        <x:f>$B$10*'Transformaciones'!G217</x:f>
        <x:v>-0.0034382584953608062</x:v>
      </x:c>
      <x:c r="H225" s="87" t="n">
        <x:f>$B$11*'Transformaciones'!I217</x:f>
        <x:v>0.00039635400871453606</x:v>
      </x:c>
      <x:c r="I225" s="87" t="n">
        <x:f>$B$12*'Transformaciones'!K217</x:f>
        <x:v>-0.0015765789225462522</x:v>
      </x:c>
      <x:c r="J225" s="87" t="n">
        <x:f>$B$13*'Transformaciones'!P218</x:f>
        <x:v>0</x:v>
      </x:c>
      <x:c r="K225" s="93" t="n">
        <x:f>SUM(C225:J225)</x:f>
        <x:v>0.014620991455902689</x:v>
      </x:c>
      <x:c r="L225" s="93" t="n">
        <x:f>B225-K225</x:f>
        <x:v>-0.01425449991214446</x:v>
      </x:c>
      <x:c r="M225" s="79" t="n">
        <x:f>'Datos_fuente'!B218</x:f>
        <x:v>4070.725161</x:v>
      </x:c>
      <x:c r="N225" s="79" t="n">
        <x:f>EXP('Transformaciones'!B217+K225)</x:f>
        <x:v>4129.166851421018</x:v>
      </x:c>
      <x:c r="O225" s="1"/>
      <x:c r="P225" s="1"/>
      <x:c r="Q225" s="1"/>
      <x:c r="R225" s="1"/>
      <x:c r="S225" s="1"/>
      <x:c r="T225" s="1"/>
      <x:c r="U225" s="1"/>
      <x:c r="V225" s="1"/>
      <x:c r="W225" s="1"/>
      <x:c r="X225" s="1"/>
      <x:c r="Y225" s="1"/>
      <x:c r="Z225" s="1"/>
    </x:row>
    <x:row r="226">
      <x:c r="A226" s="1" t="str">
        <x:f>'Transformaciones'!A219</x:f>
        <x:v>2023-09</x:v>
      </x:c>
      <x:c r="B226" s="87" t="n">
        <x:f>'Transformaciones'!C219</x:f>
        <x:v>-0.01639726610736858</x:v>
      </x:c>
      <x:c r="C226" s="87" t="n">
        <x:f>$B$6</x:f>
        <x:v>-0.00045209606279241735</x:v>
      </x:c>
      <x:c r="D226" s="87" t="n">
        <x:f>$B$7*'Transformaciones'!E219</x:f>
        <x:v>-0.004356285648217374</x:v>
      </x:c>
      <x:c r="E226" s="87" t="n">
        <x:f>$B$8*'Transformaciones'!M219</x:f>
        <x:v>0.018003442192736457</x:v>
      </x:c>
      <x:c r="F226" s="87" t="n">
        <x:f>$B$9*'Transformaciones'!O219</x:f>
        <x:v>-0.0016944220980217358</x:v>
      </x:c>
      <x:c r="G226" s="87" t="n">
        <x:f>$B$10*'Transformaciones'!G218</x:f>
        <x:v>0.003183761839216531</x:v>
      </x:c>
      <x:c r="H226" s="87" t="n">
        <x:f>$B$11*'Transformaciones'!I218</x:f>
        <x:v>0.002080858545751367</x:v>
      </x:c>
      <x:c r="I226" s="87" t="n">
        <x:f>$B$12*'Transformaciones'!K218</x:f>
        <x:v>-0.0012725205010948968</x:v>
      </x:c>
      <x:c r="J226" s="87" t="n">
        <x:f>$B$13*'Transformaciones'!P219</x:f>
        <x:v>0</x:v>
      </x:c>
      <x:c r="K226" s="93" t="n">
        <x:f>SUM(C226:J226)</x:f>
        <x:v>0.015492738267577931</x:v>
      </x:c>
      <x:c r="L226" s="93" t="n">
        <x:f>B226-K226</x:f>
        <x:v>-0.03189000437494651</x:v>
      </x:c>
      <x:c r="M226" s="79" t="n">
        <x:f>'Datos_fuente'!B219</x:f>
        <x:v>4004.520667</x:v>
      </x:c>
      <x:c r="N226" s="79" t="n">
        <x:f>EXP('Transformaciones'!B218+K226)</x:f>
        <x:v>4134.28291098935</x:v>
      </x:c>
      <x:c r="O226" s="1"/>
      <x:c r="P226" s="1"/>
      <x:c r="Q226" s="1"/>
      <x:c r="R226" s="1"/>
      <x:c r="S226" s="1"/>
      <x:c r="T226" s="1"/>
      <x:c r="U226" s="1"/>
      <x:c r="V226" s="1"/>
      <x:c r="W226" s="1"/>
      <x:c r="X226" s="1"/>
      <x:c r="Y226" s="1"/>
      <x:c r="Z226" s="1"/>
    </x:row>
    <x:row r="227">
      <x:c r="A227" s="1" t="str">
        <x:f>'Transformaciones'!A220</x:f>
        <x:v>2023-10</x:v>
      </x:c>
      <x:c r="B227" s="87" t="n">
        <x:f>'Transformaciones'!C220</x:f>
        <x:v>0.0529876660082067</x:v>
      </x:c>
      <x:c r="C227" s="87" t="n">
        <x:f>$B$6</x:f>
        <x:v>-0.00045209606279241735</x:v>
      </x:c>
      <x:c r="D227" s="87" t="n">
        <x:f>$B$7*'Transformaciones'!E220</x:f>
        <x:v>0.001753813418740118</x:v>
      </x:c>
      <x:c r="E227" s="87" t="n">
        <x:f>$B$8*'Transformaciones'!M220</x:f>
        <x:v>0.01835499116394763</x:v>
      </x:c>
      <x:c r="F227" s="87" t="n">
        <x:f>$B$9*'Transformaciones'!O220</x:f>
        <x:v>0.008456223845717472</x:v>
      </x:c>
      <x:c r="G227" s="87" t="n">
        <x:f>$B$10*'Transformaciones'!G219</x:f>
        <x:v>0.0034678865761412635</x:v>
      </x:c>
      <x:c r="H227" s="87" t="n">
        <x:f>$B$11*'Transformaciones'!I219</x:f>
        <x:v>0</x:v>
      </x:c>
      <x:c r="I227" s="87" t="n">
        <x:f>$B$12*'Transformaciones'!K219</x:f>
        <x:v>0.001417184609673668</x:v>
      </x:c>
      <x:c r="J227" s="87" t="n">
        <x:f>$B$13*'Transformaciones'!P220</x:f>
        <x:v>0</x:v>
      </x:c>
      <x:c r="K227" s="93" t="n">
        <x:f>SUM(C227:J227)</x:f>
        <x:v>0.032998003551427735</x:v>
      </x:c>
      <x:c r="L227" s="93" t="n">
        <x:f>B227-K227</x:f>
        <x:v>0.019989662456778967</x:v>
      </x:c>
      <x:c r="M227" s="79" t="n">
        <x:f>'Datos_fuente'!B220</x:f>
        <x:v>4222.433226</x:v>
      </x:c>
      <x:c r="N227" s="79" t="n">
        <x:f>EXP('Transformaciones'!B219+K227)</x:f>
        <x:v>4138.866231738977</x:v>
      </x:c>
      <x:c r="O227" s="1"/>
      <x:c r="P227" s="1"/>
      <x:c r="Q227" s="1"/>
      <x:c r="R227" s="1"/>
      <x:c r="S227" s="1"/>
      <x:c r="T227" s="1"/>
      <x:c r="U227" s="1"/>
      <x:c r="V227" s="1"/>
      <x:c r="W227" s="1"/>
      <x:c r="X227" s="1"/>
      <x:c r="Y227" s="1"/>
      <x:c r="Z227" s="1"/>
    </x:row>
    <x:row r="228">
      <x:c r="A228" s="1" t="str">
        <x:f>'Transformaciones'!A221</x:f>
        <x:v>2023-11</x:v>
      </x:c>
      <x:c r="B228" s="87" t="n">
        <x:f>'Transformaciones'!C221</x:f>
        <x:v>-0.04446278203181642</x:v>
      </x:c>
      <x:c r="C228" s="87" t="n">
        <x:f>$B$6</x:f>
        <x:v>-0.00045209606279241735</x:v>
      </x:c>
      <x:c r="D228" s="87" t="n">
        <x:f>$B$7*'Transformaciones'!E221</x:f>
        <x:v>0.004563993839897717</x:v>
      </x:c>
      <x:c r="E228" s="87" t="n">
        <x:f>$B$8*'Transformaciones'!M221</x:f>
        <x:v>-0.022591473754764675</x:v>
      </x:c>
      <x:c r="F228" s="87" t="n">
        <x:f>$B$9*'Transformaciones'!O221</x:f>
        <x:v>-0.01151163399180995</x:v>
      </x:c>
      <x:c r="G228" s="87" t="n">
        <x:f>$B$10*'Transformaciones'!G220</x:f>
        <x:v>-0.00022683344494474044</x:v>
      </x:c>
      <x:c r="H228" s="87" t="n">
        <x:f>$B$11*'Transformaciones'!I220</x:f>
        <x:v>0</x:v>
      </x:c>
      <x:c r="I228" s="87" t="n">
        <x:f>$B$12*'Transformaciones'!K220</x:f>
        <x:v>0.0015559411069334184</x:v>
      </x:c>
      <x:c r="J228" s="87" t="n">
        <x:f>$B$13*'Transformaciones'!P221</x:f>
        <x:v>0</x:v>
      </x:c>
      <x:c r="K228" s="93" t="n">
        <x:f>SUM(C228:J228)</x:f>
        <x:v>-0.028662102307480647</x:v>
      </x:c>
      <x:c r="L228" s="93" t="n">
        <x:f>B228-K228</x:f>
        <x:v>-0.01580067972433577</x:v>
      </x:c>
      <x:c r="M228" s="79" t="n">
        <x:f>'Datos_fuente'!B221</x:f>
        <x:v>4038.804667</x:v>
      </x:c>
      <x:c r="N228" s="79" t="n">
        <x:f>EXP('Transformaciones'!B220+K228)</x:f>
        <x:v>4103.127358903335</x:v>
      </x:c>
      <x:c r="O228" s="1"/>
      <x:c r="P228" s="1"/>
      <x:c r="Q228" s="1"/>
      <x:c r="R228" s="1"/>
      <x:c r="S228" s="1"/>
      <x:c r="T228" s="1"/>
      <x:c r="U228" s="1"/>
      <x:c r="V228" s="1"/>
      <x:c r="W228" s="1"/>
      <x:c r="X228" s="1"/>
      <x:c r="Y228" s="1"/>
      <x:c r="Z228" s="1"/>
    </x:row>
    <x:row r="229">
      <x:c r="A229" s="1" t="str">
        <x:f>'Transformaciones'!A222</x:f>
        <x:v>2023-12</x:v>
      </x:c>
      <x:c r="B229" s="87" t="n">
        <x:f>'Transformaciones'!C222</x:f>
        <x:v>-0.022687279122097337</x:v>
      </x:c>
      <x:c r="C229" s="87" t="n">
        <x:f>$B$6</x:f>
        <x:v>-0.00045209606279241735</x:v>
      </x:c>
      <x:c r="D229" s="87" t="n">
        <x:f>$B$7*'Transformaciones'!E222</x:f>
        <x:v>0.00341944113053926</x:v>
      </x:c>
      <x:c r="E229" s="87" t="n">
        <x:f>$B$8*'Transformaciones'!M222</x:f>
        <x:v>-0.014002246927312396</x:v>
      </x:c>
      <x:c r="F229" s="87" t="n">
        <x:f>$B$9*'Transformaciones'!O222</x:f>
        <x:v>-0.0037599104348432317</x:v>
      </x:c>
      <x:c r="G229" s="87" t="n">
        <x:f>$B$10*'Transformaciones'!G221</x:f>
        <x:v>0.0019558344239792628</x:v>
      </x:c>
      <x:c r="H229" s="87" t="n">
        <x:f>$B$11*'Transformaciones'!I221</x:f>
        <x:v>0</x:v>
      </x:c>
      <x:c r="I229" s="87" t="n">
        <x:f>$B$12*'Transformaciones'!K221</x:f>
        <x:v>0.0020545187686834103</x:v>
      </x:c>
      <x:c r="J229" s="87" t="n">
        <x:f>$B$13*'Transformaciones'!P222</x:f>
        <x:v>0</x:v>
      </x:c>
      <x:c r="K229" s="93" t="n">
        <x:f>SUM(C229:J229)</x:f>
        <x:v>-0.010784459101746113</x:v>
      </x:c>
      <x:c r="L229" s="93" t="n">
        <x:f>B229-K229</x:f>
        <x:v>-0.011902820020351224</x:v>
      </x:c>
      <x:c r="M229" s="79" t="n">
        <x:f>'Datos_fuente'!B222</x:f>
        <x:v>3948.206774</x:v>
      </x:c>
      <x:c r="N229" s="79" t="n">
        <x:f>EXP('Transformaciones'!B221+K229)</x:f>
        <x:v>3995.4823669164502</x:v>
      </x:c>
      <x:c r="O229" s="1"/>
      <x:c r="P229" s="1"/>
      <x:c r="Q229" s="1"/>
      <x:c r="R229" s="1"/>
      <x:c r="S229" s="1"/>
      <x:c r="T229" s="1"/>
      <x:c r="U229" s="1"/>
      <x:c r="V229" s="1"/>
      <x:c r="W229" s="1"/>
      <x:c r="X229" s="1"/>
      <x:c r="Y229" s="1"/>
      <x:c r="Z229" s="1"/>
    </x:row>
    <x:row r="230">
      <x:c r="A230" s="1" t="str">
        <x:f>'Transformaciones'!A223</x:f>
        <x:v>2024-01</x:v>
      </x:c>
      <x:c r="B230" s="87" t="n">
        <x:f>'Transformaciones'!C223</x:f>
        <x:v>-0.008395410345380938</x:v>
      </x:c>
      <x:c r="C230" s="87" t="n">
        <x:f>$B$6</x:f>
        <x:v>-0.00045209606279241735</x:v>
      </x:c>
      <x:c r="D230" s="87" t="n">
        <x:f>$B$7*'Transformaciones'!E223</x:f>
        <x:v>-0.0016339441834408216</x:v>
      </x:c>
      <x:c r="E230" s="87" t="n">
        <x:f>$B$8*'Transformaciones'!M223</x:f>
        <x:v>0.003990512668697024</x:v>
      </x:c>
      <x:c r="F230" s="87" t="n">
        <x:f>$B$9*'Transformaciones'!O223</x:f>
        <x:v>0.001982967205514519</x:v>
      </x:c>
      <x:c r="G230" s="87" t="n">
        <x:f>$B$10*'Transformaciones'!G222</x:f>
        <x:v>0.0017075438317204956</x:v>
      </x:c>
      <x:c r="H230" s="87" t="n">
        <x:f>$B$11*'Transformaciones'!I222</x:f>
        <x:v>0.0009589209933004753</x:v>
      </x:c>
      <x:c r="I230" s="87" t="n">
        <x:f>$B$12*'Transformaciones'!K222</x:f>
        <x:v>0.0002869465497127774</x:v>
      </x:c>
      <x:c r="J230" s="87" t="n">
        <x:f>$B$13*'Transformaciones'!P223</x:f>
        <x:v>0</x:v>
      </x:c>
      <x:c r="K230" s="93" t="n">
        <x:f>SUM(C230:J230)</x:f>
        <x:v>0.006840851002712052</x:v>
      </x:c>
      <x:c r="L230" s="93" t="n">
        <x:f>B230-K230</x:f>
        <x:v>-0.01523626134809299</x:v>
      </x:c>
      <x:c r="M230" s="79" t="n">
        <x:f>'Datos_fuente'!B223</x:f>
        <x:v>3915.19871</x:v>
      </x:c>
      <x:c r="N230" s="79" t="n">
        <x:f>EXP('Transformaciones'!B222+K230)</x:f>
        <x:v>3975.3084618829225</x:v>
      </x:c>
      <x:c r="O230" s="1"/>
      <x:c r="P230" s="1"/>
      <x:c r="Q230" s="1"/>
      <x:c r="R230" s="1"/>
      <x:c r="S230" s="1"/>
      <x:c r="T230" s="1"/>
      <x:c r="U230" s="1"/>
      <x:c r="V230" s="1"/>
      <x:c r="W230" s="1"/>
      <x:c r="X230" s="1"/>
      <x:c r="Y230" s="1"/>
      <x:c r="Z230" s="1"/>
    </x:row>
    <x:row r="231">
      <x:c r="A231" s="1" t="str">
        <x:f>'Transformaciones'!A224</x:f>
        <x:v>2024-02</x:v>
      </x:c>
      <x:c r="B231" s="87" t="n">
        <x:f>'Transformaciones'!C224</x:f>
        <x:v>0.004139335999093774</x:v>
      </x:c>
      <x:c r="C231" s="87" t="n">
        <x:f>$B$6</x:f>
        <x:v>-0.00045209606279241735</x:v>
      </x:c>
      <x:c r="D231" s="87" t="n">
        <x:f>$B$7*'Transformaciones'!E224</x:f>
        <x:v>-0.002119781075396386</x:v>
      </x:c>
      <x:c r="E231" s="87" t="n">
        <x:f>$B$8*'Transformaciones'!M224</x:f>
        <x:v>0.00844531861443951</x:v>
      </x:c>
      <x:c r="F231" s="87" t="n">
        <x:f>$B$9*'Transformaciones'!O224</x:f>
        <x:v>0.0016704264502687693</x:v>
      </x:c>
      <x:c r="G231" s="87" t="n">
        <x:f>$B$10*'Transformaciones'!G223</x:f>
        <x:v>0.0033078318089405073</x:v>
      </x:c>
      <x:c r="H231" s="87" t="n">
        <x:f>$B$11*'Transformaciones'!I223</x:f>
        <x:v>0.0015182915611654279</x:v>
      </x:c>
      <x:c r="I231" s="87" t="n">
        <x:f>$B$12*'Transformaciones'!K223</x:f>
        <x:v>-0.00017492960372022604</x:v>
      </x:c>
      <x:c r="J231" s="87" t="n">
        <x:f>$B$13*'Transformaciones'!P224</x:f>
        <x:v>0</x:v>
      </x:c>
      <x:c r="K231" s="93" t="n">
        <x:f>SUM(C231:J231)</x:f>
        <x:v>0.012195061692905186</x:v>
      </x:c>
      <x:c r="L231" s="93" t="n">
        <x:f>B231-K231</x:f>
        <x:v>-0.008055725693811413</x:v>
      </x:c>
      <x:c r="M231" s="79" t="n">
        <x:f>'Datos_fuente'!B224</x:f>
        <x:v>3931.438621</x:v>
      </x:c>
      <x:c r="N231" s="79" t="n">
        <x:f>EXP('Transformaciones'!B223+K231)</x:f>
        <x:v>3963.2371201434257</x:v>
      </x:c>
      <x:c r="O231" s="1"/>
      <x:c r="P231" s="1"/>
      <x:c r="Q231" s="1"/>
      <x:c r="R231" s="1"/>
      <x:c r="S231" s="1"/>
      <x:c r="T231" s="1"/>
      <x:c r="U231" s="1"/>
      <x:c r="V231" s="1"/>
      <x:c r="W231" s="1"/>
      <x:c r="X231" s="1"/>
      <x:c r="Y231" s="1"/>
      <x:c r="Z231" s="1"/>
    </x:row>
    <x:row r="232">
      <x:c r="A232" s="1" t="str">
        <x:f>'Transformaciones'!A225</x:f>
        <x:v>2024-03</x:v>
      </x:c>
      <x:c r="B232" s="87" t="n">
        <x:f>'Transformaciones'!C225</x:f>
        <x:v>-0.008197781349837285</x:v>
      </x:c>
      <x:c r="C232" s="87" t="n">
        <x:f>$B$6</x:f>
        <x:v>-0.00045209606279241735</x:v>
      </x:c>
      <x:c r="D232" s="87" t="n">
        <x:f>$B$7*'Transformaciones'!E225</x:f>
        <x:v>-0.0011817558311457512</x:v>
      </x:c>
      <x:c r="E232" s="87" t="n">
        <x:f>$B$8*'Transformaciones'!M225</x:f>
        <x:v>-0.004092616442045204</x:v>
      </x:c>
      <x:c r="F232" s="87" t="n">
        <x:f>$B$9*'Transformaciones'!O225</x:f>
        <x:v>-0.0005367631193394014</x:v>
      </x:c>
      <x:c r="G232" s="87" t="n">
        <x:f>$B$10*'Transformaciones'!G224</x:f>
        <x:v>0.0020815230939198967</x:v>
      </x:c>
      <x:c r="H232" s="87" t="n">
        <x:f>$B$11*'Transformaciones'!I224</x:f>
        <x:v>0.002477212554465903</x:v>
      </x:c>
      <x:c r="I232" s="87" t="n">
        <x:f>$B$12*'Transformaciones'!K224</x:f>
        <x:v>0.0006672176041984701</x:v>
      </x:c>
      <x:c r="J232" s="87" t="n">
        <x:f>$B$13*'Transformaciones'!P225</x:f>
        <x:v>0</x:v>
      </x:c>
      <x:c r="K232" s="93" t="n">
        <x:f>SUM(C232:J232)</x:f>
        <x:v>-0.001037278202738504</x:v>
      </x:c>
      <x:c r="L232" s="93" t="n">
        <x:f>B232-K232</x:f>
        <x:v>-0.007160503147098781</x:v>
      </x:c>
      <x:c r="M232" s="79" t="n">
        <x:f>'Datos_fuente'!B225</x:f>
        <x:v>3899.34129</x:v>
      </x:c>
      <x:c r="N232" s="79" t="n">
        <x:f>EXP('Transformaciones'!B224+K232)</x:f>
        <x:v>3927.3627396899046</x:v>
      </x:c>
      <x:c r="O232" s="1"/>
      <x:c r="P232" s="1"/>
      <x:c r="Q232" s="1"/>
      <x:c r="R232" s="1"/>
      <x:c r="S232" s="1"/>
      <x:c r="T232" s="1"/>
      <x:c r="U232" s="1"/>
      <x:c r="V232" s="1"/>
      <x:c r="W232" s="1"/>
      <x:c r="X232" s="1"/>
      <x:c r="Y232" s="1"/>
      <x:c r="Z232" s="1"/>
    </x:row>
    <x:row r="233">
      <x:c r="A233" s="1" t="str">
        <x:f>'Transformaciones'!A226</x:f>
        <x:v>2024-04</x:v>
      </x:c>
      <x:c r="B233" s="87" t="n">
        <x:f>'Transformaciones'!C226</x:f>
        <x:v>-0.008076438497193195</x:v>
      </x:c>
      <x:c r="C233" s="87" t="n">
        <x:f>$B$6</x:f>
        <x:v>-0.00045209606279241735</x:v>
      </x:c>
      <x:c r="D233" s="87" t="n">
        <x:f>$B$7*'Transformaciones'!E226</x:f>
        <x:v>-0.0026712487282647274</x:v>
      </x:c>
      <x:c r="E233" s="87" t="n">
        <x:f>$B$8*'Transformaciones'!M226</x:f>
        <x:v>0.014852359786241593</x:v>
      </x:c>
      <x:c r="F233" s="87" t="n">
        <x:f>$B$9*'Transformaciones'!O226</x:f>
        <x:v>0.00607832456674114</x:v>
      </x:c>
      <x:c r="G233" s="87" t="n">
        <x:f>$B$10*'Transformaciones'!G225</x:f>
        <x:v>0.0009119161107658791</x:v>
      </x:c>
      <x:c r="H233" s="87" t="n">
        <x:f>$B$11*'Transformaciones'!I225</x:f>
        <x:v>0.0009589209933004753</x:v>
      </x:c>
      <x:c r="I233" s="87" t="n">
        <x:f>$B$12*'Transformaciones'!K225</x:f>
        <x:v>-0.0011917495052628064</x:v>
      </x:c>
      <x:c r="J233" s="87" t="n">
        <x:f>$B$13*'Transformaciones'!P226</x:f>
        <x:v>0</x:v>
      </x:c>
      <x:c r="K233" s="93" t="n">
        <x:f>SUM(C233:J233)</x:f>
        <x:v>0.018486427160729135</x:v>
      </x:c>
      <x:c r="L233" s="93" t="n">
        <x:f>B233-K233</x:f>
        <x:v>-0.02656286565792233</x:v>
      </x:c>
      <x:c r="M233" s="79" t="n">
        <x:f>'Datos_fuente'!B226</x:f>
        <x:v>3867.975333</x:v>
      </x:c>
      <x:c r="N233" s="79" t="n">
        <x:f>EXP('Transformaciones'!B225+K233)</x:f>
        <x:v>3972.096599611657</x:v>
      </x:c>
      <x:c r="O233" s="1"/>
      <x:c r="P233" s="1"/>
      <x:c r="Q233" s="1"/>
      <x:c r="R233" s="1"/>
      <x:c r="S233" s="1"/>
      <x:c r="T233" s="1"/>
      <x:c r="U233" s="1"/>
      <x:c r="V233" s="1"/>
      <x:c r="W233" s="1"/>
      <x:c r="X233" s="1"/>
      <x:c r="Y233" s="1"/>
      <x:c r="Z233" s="1"/>
    </x:row>
    <x:row r="234">
      <x:c r="A234" s="1" t="str">
        <x:f>'Transformaciones'!A227</x:f>
        <x:v>2024-05</x:v>
      </x:c>
      <x:c r="B234" s="87" t="n">
        <x:f>'Transformaciones'!C227</x:f>
        <x:v>0.0002908881885446135</x:v>
      </x:c>
      <x:c r="C234" s="87" t="n">
        <x:f>$B$6</x:f>
        <x:v>-0.00045209606279241735</x:v>
      </x:c>
      <x:c r="D234" s="87" t="n">
        <x:f>$B$7*'Transformaciones'!E227</x:f>
        <x:v>0.004936735991632967</x:v>
      </x:c>
      <x:c r="E234" s="87" t="n">
        <x:f>$B$8*'Transformaciones'!M227</x:f>
        <x:v>-0.002833103601127824</x:v>
      </x:c>
      <x:c r="F234" s="87" t="n">
        <x:f>$B$9*'Transformaciones'!O227</x:f>
        <x:v>-0.008175578922581458</x:v>
      </x:c>
      <x:c r="G234" s="87" t="n">
        <x:f>$B$10*'Transformaciones'!G226</x:f>
        <x:v>0.004855040816859523</x:v>
      </x:c>
      <x:c r="H234" s="87" t="n">
        <x:f>$B$11*'Transformaciones'!I226</x:f>
        <x:v>0.003995504115631331</x:v>
      </x:c>
      <x:c r="I234" s="87" t="n">
        <x:f>$B$12*'Transformaciones'!K226</x:f>
        <x:v>0.006267204896458399</x:v>
      </x:c>
      <x:c r="J234" s="87" t="n">
        <x:f>$B$13*'Transformaciones'!P227</x:f>
        <x:v>0</x:v>
      </x:c>
      <x:c r="K234" s="93" t="n">
        <x:f>SUM(C234:J234)</x:f>
        <x:v>0.008593707234080521</x:v>
      </x:c>
      <x:c r="L234" s="93" t="n">
        <x:f>B234-K234</x:f>
        <x:v>-0.008302819045535908</x:v>
      </x:c>
      <x:c r="M234" s="79" t="n">
        <x:f>'Datos_fuente'!B227</x:f>
        <x:v>3869.100645</x:v>
      </x:c>
      <x:c r="N234" s="79" t="n">
        <x:f>EXP('Transformaciones'!B226+K234)</x:f>
        <x:v>3901.358819101147</x:v>
      </x:c>
      <x:c r="O234" s="1"/>
      <x:c r="P234" s="1"/>
      <x:c r="Q234" s="1"/>
      <x:c r="R234" s="1"/>
      <x:c r="S234" s="1"/>
      <x:c r="T234" s="1"/>
      <x:c r="U234" s="1"/>
      <x:c r="V234" s="1"/>
      <x:c r="W234" s="1"/>
      <x:c r="X234" s="1"/>
      <x:c r="Y234" s="1"/>
      <x:c r="Z234" s="1"/>
    </x:row>
    <x:row r="235">
      <x:c r="A235" s="1" t="str">
        <x:f>'Transformaciones'!A228</x:f>
        <x:v>2024-06</x:v>
      </x:c>
      <x:c r="B235" s="87" t="n">
        <x:f>'Transformaciones'!C228</x:f>
        <x:v>0.043914690596396966</x:v>
      </x:c>
      <x:c r="C235" s="87" t="n">
        <x:f>$B$6</x:f>
        <x:v>-0.00045209606279241735</x:v>
      </x:c>
      <x:c r="D235" s="87" t="n">
        <x:f>$B$7*'Transformaciones'!E228</x:f>
        <x:v>-0.00031509270016837987</x:v>
      </x:c>
      <x:c r="E235" s="87" t="n">
        <x:f>$B$8*'Transformaciones'!M228</x:f>
        <x:v>0.018318466463208876</x:v>
      </x:c>
      <x:c r="F235" s="87" t="n">
        <x:f>$B$9*'Transformaciones'!O228</x:f>
        <x:v>-0.0011760650979734644</x:v>
      </x:c>
      <x:c r="G235" s="87" t="n">
        <x:f>$B$10*'Transformaciones'!G227</x:f>
        <x:v>0.0020621602331260354</x:v>
      </x:c>
      <x:c r="H235" s="87" t="n">
        <x:f>$B$11*'Transformaciones'!I227</x:f>
        <x:v>0.004794604946684674</x:v>
      </x:c>
      <x:c r="I235" s="87" t="n">
        <x:f>$B$12*'Transformaciones'!K227</x:f>
        <x:v>0.001217474745978275</x:v>
      </x:c>
      <x:c r="J235" s="87" t="n">
        <x:f>$B$13*'Transformaciones'!P228</x:f>
        <x:v>0</x:v>
      </x:c>
      <x:c r="K235" s="93" t="n">
        <x:f>SUM(C235:J235)</x:f>
        <x:v>0.024449452528063603</x:v>
      </x:c>
      <x:c r="L235" s="93" t="n">
        <x:f>B235-K235</x:f>
        <x:v>0.019465238068333363</x:v>
      </x:c>
      <x:c r="M235" s="79" t="n">
        <x:f>'Datos_fuente'!B228</x:f>
        <x:v>4042.797</x:v>
      </x:c>
      <x:c r="N235" s="79" t="n">
        <x:f>EXP('Transformaciones'!B227+K235)</x:f>
        <x:v>3964.8639473361336</x:v>
      </x:c>
      <x:c r="O235" s="1"/>
      <x:c r="P235" s="1"/>
      <x:c r="Q235" s="1"/>
      <x:c r="R235" s="1"/>
      <x:c r="S235" s="1"/>
      <x:c r="T235" s="1"/>
      <x:c r="U235" s="1"/>
      <x:c r="V235" s="1"/>
      <x:c r="W235" s="1"/>
      <x:c r="X235" s="1"/>
      <x:c r="Y235" s="1"/>
      <x:c r="Z235" s="1"/>
    </x:row>
    <x:row r="236">
      <x:c r="A236" s="1" t="str">
        <x:f>'Transformaciones'!A229</x:f>
        <x:v>2024-07</x:v>
      </x:c>
      <x:c r="B236" s="87" t="n">
        <x:f>'Transformaciones'!C229</x:f>
        <x:v>-0.0014542748535451011</x:v>
      </x:c>
      <x:c r="C236" s="87" t="n">
        <x:f>$B$6</x:f>
        <x:v>-0.00045209606279241735</x:v>
      </x:c>
      <x:c r="D236" s="87" t="n">
        <x:f>$B$7*'Transformaciones'!E229</x:f>
        <x:v>-0.0017955514697824838</x:v>
      </x:c>
      <x:c r="E236" s="87" t="n">
        <x:f>$B$8*'Transformaciones'!M229</x:f>
        <x:v>-0.0032163215278657913</x:v>
      </x:c>
      <x:c r="F236" s="87" t="n">
        <x:f>$B$9*'Transformaciones'!O229</x:f>
        <x:v>0.004881845644528317</x:v>
      </x:c>
      <x:c r="G236" s="87" t="n">
        <x:f>$B$10*'Transformaciones'!G228</x:f>
        <x:v>0.005729500977449844</x:v>
      </x:c>
      <x:c r="H236" s="87" t="n">
        <x:f>$B$11*'Transformaciones'!I228</x:f>
        <x:v>0.0001598201622471318</x:v>
      </x:c>
      <x:c r="I236" s="87" t="n">
        <x:f>$B$12*'Transformaciones'!K228</x:f>
        <x:v>0.0023497055642648815</x:v>
      </x:c>
      <x:c r="J236" s="87" t="n">
        <x:f>$B$13*'Transformaciones'!P229</x:f>
        <x:v>0</x:v>
      </x:c>
      <x:c r="K236" s="93" t="n">
        <x:f>SUM(C236:J236)</x:f>
        <x:v>0.007656903288049483</x:v>
      </x:c>
      <x:c r="L236" s="93" t="n">
        <x:f>B236-K236</x:f>
        <x:v>-0.009111178141594584</x:v>
      </x:c>
      <x:c r="M236" s="79" t="n">
        <x:f>'Datos_fuente'!B229</x:f>
        <x:v>4036.921935</x:v>
      </x:c>
      <x:c r="N236" s="79" t="n">
        <x:f>EXP('Transformaciones'!B228+K236)</x:f>
        <x:v>4073.8711195883666</x:v>
      </x:c>
      <x:c r="O236" s="1"/>
      <x:c r="P236" s="1"/>
      <x:c r="Q236" s="1"/>
      <x:c r="R236" s="1"/>
      <x:c r="S236" s="1"/>
      <x:c r="T236" s="1"/>
      <x:c r="U236" s="1"/>
      <x:c r="V236" s="1"/>
      <x:c r="W236" s="1"/>
      <x:c r="X236" s="1"/>
      <x:c r="Y236" s="1"/>
      <x:c r="Z236" s="1"/>
    </x:row>
    <x:row r="237">
      <x:c r="A237" s="1" t="str">
        <x:f>'Transformaciones'!A230</x:f>
        <x:v>2024-08</x:v>
      </x:c>
      <x:c r="B237" s="87" t="n">
        <x:f>'Transformaciones'!C230</x:f>
        <x:v>0.007065658196761859</x:v>
      </x:c>
      <x:c r="C237" s="87" t="n">
        <x:f>$B$6</x:f>
        <x:v>-0.00045209606279241735</x:v>
      </x:c>
      <x:c r="D237" s="87" t="n">
        <x:f>$B$7*'Transformaciones'!E230</x:f>
        <x:v>0.002997783266186619</x:v>
      </x:c>
      <x:c r="E237" s="87" t="n">
        <x:f>$B$8*'Transformaciones'!M230</x:f>
        <x:v>-0.00759348150828592</x:v>
      </x:c>
      <x:c r="F237" s="87" t="n">
        <x:f>$B$9*'Transformaciones'!O230</x:f>
        <x:v>0.011404797953027573</x:v>
      </x:c>
      <x:c r="G237" s="87" t="n">
        <x:f>$B$10*'Transformaciones'!G229</x:f>
        <x:v>0.005868897290799904</x:v>
      </x:c>
      <x:c r="H237" s="87" t="n">
        <x:f>$B$11*'Transformaciones'!I229</x:f>
        <x:v>0.004794604946684674</x:v>
      </x:c>
      <x:c r="I237" s="87" t="n">
        <x:f>$B$12*'Transformaciones'!K229</x:f>
        <x:v>0.00048122429901017565</x:v>
      </x:c>
      <x:c r="J237" s="87" t="n">
        <x:f>$B$13*'Transformaciones'!P230</x:f>
        <x:v>0</x:v>
      </x:c>
      <x:c r="K237" s="93" t="n">
        <x:f>SUM(C237:J237)</x:f>
        <x:v>0.017501730184630606</x:v>
      </x:c>
      <x:c r="L237" s="93" t="n">
        <x:f>B237-K237</x:f>
        <x:v>-0.010436071987868747</x:v>
      </x:c>
      <x:c r="M237" s="79" t="n">
        <x:f>'Datos_fuente'!B230</x:f>
        <x:v>4065.546452</x:v>
      </x:c>
      <x:c r="N237" s="79" t="n">
        <x:f>EXP('Transformaciones'!B229+K237)</x:f>
        <x:v>4108.196952194461</x:v>
      </x:c>
      <x:c r="O237" s="1"/>
      <x:c r="P237" s="1"/>
      <x:c r="Q237" s="1"/>
      <x:c r="R237" s="1"/>
      <x:c r="S237" s="1"/>
      <x:c r="T237" s="1"/>
      <x:c r="U237" s="1"/>
      <x:c r="V237" s="1"/>
      <x:c r="W237" s="1"/>
      <x:c r="X237" s="1"/>
      <x:c r="Y237" s="1"/>
      <x:c r="Z237" s="1"/>
    </x:row>
    <x:row r="238">
      <x:c r="A238" s="1" t="str">
        <x:f>'Transformaciones'!A231</x:f>
        <x:v>2024-09</x:v>
      </x:c>
      <x:c r="B238" s="87" t="n">
        <x:f>'Transformaciones'!C231</x:f>
        <x:v>0.02836394008802401</x:v>
      </x:c>
      <x:c r="C238" s="87" t="n">
        <x:f>$B$6</x:f>
        <x:v>-0.00045209606279241735</x:v>
      </x:c>
      <x:c r="D238" s="87" t="n">
        <x:f>$B$7*'Transformaciones'!E231</x:f>
        <x:v>0.004247398522276947</x:v>
      </x:c>
      <x:c r="E238" s="87" t="n">
        <x:f>$B$8*'Transformaciones'!M231</x:f>
        <x:v>-0.007244326439582479</x:v>
      </x:c>
      <x:c r="F238" s="87" t="n">
        <x:f>$B$9*'Transformaciones'!O231</x:f>
        <x:v>-0.003446622504613249</x:v>
      </x:c>
      <x:c r="G238" s="87" t="n">
        <x:f>$B$10*'Transformaciones'!G230</x:f>
        <x:v>0.0028570790989573226</x:v>
      </x:c>
      <x:c r="H238" s="87" t="n">
        <x:f>$B$11*'Transformaciones'!I230</x:f>
        <x:v>0.005114245271178939</x:v>
      </x:c>
      <x:c r="I238" s="87" t="n">
        <x:f>$B$12*'Transformaciones'!K230</x:f>
        <x:v>0.0014970016115878103</x:v>
      </x:c>
      <x:c r="J238" s="87" t="n">
        <x:f>$B$13*'Transformaciones'!P231</x:f>
        <x:v>0</x:v>
      </x:c>
      <x:c r="K238" s="93" t="n">
        <x:f>SUM(C238:J238)</x:f>
        <x:v>0.002572679497012873</x:v>
      </x:c>
      <x:c r="L238" s="93" t="n">
        <x:f>B238-K238</x:f>
        <x:v>0.025791260591011136</x:v>
      </x:c>
      <x:c r="M238" s="79" t="n">
        <x:f>'Datos_fuente'!B231</x:f>
        <x:v>4182.512333</x:v>
      </x:c>
      <x:c r="N238" s="79" t="n">
        <x:f>EXP('Transformaciones'!B230+K238)</x:f>
        <x:v>4076.0192658215615</x:v>
      </x:c>
      <x:c r="O238" s="1"/>
      <x:c r="P238" s="1"/>
      <x:c r="Q238" s="1"/>
      <x:c r="R238" s="1"/>
      <x:c r="S238" s="1"/>
      <x:c r="T238" s="1"/>
      <x:c r="U238" s="1"/>
      <x:c r="V238" s="1"/>
      <x:c r="W238" s="1"/>
      <x:c r="X238" s="1"/>
      <x:c r="Y238" s="1"/>
      <x:c r="Z238" s="1"/>
    </x:row>
    <x:row r="239">
      <x:c r="A239" s="1" t="str">
        <x:f>'Transformaciones'!A232</x:f>
        <x:v>2024-10</x:v>
      </x:c>
      <x:c r="B239" s="87" t="n">
        <x:f>'Transformaciones'!C232</x:f>
        <x:v>0.01588216668817033</x:v>
      </x:c>
      <x:c r="C239" s="87" t="n">
        <x:f>$B$6</x:f>
        <x:v>-0.00045209606279241735</x:v>
      </x:c>
      <x:c r="D239" s="87" t="n">
        <x:f>$B$7*'Transformaciones'!E232</x:f>
        <x:v>-0.0011164099007295797</x:v>
      </x:c>
      <x:c r="E239" s="87" t="n">
        <x:f>$B$8*'Transformaciones'!M232</x:f>
        <x:v>0.016932107016197153</x:v>
      </x:c>
      <x:c r="F239" s="87" t="n">
        <x:f>$B$9*'Transformaciones'!O232</x:f>
        <x:v>0.004722282225235095</x:v>
      </x:c>
      <x:c r="G239" s="87" t="n">
        <x:f>$B$10*'Transformaciones'!G231</x:f>
        <x:v>0.0036294357229965132</x:v>
      </x:c>
      <x:c r="H239" s="87" t="n">
        <x:f>$B$11*'Transformaciones'!I231</x:f>
        <x:v>-0.0019817700435727243</x:v>
      </x:c>
      <x:c r="I239" s="87" t="n">
        <x:f>$B$12*'Transformaciones'!K231</x:f>
        <x:v>-0.0006233423187185242</x:v>
      </x:c>
      <x:c r="J239" s="87" t="n">
        <x:f>$B$13*'Transformaciones'!P232</x:f>
        <x:v>0</x:v>
      </x:c>
      <x:c r="K239" s="93" t="n">
        <x:f>SUM(C239:J239)</x:f>
        <x:v>0.02111020663861552</x:v>
      </x:c>
      <x:c r="L239" s="93" t="n">
        <x:f>B239-K239</x:f>
        <x:v>-0.005228039950445192</x:v>
      </x:c>
      <x:c r="M239" s="79" t="n">
        <x:f>'Datos_fuente'!B232</x:f>
        <x:v>4249.47</x:v>
      </x:c>
      <x:c r="N239" s="79" t="n">
        <x:f>EXP('Transformaciones'!B231+K239)</x:f>
        <x:v>4271.744574375802</x:v>
      </x:c>
      <x:c r="O239" s="1"/>
      <x:c r="P239" s="1"/>
      <x:c r="Q239" s="1"/>
      <x:c r="R239" s="1"/>
      <x:c r="S239" s="1"/>
      <x:c r="T239" s="1"/>
      <x:c r="U239" s="1"/>
      <x:c r="V239" s="1"/>
      <x:c r="W239" s="1"/>
      <x:c r="X239" s="1"/>
      <x:c r="Y239" s="1"/>
      <x:c r="Z239" s="1"/>
    </x:row>
    <x:row r="240">
      <x:c r="A240" s="1" t="str">
        <x:f>'Transformaciones'!A233</x:f>
        <x:v>2024-11</x:v>
      </x:c>
      <x:c r="B240" s="87" t="n">
        <x:f>'Transformaciones'!C233</x:f>
        <x:v>0.03677478005398527</x:v>
      </x:c>
      <x:c r="C240" s="87" t="n">
        <x:f>$B$6</x:f>
        <x:v>-0.00045209606279241735</x:v>
      </x:c>
      <x:c r="D240" s="87" t="n">
        <x:f>$B$7*'Transformaciones'!E233</x:f>
        <x:v>0.0008874477227958249</x:v>
      </x:c>
      <x:c r="E240" s="87" t="n">
        <x:f>$B$8*'Transformaciones'!M233</x:f>
        <x:v>0.0264113120893139</x:v>
      </x:c>
      <x:c r="F240" s="87" t="n">
        <x:f>$B$9*'Transformaciones'!O233</x:f>
        <x:v>-0.008504894707469152</x:v>
      </x:c>
      <x:c r="G240" s="87" t="n">
        <x:f>$B$10*'Transformaciones'!G232</x:f>
        <x:v>0.00346134541375855</x:v>
      </x:c>
      <x:c r="H240" s="87" t="n">
        <x:f>$B$11*'Transformaciones'!I232</x:f>
        <x:v>0.0019817700435727243</x:v>
      </x:c>
      <x:c r="I240" s="87" t="n">
        <x:f>$B$12*'Transformaciones'!K232</x:f>
        <x:v>0.000025919222601167578</x:v>
      </x:c>
      <x:c r="J240" s="87" t="n">
        <x:f>$B$13*'Transformaciones'!P233</x:f>
        <x:v>0</x:v>
      </x:c>
      <x:c r="K240" s="93" t="n">
        <x:f>SUM(C240:J240)</x:f>
        <x:v>0.023810803721780592</x:v>
      </x:c>
      <x:c r="L240" s="93" t="n">
        <x:f>B240-K240</x:f>
        <x:v>0.012963976332204676</x:v>
      </x:c>
      <x:c r="M240" s="79" t="n">
        <x:f>'Datos_fuente'!B233</x:f>
        <x:v>4408.652333</x:v>
      </x:c>
      <x:c r="N240" s="79" t="n">
        <x:f>EXP('Transformaciones'!B232+K240)</x:f>
        <x:v>4351.867542131418</x:v>
      </x:c>
      <x:c r="O240" s="1"/>
      <x:c r="P240" s="1"/>
      <x:c r="Q240" s="1"/>
      <x:c r="R240" s="1"/>
      <x:c r="S240" s="1"/>
      <x:c r="T240" s="1"/>
      <x:c r="U240" s="1"/>
      <x:c r="V240" s="1"/>
      <x:c r="W240" s="1"/>
      <x:c r="X240" s="1"/>
      <x:c r="Y240" s="1"/>
      <x:c r="Z240" s="1"/>
    </x:row>
    <x:row r="241">
      <x:c r="A241" s="1" t="str">
        <x:f>'Transformaciones'!A234</x:f>
        <x:v>2024-12</x:v>
      </x:c>
      <x:c r="B241" s="87" t="n">
        <x:f>'Transformaciones'!C234</x:f>
        <x:v>-0.005345510741495474</x:v>
      </x:c>
      <x:c r="C241" s="87" t="n">
        <x:f>$B$6</x:f>
        <x:v>-0.00045209606279241735</x:v>
      </x:c>
      <x:c r="D241" s="87" t="n">
        <x:f>$B$7*'Transformaciones'!E234</x:f>
        <x:v>0.0003388420312870385</x:v>
      </x:c>
      <x:c r="E241" s="87" t="n">
        <x:f>$B$8*'Transformaciones'!M234</x:f>
        <x:v>0.012102529218933247</x:v>
      </x:c>
      <x:c r="F241" s="87" t="n">
        <x:f>$B$9*'Transformaciones'!O234</x:f>
        <x:v>-0.00036108264317885857</x:v>
      </x:c>
      <x:c r="G241" s="87" t="n">
        <x:f>$B$10*'Transformaciones'!G233</x:f>
        <x:v>0.0033181119444578577</x:v>
      </x:c>
      <x:c r="H241" s="87" t="n">
        <x:f>$B$11*'Transformaciones'!I233</x:f>
        <x:v>0.003071743567537716</x:v>
      </x:c>
      <x:c r="I241" s="87" t="n">
        <x:f>$B$12*'Transformaciones'!K233</x:f>
        <x:v>0.0013012080728654035</x:v>
      </x:c>
      <x:c r="J241" s="87" t="n">
        <x:f>$B$13*'Transformaciones'!P234</x:f>
        <x:v>0</x:v>
      </x:c>
      <x:c r="K241" s="93" t="n">
        <x:f>SUM(C241:J241)</x:f>
        <x:v>0.019319256129109987</x:v>
      </x:c>
      <x:c r="L241" s="93" t="n">
        <x:f>B241-K241</x:f>
        <x:v>-0.02466476687060546</x:v>
      </x:c>
      <x:c r="M241" s="79" t="n">
        <x:f>'Datos_fuente'!B234</x:f>
        <x:v>4385.14871</x:v>
      </x:c>
      <x:c r="N241" s="79" t="n">
        <x:f>EXP('Transformaciones'!B233+K241)</x:f>
        <x:v>4494.652269179915</x:v>
      </x:c>
      <x:c r="O241" s="1"/>
      <x:c r="P241" s="1"/>
      <x:c r="Q241" s="1"/>
      <x:c r="R241" s="1"/>
      <x:c r="S241" s="1"/>
      <x:c r="T241" s="1"/>
      <x:c r="U241" s="1"/>
      <x:c r="V241" s="1"/>
      <x:c r="W241" s="1"/>
      <x:c r="X241" s="1"/>
      <x:c r="Y241" s="1"/>
      <x:c r="Z241" s="1"/>
    </x:row>
    <x:row r="242">
      <x:c r="A242" s="1" t="str">
        <x:f>'Transformaciones'!A235</x:f>
        <x:v>2025-01</x:v>
      </x:c>
      <x:c r="B242" s="87" t="n">
        <x:f>'Transformaciones'!C235</x:f>
        <x:v>-0.01785019775455865</x:v>
      </x:c>
      <x:c r="C242" s="87" t="n">
        <x:f>$B$6</x:f>
        <x:v>-0.00045209606279241735</x:v>
      </x:c>
      <x:c r="D242" s="87" t="n">
        <x:f>$B$7*'Transformaciones'!E235</x:f>
        <x:v>-0.003654687311611516</x:v>
      </x:c>
      <x:c r="E242" s="87" t="n">
        <x:f>$B$8*'Transformaciones'!M235</x:f>
        <x:v>0.011952302417921022</x:v>
      </x:c>
      <x:c r="F242" s="87" t="n">
        <x:f>$B$9*'Transformaciones'!O235</x:f>
        <x:v>0.0021248056907684455</x:v>
      </x:c>
      <x:c r="G242" s="87" t="n">
        <x:f>$B$10*'Transformaciones'!G234</x:f>
        <x:v>0.004119058526535861</x:v>
      </x:c>
      <x:c r="H242" s="87" t="n">
        <x:f>$B$11*'Transformaciones'!I234</x:f>
        <x:v>-0.0008662252948372441</x:v>
      </x:c>
      <x:c r="I242" s="87" t="n">
        <x:f>$B$12*'Transformaciones'!K234</x:f>
        <x:v>-0.0011653162207362353</x:v>
      </x:c>
      <x:c r="J242" s="87" t="n">
        <x:f>$B$13*'Transformaciones'!P235</x:f>
        <x:v>0</x:v>
      </x:c>
      <x:c r="K242" s="93" t="n">
        <x:f>SUM(C242:J242)</x:f>
        <x:v>0.012057841745247915</x:v>
      </x:c>
      <x:c r="L242" s="93" t="n">
        <x:f>B242-K242</x:f>
        <x:v>-0.029908039499806565</x:v>
      </x:c>
      <x:c r="M242" s="79" t="n">
        <x:f>'Datos_fuente'!B235</x:f>
        <x:v>4307.567419</x:v>
      </x:c>
      <x:c r="N242" s="79" t="n">
        <x:f>EXP('Transformaciones'!B234+K242)</x:f>
        <x:v>4438.344206098256</x:v>
      </x:c>
      <x:c r="O242" s="1"/>
      <x:c r="P242" s="1"/>
      <x:c r="Q242" s="1"/>
      <x:c r="R242" s="1"/>
      <x:c r="S242" s="1"/>
      <x:c r="T242" s="1"/>
      <x:c r="U242" s="1"/>
      <x:c r="V242" s="1"/>
      <x:c r="W242" s="1"/>
      <x:c r="X242" s="1"/>
      <x:c r="Y242" s="1"/>
      <x:c r="Z242" s="1"/>
    </x:row>
    <x:row r="243">
      <x:c r="A243" s="1" t="str">
        <x:f>'Transformaciones'!A236</x:f>
        <x:v>2025-02</x:v>
      </x:c>
      <x:c r="B243" s="87" t="n">
        <x:f>'Transformaciones'!C236</x:f>
        <x:v>-0.0425914733289634</x:v>
      </x:c>
      <x:c r="C243" s="87" t="n">
        <x:f>$B$6</x:f>
        <x:v>-0.00045209606279241735</x:v>
      </x:c>
      <x:c r="D243" s="87" t="n">
        <x:f>$B$7*'Transformaciones'!E236</x:f>
        <x:v>0.002561577294473612</x:v>
      </x:c>
      <x:c r="E243" s="87" t="n">
        <x:f>$B$8*'Transformaciones'!M236</x:f>
        <x:v>-0.009098002556373923</x:v>
      </x:c>
      <x:c r="F243" s="87" t="n">
        <x:f>$B$9*'Transformaciones'!O236</x:f>
        <x:v>0.00046793734888085105</x:v>
      </x:c>
      <x:c r="G243" s="87" t="n">
        <x:f>$B$10*'Transformaciones'!G235</x:f>
        <x:v>0.0021406913679410146</x:v>
      </x:c>
      <x:c r="H243" s="87" t="n">
        <x:f>$B$11*'Transformaciones'!I235</x:f>
        <x:v>0.0002716942817654312</x:v>
      </x:c>
      <x:c r="I243" s="87" t="n">
        <x:f>$B$12*'Transformaciones'!K235</x:f>
        <x:v>0.00039711202584596017</x:v>
      </x:c>
      <x:c r="J243" s="87" t="n">
        <x:f>$B$13*'Transformaciones'!P236</x:f>
        <x:v>0</x:v>
      </x:c>
      <x:c r="K243" s="93" t="n">
        <x:f>SUM(C243:J243)</x:f>
        <x:v>-0.003711086300259471</x:v>
      </x:c>
      <x:c r="L243" s="93" t="n">
        <x:f>B243-K243</x:f>
        <x:v>-0.03888038702870393</x:v>
      </x:c>
      <x:c r="M243" s="79" t="n">
        <x:f>'Datos_fuente'!B236</x:f>
        <x:v>4127.953929</x:v>
      </x:c>
      <x:c r="N243" s="79" t="n">
        <x:f>EXP('Transformaciones'!B235+K243)</x:f>
        <x:v>4291.611290162</x:v>
      </x:c>
      <x:c r="O243" s="1"/>
      <x:c r="P243" s="1"/>
      <x:c r="Q243" s="1"/>
      <x:c r="R243" s="1"/>
      <x:c r="S243" s="1"/>
      <x:c r="T243" s="1"/>
      <x:c r="U243" s="1"/>
      <x:c r="V243" s="1"/>
      <x:c r="W243" s="1"/>
      <x:c r="X243" s="1"/>
      <x:c r="Y243" s="1"/>
      <x:c r="Z243" s="1"/>
    </x:row>
    <x:row r="244">
      <x:c r="A244" s="1" t="str">
        <x:f>'Transformaciones'!A237</x:f>
        <x:v>2025-03</x:v>
      </x:c>
      <x:c r="B244" s="87" t="n">
        <x:f>'Transformaciones'!C237</x:f>
        <x:v>0.0023544682143779028</x:v>
      </x:c>
      <x:c r="C244" s="87" t="n">
        <x:f>$B$6</x:f>
        <x:v>-0.00045209606279241735</x:v>
      </x:c>
      <x:c r="D244" s="87" t="n">
        <x:f>$B$7*'Transformaciones'!E237</x:f>
        <x:v>0.0018876927658255675</x:v>
      </x:c>
      <x:c r="E244" s="87" t="n">
        <x:f>$B$8*'Transformaciones'!M237</x:f>
        <x:v>-0.015613942847991594</x:v>
      </x:c>
      <x:c r="F244" s="87" t="n">
        <x:f>$B$9*'Transformaciones'!O237</x:f>
        <x:v>0.009750166480026905</x:v>
      </x:c>
      <x:c r="G244" s="87" t="n">
        <x:f>$B$10*'Transformaciones'!G236</x:f>
        <x:v>0.002577765174932341</x:v>
      </x:c>
      <x:c r="H244" s="87" t="n">
        <x:f>$B$11*'Transformaciones'!I236</x:f>
        <x:v>0</x:v>
      </x:c>
      <x:c r="I244" s="87" t="n">
        <x:f>$B$12*'Transformaciones'!K236</x:f>
        <x:v>0.0010601412650959531</x:v>
      </x:c>
      <x:c r="J244" s="87" t="n">
        <x:f>$B$13*'Transformaciones'!P237</x:f>
        <x:v>0</x:v>
      </x:c>
      <x:c r="K244" s="93" t="n">
        <x:f>SUM(C244:J244)</x:f>
        <x:v>-0.0007902732249032455</x:v>
      </x:c>
      <x:c r="L244" s="93" t="n">
        <x:f>B244-K244</x:f>
        <x:v>0.0031447414392811483</x:v>
      </x:c>
      <x:c r="M244" s="79" t="n">
        <x:f>'Datos_fuente'!B237</x:f>
        <x:v>4137.684516</x:v>
      </x:c>
      <x:c r="N244" s="79" t="n">
        <x:f>EXP('Transformaciones'!B236+K244)</x:f>
        <x:v>4124.693006215973</x:v>
      </x:c>
      <x:c r="O244" s="1"/>
      <x:c r="P244" s="1"/>
      <x:c r="Q244" s="1"/>
      <x:c r="R244" s="1"/>
      <x:c r="S244" s="1"/>
      <x:c r="T244" s="1"/>
      <x:c r="U244" s="1"/>
      <x:c r="V244" s="1"/>
      <x:c r="W244" s="1"/>
      <x:c r="X244" s="1"/>
      <x:c r="Y244" s="1"/>
      <x:c r="Z244" s="1"/>
    </x:row>
    <x:row r="245">
      <x:c r="A245" s="1" t="str">
        <x:f>'Transformaciones'!A238</x:f>
        <x:v>2025-04</x:v>
      </x:c>
      <x:c r="B245" s="87" t="n">
        <x:f>'Transformaciones'!C238</x:f>
        <x:v>0.03387695242985522</x:v>
      </x:c>
      <x:c r="C245" s="87" t="n">
        <x:f>$B$6</x:f>
        <x:v>-0.00045209606279241735</x:v>
      </x:c>
      <x:c r="D245" s="87" t="n">
        <x:f>$B$7*'Transformaciones'!E238</x:f>
        <x:v>0.003375998936547213</x:v>
      </x:c>
      <x:c r="E245" s="87" t="n">
        <x:f>$B$8*'Transformaciones'!M238</x:f>
        <x:v>-0.02040916916926571</x:v>
      </x:c>
      <x:c r="F245" s="87" t="n">
        <x:f>$B$9*'Transformaciones'!O238</x:f>
        <x:v>0.014708325001321805</x:v>
      </x:c>
      <x:c r="G245" s="87" t="n">
        <x:f>$B$10*'Transformaciones'!G237</x:f>
        <x:v>0.004221875220580837</x:v>
      </x:c>
      <x:c r="H245" s="87" t="n">
        <x:f>$B$11*'Transformaciones'!I237</x:f>
        <x:v>0</x:v>
      </x:c>
      <x:c r="I245" s="87" t="n">
        <x:f>$B$12*'Transformaciones'!K237</x:f>
        <x:v>0.0012777882588170713</x:v>
      </x:c>
      <x:c r="J245" s="87" t="n">
        <x:f>$B$13*'Transformaciones'!P238</x:f>
        <x:v>0</x:v>
      </x:c>
      <x:c r="K245" s="93" t="n">
        <x:f>SUM(C245:J245)</x:f>
        <x:v>0.0027227221852088</x:v>
      </x:c>
      <x:c r="L245" s="93" t="n">
        <x:f>B245-K245</x:f>
        <x:v>0.031154230244646423</x:v>
      </x:c>
      <x:c r="M245" s="79" t="n">
        <x:f>'Datos_fuente'!B238</x:f>
        <x:v>4280.258</x:v>
      </x:c>
      <x:c r="N245" s="79" t="n">
        <x:f>EXP('Transformaciones'!B237+K245)</x:f>
        <x:v>4148.9656321305765</x:v>
      </x:c>
      <x:c r="O245" s="1"/>
      <x:c r="P245" s="1"/>
      <x:c r="Q245" s="1"/>
      <x:c r="R245" s="1"/>
      <x:c r="S245" s="1"/>
      <x:c r="T245" s="1"/>
      <x:c r="U245" s="1"/>
      <x:c r="V245" s="1"/>
      <x:c r="W245" s="1"/>
      <x:c r="X245" s="1"/>
      <x:c r="Y245" s="1"/>
      <x:c r="Z245" s="1"/>
    </x:row>
    <x:row r="246">
      <x:c r="A246" s="1" t="str">
        <x:f>'Transformaciones'!A239</x:f>
        <x:v>2025-05</x:v>
      </x:c>
      <x:c r="B246" s="87" t="n">
        <x:f>'Transformaciones'!C239</x:f>
        <x:v>-0.018125015238815934</x:v>
      </x:c>
      <x:c r="C246" s="87" t="n">
        <x:f>$B$6</x:f>
        <x:v>-0.00045209606279241735</x:v>
      </x:c>
      <x:c r="D246" s="87" t="n">
        <x:f>$B$7*'Transformaciones'!E239</x:f>
        <x:v>0.0028713723330845045</x:v>
      </x:c>
      <x:c r="E246" s="87" t="n">
        <x:f>$B$8*'Transformaciones'!M239</x:f>
        <x:v>-0.01772696113964518</x:v>
      </x:c>
      <x:c r="F246" s="87" t="n">
        <x:f>$B$9*'Transformaciones'!O239</x:f>
        <x:v>-0.017227191127731016</x:v>
      </x:c>
      <x:c r="G246" s="87" t="n">
        <x:f>$B$10*'Transformaciones'!G238</x:f>
        <x:v>0.003579040035941578</x:v>
      </x:c>
      <x:c r="H246" s="87" t="n">
        <x:f>$B$11*'Transformaciones'!I238</x:f>
        <x:v>0</x:v>
      </x:c>
      <x:c r="I246" s="87" t="n">
        <x:f>$B$12*'Transformaciones'!K238</x:f>
        <x:v>-0.0011705197509343213</x:v>
      </x:c>
      <x:c r="J246" s="87" t="n">
        <x:f>$B$13*'Transformaciones'!P239</x:f>
        <x:v>0</x:v>
      </x:c>
      <x:c r="K246" s="93" t="n">
        <x:f>SUM(C246:J246)</x:f>
        <x:v>-0.03012635571207685</x:v>
      </x:c>
      <x:c r="L246" s="93" t="n">
        <x:f>B246-K246</x:f>
        <x:v>0.012001340473260916</x:v>
      </x:c>
      <x:c r="M246" s="79" t="n">
        <x:f>'Datos_fuente'!B239</x:f>
        <x:v>4203.377097</x:v>
      </x:c>
      <x:c r="N246" s="79" t="n">
        <x:f>EXP('Transformaciones'!B238+K246)</x:f>
        <x:v>4153.232440736634</x:v>
      </x:c>
      <x:c r="O246" s="1"/>
      <x:c r="P246" s="1"/>
      <x:c r="Q246" s="1"/>
      <x:c r="R246" s="1"/>
      <x:c r="S246" s="1"/>
      <x:c r="T246" s="1"/>
      <x:c r="U246" s="1"/>
      <x:c r="V246" s="1"/>
      <x:c r="W246" s="1"/>
      <x:c r="X246" s="1"/>
      <x:c r="Y246" s="1"/>
      <x:c r="Z246" s="1"/>
    </x:row>
    <x:row r="247">
      <x:c r="A247" s="1" t="str">
        <x:f>'Transformaciones'!A240</x:f>
        <x:v>2025-06</x:v>
      </x:c>
      <x:c r="B247" s="87" t="n">
        <x:f>'Transformaciones'!C240</x:f>
        <x:v>-0.02161767182145269</x:v>
      </x:c>
      <x:c r="C247" s="87" t="n">
        <x:f>$B$6</x:f>
        <x:v>-0.00045209606279241735</x:v>
      </x:c>
      <x:c r="D247" s="87" t="n">
        <x:f>$B$7*'Transformaciones'!E240</x:f>
        <x:v>-0.0053237002423351856</x:v>
      </x:c>
      <x:c r="E247" s="87" t="n">
        <x:f>$B$8*'Transformaciones'!M240</x:f>
        <x:v>-0.01748811720599564</x:v>
      </x:c>
      <x:c r="F247" s="87" t="n">
        <x:f>$B$9*'Transformaciones'!O240</x:f>
        <x:v>-0.004095444698889812</x:v>
      </x:c>
      <x:c r="G247" s="87" t="n">
        <x:f>$B$10*'Transformaciones'!G239</x:f>
        <x:v>0.002857944082650493</x:v>
      </x:c>
      <x:c r="H247" s="87" t="n">
        <x:f>$B$11*'Transformaciones'!I239</x:f>
        <x:v>0.002397302473342337</x:v>
      </x:c>
      <x:c r="I247" s="87" t="n">
        <x:f>$B$12*'Transformaciones'!K239</x:f>
        <x:v>0.000349877466895175</x:v>
      </x:c>
      <x:c r="J247" s="87" t="n">
        <x:f>$B$13*'Transformaciones'!P240</x:f>
        <x:v>0</x:v>
      </x:c>
      <x:c r="K247" s="93" t="n">
        <x:f>SUM(C247:J247)</x:f>
        <x:v>-0.021754234187125052</x:v>
      </x:c>
      <x:c r="L247" s="93" t="n">
        <x:f>B247-K247</x:f>
        <x:v>0.0001365623656723637</x:v>
      </x:c>
      <x:c r="M247" s="79" t="n">
        <x:f>'Datos_fuente'!B240</x:f>
        <x:v>4113.485</x:v>
      </x:c>
      <x:c r="N247" s="79" t="n">
        <x:f>EXP('Transformaciones'!B239+K247)</x:f>
        <x:v>4112.923291112266</x:v>
      </x:c>
      <x:c r="O247" s="1"/>
      <x:c r="P247" s="1"/>
      <x:c r="Q247" s="1"/>
      <x:c r="R247" s="1"/>
      <x:c r="S247" s="1"/>
      <x:c r="T247" s="1"/>
      <x:c r="U247" s="1"/>
      <x:c r="V247" s="1"/>
      <x:c r="W247" s="1"/>
      <x:c r="X247" s="1"/>
      <x:c r="Y247" s="1"/>
      <x:c r="Z247" s="1"/>
    </x:row>
    <x:row r="248">
      <x:c r="A248" s="1" t="str">
        <x:f>'Transformaciones'!A241</x:f>
        <x:v>2025-07</x:v>
      </x:c>
      <x:c r="B248" s="87" t="n">
        <x:f>'Transformaciones'!C241</x:f>
        <x:v>-0.017815934381481213</x:v>
      </x:c>
      <x:c r="C248" s="87" t="n">
        <x:f>$B$6</x:f>
        <x:v>-0.00045209606279241735</x:v>
      </x:c>
      <x:c r="D248" s="87" t="n">
        <x:f>$B$7*'Transformaciones'!E241</x:f>
        <x:v>0.0002927401230451905</x:v>
      </x:c>
      <x:c r="E248" s="87" t="n">
        <x:f>$B$8*'Transformaciones'!M241</x:f>
        <x:v>-0.004857725296300478</x:v>
      </x:c>
      <x:c r="F248" s="87" t="n">
        <x:f>$B$9*'Transformaciones'!O241</x:f>
        <x:v>-0.00449475433125221</x:v>
      </x:c>
      <x:c r="G248" s="87" t="n">
        <x:f>$B$10*'Transformaciones'!G240</x:f>
        <x:v>0.0013957559933334305</x:v>
      </x:c>
      <x:c r="H248" s="87" t="n">
        <x:f>$B$11*'Transformaciones'!I240</x:f>
        <x:v>0.0000799100811235659</x:v>
      </x:c>
      <x:c r="I248" s="87" t="n">
        <x:f>$B$12*'Transformaciones'!K240</x:f>
        <x:v>-0.0009711538729193654</x:v>
      </x:c>
      <x:c r="J248" s="87" t="n">
        <x:f>$B$13*'Transformaciones'!P241</x:f>
        <x:v>0</x:v>
      </x:c>
      <x:c r="K248" s="93" t="n">
        <x:f>SUM(C248:J248)</x:f>
        <x:v>-0.009007323365762284</x:v>
      </x:c>
      <x:c r="L248" s="93" t="n">
        <x:f>B248-K248</x:f>
        <x:v>-0.008808611015718929</x:v>
      </x:c>
      <x:c r="M248" s="79" t="n">
        <x:f>'Datos_fuente'!B241</x:f>
        <x:v>4040.848387</x:v>
      </x:c>
      <x:c r="N248" s="79" t="n">
        <x:f>EXP('Transformaciones'!B240+K248)</x:f>
        <x:v>4076.599877935283</x:v>
      </x:c>
      <x:c r="O248" s="1"/>
      <x:c r="P248" s="1"/>
      <x:c r="Q248" s="1"/>
      <x:c r="R248" s="1"/>
      <x:c r="S248" s="1"/>
      <x:c r="T248" s="1"/>
      <x:c r="U248" s="1"/>
      <x:c r="V248" s="1"/>
      <x:c r="W248" s="1"/>
      <x:c r="X248" s="1"/>
      <x:c r="Y248" s="1"/>
      <x:c r="Z248" s="1"/>
    </x:row>
    <x:row r="249">
      <x:c r="A249" s="1" t="str">
        <x:f>'Transformaciones'!A242</x:f>
        <x:v>2025-08</x:v>
      </x:c>
      <x:c r="B249" s="87" t="n">
        <x:f>'Transformaciones'!C242</x:f>
        <x:v>0.0016229021917020248</x:v>
      </x:c>
      <x:c r="C249" s="87" t="n">
        <x:f>$B$6</x:f>
        <x:v>-0.00045209606279241735</x:v>
      </x:c>
      <x:c r="D249" s="87" t="n">
        <x:f>$B$7*'Transformaciones'!E242</x:f>
        <x:v>0.002360649132294702</x:v>
      </x:c>
      <x:c r="E249" s="87" t="n">
        <x:f>$B$8*'Transformaciones'!M242</x:f>
        <x:v>0.004676083140312724</x:v>
      </x:c>
      <x:c r="F249" s="87" t="n">
        <x:f>$B$9*'Transformaciones'!O242</x:f>
        <x:v>-0.0015176879840623492</x:v>
      </x:c>
      <x:c r="G249" s="87" t="n">
        <x:f>$B$10*'Transformaciones'!G241</x:f>
        <x:v>0.003143703443794555</x:v>
      </x:c>
      <x:c r="H249" s="87" t="n">
        <x:f>$B$11*'Transformaciones'!I241</x:f>
        <x:v>0</x:v>
      </x:c>
      <x:c r="I249" s="87" t="n">
        <x:f>$B$12*'Transformaciones'!K241</x:f>
        <x:v>-0.00019590444224742442</x:v>
      </x:c>
      <x:c r="J249" s="87" t="n">
        <x:f>$B$13*'Transformaciones'!P242</x:f>
        <x:v>0</x:v>
      </x:c>
      <x:c r="K249" s="93" t="n">
        <x:f>SUM(C249:J249)</x:f>
        <x:v>0.00801474722729979</x:v>
      </x:c>
      <x:c r="L249" s="93" t="n">
        <x:f>B249-K249</x:f>
        <x:v>-0.0063918450355977645</x:v>
      </x:c>
      <x:c r="M249" s="79" t="n">
        <x:f>'Datos_fuente'!B242</x:f>
        <x:v>4047.411613</x:v>
      </x:c>
      <x:c r="N249" s="79" t="n">
        <x:f>EXP('Transformaciones'!B241+K249)</x:f>
        <x:v>4073.364897149266</x:v>
      </x:c>
      <x:c r="O249" s="1"/>
      <x:c r="P249" s="1"/>
      <x:c r="Q249" s="1"/>
      <x:c r="R249" s="1"/>
      <x:c r="S249" s="1"/>
      <x:c r="T249" s="1"/>
      <x:c r="U249" s="1"/>
      <x:c r="V249" s="1"/>
      <x:c r="W249" s="1"/>
      <x:c r="X249" s="1"/>
      <x:c r="Y249" s="1"/>
      <x:c r="Z249" s="1"/>
    </x:row>
    <x:row r="250">
      <x:c r="A250" s="1" t="str">
        <x:f>'Transformaciones'!A243</x:f>
        <x:v>2025-09</x:v>
      </x:c>
      <x:c r="B250" s="87" t="n">
        <x:f>'Transformaciones'!C243</x:f>
        <x:v>-0.031421788533361195</x:v>
      </x:c>
      <x:c r="C250" s="87" t="n">
        <x:f>$B$6</x:f>
        <x:v>-0.00045209606279241735</x:v>
      </x:c>
      <x:c r="D250" s="87" t="n">
        <x:f>$B$7*'Transformaciones'!E243</x:f>
        <x:v>-0.00008785970032648363</x:v>
      </x:c>
      <x:c r="E250" s="87" t="n">
        <x:f>$B$8*'Transformaciones'!M243</x:f>
        <x:v>-0.005522341147248336</x:v>
      </x:c>
      <x:c r="F250" s="87" t="n">
        <x:f>$B$9*'Transformaciones'!O243</x:f>
        <x:v>0.00009572888681617878</x:v>
      </x:c>
      <x:c r="G250" s="87" t="n">
        <x:f>$B$10*'Transformaciones'!G242</x:f>
        <x:v>0.0017720779771581447</x:v>
      </x:c>
      <x:c r="H250" s="87" t="n">
        <x:f>$B$11*'Transformaciones'!I242</x:f>
        <x:v>0</x:v>
      </x:c>
      <x:c r="I250" s="87" t="n">
        <x:f>$B$12*'Transformaciones'!K242</x:f>
        <x:v>-0.0011882319054845306</x:v>
      </x:c>
      <x:c r="J250" s="87" t="n">
        <x:f>$B$13*'Transformaciones'!P243</x:f>
        <x:v>0</x:v>
      </x:c>
      <x:c r="K250" s="93" t="n">
        <x:f>SUM(C250:J250)</x:f>
        <x:v>-0.005382721951877444</x:v>
      </x:c>
      <x:c r="L250" s="93" t="n">
        <x:f>B250-K250</x:f>
        <x:v>-0.02603906658148375</x:v>
      </x:c>
      <x:c r="M250" s="79" t="n">
        <x:f>'Datos_fuente'!B243</x:f>
        <x:v>3922.212</x:v>
      </x:c>
      <x:c r="N250" s="79" t="n">
        <x:f>EXP('Transformaciones'!B242+K250)</x:f>
        <x:v>4025.6840508359596</x:v>
      </x:c>
      <x:c r="O250" s="1"/>
      <x:c r="P250" s="1"/>
      <x:c r="Q250" s="1"/>
      <x:c r="R250" s="1"/>
      <x:c r="S250" s="1"/>
      <x:c r="T250" s="1"/>
      <x:c r="U250" s="1"/>
      <x:c r="V250" s="1"/>
      <x:c r="W250" s="1"/>
      <x:c r="X250" s="1"/>
      <x:c r="Y250" s="1"/>
      <x:c r="Z250" s="1"/>
    </x:row>
    <x:row r="251">
      <x:c r="A251" s="1" t="str">
        <x:f>'Transformaciones'!A244</x:f>
        <x:v>2025-10</x:v>
      </x:c>
      <x:c r="B251" s="87" t="n">
        <x:f>'Transformaciones'!C244</x:f>
        <x:v>-0.011376234919783457</x:v>
      </x:c>
      <x:c r="C251" s="87" t="n">
        <x:f>$B$6</x:f>
        <x:v>-0.00045209606279241735</x:v>
      </x:c>
      <x:c r="D251" s="87" t="n">
        <x:f>$B$7*'Transformaciones'!E244</x:f>
        <x:v>0.002685656648033497</x:v>
      </x:c>
      <x:c r="E251" s="87" t="n">
        <x:f>$B$8*'Transformaciones'!M244</x:f>
        <x:v>0.007394752776260653</x:v>
      </x:c>
      <x:c r="F251" s="87" t="n">
        <x:f>$B$9*'Transformaciones'!O244</x:f>
        <x:v>0.005246125066139107</x:v>
      </x:c>
      <x:c r="G251" s="87" t="n">
        <x:f>$B$10*'Transformaciones'!G243</x:f>
        <x:v>0.001282838290698933</x:v>
      </x:c>
      <x:c r="H251" s="87" t="n">
        <x:f>$B$11*'Transformaciones'!I243</x:f>
        <x:v>-0.0010899735239650007</x:v>
      </x:c>
      <x:c r="I251" s="87" t="n">
        <x:f>$B$12*'Transformaciones'!K243</x:f>
        <x:v>-0.0008223270575951661</x:v>
      </x:c>
      <x:c r="J251" s="87" t="n">
        <x:f>$B$13*'Transformaciones'!P244</x:f>
        <x:v>0</x:v>
      </x:c>
      <x:c r="K251" s="93" t="n">
        <x:f>SUM(C251:J251)</x:f>
        <x:v>0.014244976136779604</x:v>
      </x:c>
      <x:c r="L251" s="93" t="n">
        <x:f>B251-K251</x:f>
        <x:v>-0.02562121105656306</x:v>
      </x:c>
      <x:c r="M251" s="79" t="n">
        <x:f>'Datos_fuente'!B244</x:f>
        <x:v>3877.844839</x:v>
      </x:c>
      <x:c r="N251" s="79" t="n">
        <x:f>EXP('Transformaciones'!B243+K251)</x:f>
        <x:v>3978.483659015853</x:v>
      </x:c>
      <x:c r="O251" s="1"/>
      <x:c r="P251" s="1"/>
      <x:c r="Q251" s="1"/>
      <x:c r="R251" s="1"/>
      <x:c r="S251" s="1"/>
      <x:c r="T251" s="1"/>
      <x:c r="U251" s="1"/>
      <x:c r="V251" s="1"/>
      <x:c r="W251" s="1"/>
      <x:c r="X251" s="1"/>
      <x:c r="Y251" s="1"/>
      <x:c r="Z251" s="1"/>
    </x:row>
    <x:row r="252">
      <x:c r="A252" s="1" t="str">
        <x:f>'Transformaciones'!A245</x:f>
        <x:v>2025-11</x:v>
      </x:c>
      <x:c r="B252" s="87" t="n">
        <x:f>'Transformaciones'!C245</x:f>
        <x:v>-0.02392106990255627</x:v>
      </x:c>
      <x:c r="C252" s="87" t="n">
        <x:f>$B$6</x:f>
        <x:v>-0.00045209606279241735</x:v>
      </x:c>
      <x:c r="D252" s="87" t="n">
        <x:f>$B$7*'Transformaciones'!E245</x:f>
        <x:v>0.0006013316300440517</x:v>
      </x:c>
      <x:c r="E252" s="87" t="n">
        <x:f>$B$8*'Transformaciones'!M245</x:f>
        <x:v>0.006581515189633107</x:v>
      </x:c>
      <x:c r="F252" s="87" t="n">
        <x:f>$B$9*'Transformaciones'!O245</x:f>
        <x:v>0.0034359440005942085</x:v>
      </x:c>
      <x:c r="G252" s="87" t="n">
        <x:f>$B$10*'Transformaciones'!G244</x:f>
        <x:v>0.0011300755018080792</x:v>
      </x:c>
      <x:c r="H252" s="87" t="n">
        <x:f>$B$11*'Transformaciones'!I244</x:f>
        <x:v>-0.0012881505283222686</x:v>
      </x:c>
      <x:c r="I252" s="87" t="n">
        <x:f>$B$12*'Transformaciones'!K244</x:f>
        <x:v>-0.0009053107496909758</x:v>
      </x:c>
      <x:c r="J252" s="87" t="n">
        <x:f>$B$13*'Transformaciones'!P245</x:f>
        <x:v>0</x:v>
      </x:c>
      <x:c r="K252" s="93" t="n">
        <x:f>SUM(C252:J252)</x:f>
        <x:v>0.009103308981273787</x:v>
      </x:c>
      <x:c r="L252" s="93" t="n">
        <x:f>B252-K252</x:f>
        <x:v>-0.03302437888383006</x:v>
      </x:c>
      <x:c r="M252" s="79" t="n">
        <x:f>'Datos_fuente'!B245</x:f>
        <x:v>3786.183333</x:v>
      </x:c>
      <x:c r="N252" s="79" t="n">
        <x:f>EXP('Transformaciones'!B244+K252)</x:f>
        <x:v>3913.307226387971</x:v>
      </x:c>
      <x:c r="O252" s="1"/>
      <x:c r="P252" s="1"/>
      <x:c r="Q252" s="1"/>
      <x:c r="R252" s="1"/>
      <x:c r="S252" s="1"/>
      <x:c r="T252" s="1"/>
      <x:c r="U252" s="1"/>
      <x:c r="V252" s="1"/>
      <x:c r="W252" s="1"/>
      <x:c r="X252" s="1"/>
      <x:c r="Y252" s="1"/>
      <x:c r="Z252" s="1"/>
    </x:row>
    <x:row r="253">
      <x:c r="A253" s="1" t="str">
        <x:f>'Transformaciones'!A246</x:f>
        <x:v>2025-12</x:v>
      </x:c>
      <x:c r="B253" s="87" t="n">
        <x:f>'Transformaciones'!C246</x:f>
        <x:v>0.0013958415028501037</x:v>
      </x:c>
      <x:c r="C253" s="87" t="n">
        <x:f>$B$6</x:f>
        <x:v>-0.00045209606279241735</x:v>
      </x:c>
      <x:c r="D253" s="87" t="n">
        <x:f>$B$7*'Transformaciones'!E246</x:f>
        <x:v>0.0010251244983828466</x:v>
      </x:c>
      <x:c r="E253" s="87" t="n">
        <x:f>$B$8*'Transformaciones'!M246</x:f>
        <x:v>-0.012365184397892278</x:v>
      </x:c>
      <x:c r="F253" s="87" t="n">
        <x:f>$B$9*'Transformaciones'!O246</x:f>
        <x:v>-0.009275836976465062</x:v>
      </x:c>
      <x:c r="G253" s="87" t="n">
        <x:f>$B$10*'Transformaciones'!G245</x:f>
        <x:v>0.0007580958751986898</x:v>
      </x:c>
      <x:c r="H253" s="87" t="n">
        <x:f>$B$11*'Transformaciones'!I245</x:f>
        <x:v>-0.0020808585457513583</x:v>
      </x:c>
      <x:c r="I253" s="87" t="n">
        <x:f>$B$12*'Transformaciones'!K245</x:f>
        <x:v>0.0017756036250238059</x:v>
      </x:c>
      <x:c r="J253" s="87" t="n">
        <x:f>$B$13*'Transformaciones'!P246</x:f>
        <x:v>0</x:v>
      </x:c>
      <x:c r="K253" s="93" t="n">
        <x:f>SUM(C253:J253)</x:f>
        <x:v>-0.020615151984295775</x:v>
      </x:c>
      <x:c r="L253" s="93" t="n">
        <x:f>B253-K253</x:f>
        <x:v>0.02201099348714588</x:v>
      </x:c>
      <x:c r="M253" s="79" t="n">
        <x:f>'Datos_fuente'!B246</x:f>
        <x:v>3791.471935</x:v>
      </x:c>
      <x:c r="N253" s="79" t="n">
        <x:f>EXP('Transformaciones'!B245+K253)</x:f>
        <x:v>3708.9296225902103</x:v>
      </x:c>
      <x:c r="O253" s="1"/>
      <x:c r="P253" s="1"/>
      <x:c r="Q253" s="1"/>
      <x:c r="R253" s="1"/>
      <x:c r="S253" s="1"/>
      <x:c r="T253" s="1"/>
      <x:c r="U253" s="1"/>
      <x:c r="V253" s="1"/>
      <x:c r="W253" s="1"/>
      <x:c r="X253" s="1"/>
      <x:c r="Y253" s="1"/>
      <x:c r="Z253" s="1"/>
    </x:row>
    <x:row r="254">
      <x:c r="A254" s="1" t="str">
        <x:f>'Transformaciones'!A247</x:f>
        <x:v>2026-01</x:v>
      </x:c>
      <x:c r="B254" s="87" t="n">
        <x:f>'Transformaciones'!C247</x:f>
        <x:v>-0.023611276526077418</x:v>
      </x:c>
      <x:c r="C254" s="87" t="n">
        <x:f>$B$6</x:f>
        <x:v>-0.00045209606279241735</x:v>
      </x:c>
      <x:c r="D254" s="87" t="n">
        <x:f>$B$7*'Transformaciones'!E247</x:f>
        <x:v>-0.003249658102498184</x:v>
      </x:c>
      <x:c r="E254" s="87" t="n">
        <x:f>$B$8*'Transformaciones'!M247</x:f>
        <x:v>-0.009728742269373161</x:v>
      </x:c>
      <x:c r="F254" s="87" t="n">
        <x:f>$B$9*'Transformaciones'!O247</x:f>
        <x:v>0.0015359541730400777</x:v>
      </x:c>
      <x:c r="G254" s="87" t="n">
        <x:f>$B$10*'Transformaciones'!G246</x:f>
        <x:v>0.0015094642256298567</x:v>
      </x:c>
      <x:c r="H254" s="87" t="n">
        <x:f>$B$11*'Transformaciones'!I246</x:f>
        <x:v>-0.0015854160348581794</x:v>
      </x:c>
      <x:c r="I254" s="87" t="n">
        <x:f>$B$12*'Transformaciones'!K246</x:f>
        <x:v>-0.0010280298124648011</x:v>
      </x:c>
      <x:c r="J254" s="87" t="n">
        <x:f>$B$13*'Transformaciones'!P247</x:f>
        <x:v>0</x:v>
      </x:c>
      <x:c r="K254" s="93" t="n">
        <x:f>SUM(C254:J254)</x:f>
        <x:v>-0.01299852388331681</x:v>
      </x:c>
      <x:c r="L254" s="93" t="n">
        <x:f>B254-K254</x:f>
        <x:v>-0.010612752642760608</x:v>
      </x:c>
      <x:c r="M254" s="79" t="n">
        <x:f>'Datos_fuente'!B247</x:f>
        <x:v>3702.999032</x:v>
      </x:c>
      <x:c r="N254" s="79" t="n">
        <x:f>EXP('Transformaciones'!B246+K254)</x:f>
        <x:v>3742.5073197865886</x:v>
      </x:c>
      <x:c r="O254" s="1"/>
      <x:c r="P254" s="1"/>
      <x:c r="Q254" s="1"/>
      <x:c r="R254" s="1"/>
      <x:c r="S254" s="1"/>
      <x:c r="T254" s="1"/>
      <x:c r="U254" s="1"/>
      <x:c r="V254" s="1"/>
      <x:c r="W254" s="1"/>
      <x:c r="X254" s="1"/>
      <x:c r="Y254" s="1"/>
      <x:c r="Z254" s="1"/>
    </x:row>
    <x:row r="255">
      <x:c r="A255" s="1" t="str">
        <x:f>'Transformaciones'!A248</x:f>
        <x:v>2026-02</x:v>
      </x:c>
      <x:c r="B255" s="87" t="n">
        <x:f>'Transformaciones'!C248</x:f>
        <x:v>-0.0074153845836448795</x:v>
      </x:c>
      <x:c r="C255" s="87" t="n">
        <x:f>$B$6</x:f>
        <x:v>-0.00045209606279241735</x:v>
      </x:c>
      <x:c r="D255" s="87" t="n">
        <x:f>$B$7*'Transformaciones'!E248</x:f>
        <x:v>-0.0032228444539763707</x:v>
      </x:c>
      <x:c r="E255" s="87" t="n">
        <x:f>$B$8*'Transformaciones'!M248</x:f>
        <x:v>-0.013565618886356955</x:v>
      </x:c>
      <x:c r="F255" s="87" t="n">
        <x:f>$B$9*'Transformaciones'!O248</x:f>
        <x:v>0.006625162222620556</x:v>
      </x:c>
      <x:c r="G255" s="87" t="n">
        <x:f>$B$10*'Transformaciones'!G247</x:f>
        <x:v>0.0002096603912959493</x:v>
      </x:c>
      <x:c r="H255" s="87" t="n">
        <x:f>$B$11*'Transformaciones'!I247</x:f>
        <x:v>-0.0007927080174290897</x:v>
      </x:c>
      <x:c r="I255" s="87" t="n">
        <x:f>$B$12*'Transformaciones'!K247</x:f>
        <x:v>-0.003705247709494825</x:v>
      </x:c>
      <x:c r="J255" s="87" t="n">
        <x:f>$B$13*'Transformaciones'!P248</x:f>
        <x:v>0</x:v>
      </x:c>
      <x:c r="K255" s="93" t="n">
        <x:f>SUM(C255:J255)</x:f>
        <x:v>-0.014903692516133153</x:v>
      </x:c>
      <x:c r="L255" s="93" t="n">
        <x:f>B255-K255</x:f>
        <x:v>0.007488307932488274</x:v>
      </x:c>
      <x:c r="M255" s="79" t="n">
        <x:f>'Datos_fuente'!B248</x:f>
        <x:v>3675.641429</x:v>
      </x:c>
      <x:c r="N255" s="79" t="n">
        <x:f>EXP('Transformaciones'!B247+K255)</x:f>
        <x:v>3648.2198927219238</x:v>
      </x:c>
      <x:c r="O255" s="1"/>
      <x:c r="P255" s="1"/>
      <x:c r="Q255" s="1"/>
      <x:c r="R255" s="1"/>
      <x:c r="S255" s="1"/>
      <x:c r="T255" s="1"/>
      <x:c r="U255" s="1"/>
      <x:c r="V255" s="1"/>
      <x:c r="W255" s="1"/>
      <x:c r="X255" s="1"/>
      <x:c r="Y255" s="1"/>
      <x:c r="Z255" s="1"/>
    </x:row>
    <x:row r="256">
      <x:c r="A256" s="1" t="str">
        <x:f>'Transformaciones'!A249</x:f>
        <x:v>2026-03</x:v>
      </x:c>
      <x:c r="B256" s="87" t="n">
        <x:f>'Transformaciones'!C249</x:f>
        <x:v>0.011339188889921914</x:v>
      </x:c>
      <x:c r="C256" s="87" t="n">
        <x:f>$B$6</x:f>
        <x:v>-0.00045209606279241735</x:v>
      </x:c>
      <x:c r="D256" s="87" t="n">
        <x:f>$B$7*'Transformaciones'!E249</x:f>
        <x:v>-0.01938188108513484</x:v>
      </x:c>
      <x:c r="E256" s="87" t="n">
        <x:f>$B$8*'Transformaciones'!M249</x:f>
        <x:v>0.020577298665256923</x:v>
      </x:c>
      <x:c r="F256" s="87" t="n">
        <x:f>$B$9*'Transformaciones'!O249</x:f>
        <x:v>0.011090737377183833</x:v>
      </x:c>
      <x:c r="G256" s="87" t="n">
        <x:f>$B$10*'Transformaciones'!G248</x:f>
        <x:v>0.0013907527719191296</x:v>
      </x:c>
      <x:c r="H256" s="87" t="n">
        <x:f>$B$11*'Transformaciones'!I248</x:f>
        <x:v>-0.009554962707251667</x:v>
      </x:c>
      <x:c r="I256" s="87" t="n">
        <x:f>$B$12*'Transformaciones'!K248</x:f>
        <x:v>0.002267541738952911</x:v>
      </x:c>
      <x:c r="J256" s="87" t="n">
        <x:f>$B$13*'Transformaciones'!P249</x:f>
        <x:v>0</x:v>
      </x:c>
      <x:c r="K256" s="93" t="n">
        <x:f>SUM(C256:J256)</x:f>
        <x:v>0.005937390698133873</x:v>
      </x:c>
      <x:c r="L256" s="93" t="n">
        <x:f>B256-K256</x:f>
        <x:v>0.005401798191788041</x:v>
      </x:c>
      <x:c r="M256" s="79" t="n">
        <x:f>'Datos_fuente'!B249</x:f>
        <x:v>3717.557419</x:v>
      </x:c>
      <x:c r="N256" s="79" t="n">
        <x:f>EXP('Transformaciones'!B248+K256)</x:f>
        <x:v>3697.5300646183905</x:v>
      </x:c>
      <x:c r="O256" s="1"/>
      <x:c r="P256" s="1"/>
      <x:c r="Q256" s="1"/>
      <x:c r="R256" s="1"/>
      <x:c r="S256" s="1"/>
      <x:c r="T256" s="1"/>
      <x:c r="U256" s="1"/>
      <x:c r="V256" s="1"/>
      <x:c r="W256" s="1"/>
      <x:c r="X256" s="1"/>
      <x:c r="Y256" s="1"/>
      <x:c r="Z256" s="1"/>
    </x:row>
    <x:row r="257">
      <x:c r="A257" s="1" t="str">
        <x:f>'Transformaciones'!A250</x:f>
        <x:v>2026-04</x:v>
      </x:c>
      <x:c r="B257" s="87" t="n">
        <x:f>'Transformaciones'!C250</x:f>
        <x:v>-0.027278505124357366</x:v>
      </x:c>
      <x:c r="C257" s="87" t="n">
        <x:f>$B$6</x:f>
        <x:v>-0.00045209606279241735</x:v>
      </x:c>
      <x:c r="D257" s="87" t="n">
        <x:f>$B$7*'Transformaciones'!E250</x:f>
        <x:v>-0.0066473051591077695</x:v>
      </x:c>
      <x:c r="E257" s="87" t="n">
        <x:f>$B$8*'Transformaciones'!M250</x:f>
        <x:v>-0.00898507421040098</x:v>
      </x:c>
      <x:c r="F257" s="87" t="n">
        <x:f>$B$9*'Transformaciones'!O250</x:f>
        <x:v>-0.009893272179569278</x:v>
      </x:c>
      <x:c r="G257" s="87" t="n">
        <x:f>$B$10*'Transformaciones'!G249</x:f>
        <x:v>0.00270632035967283</x:v>
      </x:c>
      <x:c r="H257" s="87" t="n">
        <x:f>$B$11*'Transformaciones'!I249</x:f>
        <x:v>-0.00035388751061194487</x:v>
      </x:c>
      <x:c r="I257" s="87" t="n">
        <x:f>$B$12*'Transformaciones'!K249</x:f>
        <x:v>-0.0011194871606505774</x:v>
      </x:c>
      <x:c r="J257" s="87" t="n">
        <x:f>$B$13*'Transformaciones'!P250</x:f>
        <x:v>0</x:v>
      </x:c>
      <x:c r="K257" s="93" t="n">
        <x:f>SUM(C257:J257)</x:f>
        <x:v>-0.02474480192346014</x:v>
      </x:c>
      <x:c r="L257" s="93" t="n">
        <x:f>B257-K257</x:f>
        <x:v>-0.0025337032008972277</x:v>
      </x:c>
      <x:c r="M257" s="79" t="n">
        <x:f>'Datos_fuente'!B250</x:f>
        <x:v>3617.518667</x:v>
      </x:c>
      <x:c r="N257" s="79" t="n">
        <x:f>EXP('Transformaciones'!B249+K257)</x:f>
        <x:v>3626.696007044202</x:v>
      </x:c>
      <x:c r="O257" s="1"/>
      <x:c r="P257" s="1"/>
      <x:c r="Q257" s="1"/>
      <x:c r="R257" s="1"/>
      <x:c r="S257" s="1"/>
      <x:c r="T257" s="1"/>
      <x:c r="U257" s="1"/>
      <x:c r="V257" s="1"/>
      <x:c r="W257" s="1"/>
      <x:c r="X257" s="1"/>
      <x:c r="Y257" s="1"/>
      <x:c r="Z257" s="1"/>
    </x:row>
    <x:row r="258">
      <x:c r="A258" s="1"/>
      <x:c r="B258" s="1"/>
      <x:c r="C258" s="1"/>
      <x:c r="D258" s="1"/>
      <x:c r="E258" s="1"/>
      <x:c r="F258" s="1"/>
      <x:c r="G258" s="1"/>
      <x:c r="H258" s="1"/>
      <x:c r="I258" s="1"/>
      <x:c r="J258" s="1"/>
      <x:c r="K258" s="1"/>
      <x:c r="L258" s="1"/>
      <x:c r="M258" s="1"/>
      <x:c r="N258" s="1"/>
      <x:c r="O258" s="1"/>
      <x:c r="P258" s="1"/>
      <x:c r="Q258" s="1"/>
      <x:c r="R258" s="1"/>
      <x:c r="S258" s="1"/>
      <x:c r="T258" s="1"/>
      <x:c r="U258" s="1"/>
      <x:c r="V258" s="1"/>
      <x:c r="W258" s="1"/>
      <x:c r="X258" s="1"/>
      <x:c r="Y258" s="1"/>
      <x:c r="Z258" s="1"/>
    </x:row>
    <x:row r="259">
      <x:c r="A259" s="1"/>
      <x:c r="B259" s="1"/>
      <x:c r="C259" s="1"/>
      <x:c r="D259" s="1"/>
      <x:c r="E259" s="1"/>
      <x:c r="F259" s="1"/>
      <x:c r="G259" s="1"/>
      <x:c r="H259" s="1"/>
      <x:c r="I259" s="1"/>
      <x:c r="J259" s="1"/>
      <x:c r="K259" s="1"/>
      <x:c r="L259" s="1"/>
      <x:c r="M259" s="1"/>
      <x:c r="N259" s="1"/>
      <x:c r="O259" s="1"/>
      <x:c r="P259" s="1"/>
      <x:c r="Q259" s="1"/>
      <x:c r="R259" s="1"/>
      <x:c r="S259" s="1"/>
      <x:c r="T259" s="1"/>
      <x:c r="U259" s="1"/>
      <x:c r="V259" s="1"/>
      <x:c r="W259" s="1"/>
      <x:c r="X259" s="1"/>
      <x:c r="Y259" s="1"/>
      <x:c r="Z259" s="1"/>
    </x:row>
    <x:row r="260">
      <x:c r="A260" s="1"/>
      <x:c r="B260" s="1"/>
      <x:c r="C260" s="1"/>
      <x:c r="D260" s="1"/>
      <x:c r="E260" s="1"/>
      <x:c r="F260" s="1"/>
      <x:c r="G260" s="1"/>
      <x:c r="H260" s="1"/>
      <x:c r="I260" s="1"/>
      <x:c r="J260" s="1"/>
      <x:c r="K260" s="1"/>
      <x:c r="L260" s="1"/>
      <x:c r="M260" s="1"/>
      <x:c r="N260" s="1"/>
      <x:c r="O260" s="1"/>
      <x:c r="P260" s="1"/>
      <x:c r="Q260" s="1"/>
      <x:c r="R260" s="1"/>
      <x:c r="S260" s="1"/>
      <x:c r="T260" s="1"/>
      <x:c r="U260" s="1"/>
      <x:c r="V260" s="1"/>
      <x:c r="W260" s="1"/>
      <x:c r="X260" s="1"/>
      <x:c r="Y260" s="1"/>
      <x:c r="Z260" s="1"/>
    </x:row>
    <x:row r="261">
      <x:c r="A261" s="1"/>
      <x:c r="B261" s="1"/>
      <x:c r="C261" s="1"/>
      <x:c r="D261" s="1"/>
      <x:c r="E261" s="1"/>
      <x:c r="F261" s="1"/>
      <x:c r="G261" s="1"/>
      <x:c r="H261" s="1"/>
      <x:c r="I261" s="1"/>
      <x:c r="J261" s="1"/>
      <x:c r="K261" s="1"/>
      <x:c r="L261" s="1"/>
      <x:c r="M261" s="1"/>
      <x:c r="N261" s="1"/>
      <x:c r="O261" s="1"/>
      <x:c r="P261" s="1"/>
      <x:c r="Q261" s="1"/>
      <x:c r="R261" s="1"/>
      <x:c r="S261" s="1"/>
      <x:c r="T261" s="1"/>
      <x:c r="U261" s="1"/>
      <x:c r="V261" s="1"/>
      <x:c r="W261" s="1"/>
      <x:c r="X261" s="1"/>
      <x:c r="Y261" s="1"/>
      <x:c r="Z261" s="1"/>
    </x:row>
    <x:row r="262">
      <x:c r="A262" s="1"/>
      <x:c r="B262" s="1"/>
      <x:c r="C262" s="1"/>
      <x:c r="D262" s="1"/>
      <x:c r="E262" s="1"/>
      <x:c r="F262" s="1"/>
      <x:c r="G262" s="1"/>
      <x:c r="H262" s="1"/>
      <x:c r="I262" s="1"/>
      <x:c r="J262" s="1"/>
      <x:c r="K262" s="1"/>
      <x:c r="L262" s="1"/>
      <x:c r="M262" s="1"/>
      <x:c r="N262" s="1"/>
      <x:c r="O262" s="1"/>
      <x:c r="P262" s="1"/>
      <x:c r="Q262" s="1"/>
      <x:c r="R262" s="1"/>
      <x:c r="S262" s="1"/>
      <x:c r="T262" s="1"/>
      <x:c r="U262" s="1"/>
      <x:c r="V262" s="1"/>
      <x:c r="W262" s="1"/>
      <x:c r="X262" s="1"/>
      <x:c r="Y262" s="1"/>
      <x:c r="Z262" s="1"/>
    </x:row>
    <x:row r="263">
      <x:c r="A263" s="1"/>
      <x:c r="B263" s="1"/>
      <x:c r="C263" s="1"/>
      <x:c r="D263" s="1"/>
      <x:c r="E263" s="1"/>
      <x:c r="F263" s="1"/>
      <x:c r="G263" s="1"/>
      <x:c r="H263" s="1"/>
      <x:c r="I263" s="1"/>
      <x:c r="J263" s="1"/>
      <x:c r="K263" s="1"/>
      <x:c r="L263" s="1"/>
      <x:c r="M263" s="1"/>
      <x:c r="N263" s="1"/>
      <x:c r="O263" s="1"/>
      <x:c r="P263" s="1"/>
      <x:c r="Q263" s="1"/>
      <x:c r="R263" s="1"/>
      <x:c r="S263" s="1"/>
      <x:c r="T263" s="1"/>
      <x:c r="U263" s="1"/>
      <x:c r="V263" s="1"/>
      <x:c r="W263" s="1"/>
      <x:c r="X263" s="1"/>
      <x:c r="Y263" s="1"/>
      <x:c r="Z263" s="1"/>
    </x:row>
    <x:row r="264">
      <x:c r="A264" s="1"/>
      <x:c r="B264" s="1"/>
      <x:c r="C264" s="1"/>
      <x:c r="D264" s="1"/>
      <x:c r="E264" s="1"/>
      <x:c r="F264" s="1"/>
      <x:c r="G264" s="1"/>
      <x:c r="H264" s="1"/>
      <x:c r="I264" s="1"/>
      <x:c r="J264" s="1"/>
      <x:c r="K264" s="1"/>
      <x:c r="L264" s="1"/>
      <x:c r="M264" s="1"/>
      <x:c r="N264" s="1"/>
      <x:c r="O264" s="1"/>
      <x:c r="P264" s="1"/>
      <x:c r="Q264" s="1"/>
      <x:c r="R264" s="1"/>
      <x:c r="S264" s="1"/>
      <x:c r="T264" s="1"/>
      <x:c r="U264" s="1"/>
      <x:c r="V264" s="1"/>
      <x:c r="W264" s="1"/>
      <x:c r="X264" s="1"/>
      <x:c r="Y264" s="1"/>
      <x:c r="Z264" s="1"/>
    </x:row>
    <x:row r="265">
      <x:c r="A265" s="1"/>
      <x:c r="B265" s="1"/>
      <x:c r="C265" s="1"/>
      <x:c r="D265" s="1"/>
      <x:c r="E265" s="1"/>
      <x:c r="F265" s="1"/>
      <x:c r="G265" s="1"/>
      <x:c r="H265" s="1"/>
      <x:c r="I265" s="1"/>
      <x:c r="J265" s="1"/>
      <x:c r="K265" s="1"/>
      <x:c r="L265" s="1"/>
      <x:c r="M265" s="1"/>
      <x:c r="N265" s="1"/>
      <x:c r="O265" s="1"/>
      <x:c r="P265" s="1"/>
      <x:c r="Q265" s="1"/>
      <x:c r="R265" s="1"/>
      <x:c r="S265" s="1"/>
      <x:c r="T265" s="1"/>
      <x:c r="U265" s="1"/>
      <x:c r="V265" s="1"/>
      <x:c r="W265" s="1"/>
      <x:c r="X265" s="1"/>
      <x:c r="Y265" s="1"/>
      <x:c r="Z265" s="1"/>
    </x:row>
    <x:row r="266">
      <x:c r="A266" s="1"/>
      <x:c r="B266" s="1"/>
      <x:c r="C266" s="1"/>
      <x:c r="D266" s="1"/>
      <x:c r="E266" s="1"/>
      <x:c r="F266" s="1"/>
      <x:c r="G266" s="1"/>
      <x:c r="H266" s="1"/>
      <x:c r="I266" s="1"/>
      <x:c r="J266" s="1"/>
      <x:c r="K266" s="1"/>
      <x:c r="L266" s="1"/>
      <x:c r="M266" s="1"/>
      <x:c r="N266" s="1"/>
      <x:c r="O266" s="1"/>
      <x:c r="P266" s="1"/>
      <x:c r="Q266" s="1"/>
      <x:c r="R266" s="1"/>
      <x:c r="S266" s="1"/>
      <x:c r="T266" s="1"/>
      <x:c r="U266" s="1"/>
      <x:c r="V266" s="1"/>
      <x:c r="W266" s="1"/>
      <x:c r="X266" s="1"/>
      <x:c r="Y266" s="1"/>
      <x:c r="Z266" s="1"/>
    </x:row>
    <x:row r="267">
      <x:c r="A267" s="1"/>
      <x:c r="B267" s="1"/>
      <x:c r="C267" s="1"/>
      <x:c r="D267" s="1"/>
      <x:c r="E267" s="1"/>
      <x:c r="F267" s="1"/>
      <x:c r="G267" s="1"/>
      <x:c r="H267" s="1"/>
      <x:c r="I267" s="1"/>
      <x:c r="J267" s="1"/>
      <x:c r="K267" s="1"/>
      <x:c r="L267" s="1"/>
      <x:c r="M267" s="1"/>
      <x:c r="N267" s="1"/>
      <x:c r="O267" s="1"/>
      <x:c r="P267" s="1"/>
      <x:c r="Q267" s="1"/>
      <x:c r="R267" s="1"/>
      <x:c r="S267" s="1"/>
      <x:c r="T267" s="1"/>
      <x:c r="U267" s="1"/>
      <x:c r="V267" s="1"/>
      <x:c r="W267" s="1"/>
      <x:c r="X267" s="1"/>
      <x:c r="Y267" s="1"/>
      <x:c r="Z267" s="1"/>
    </x:row>
    <x:row r="268">
      <x:c r="A268" s="1"/>
      <x:c r="B268" s="1"/>
      <x:c r="C268" s="1"/>
      <x:c r="D268" s="1"/>
      <x:c r="E268" s="1"/>
      <x:c r="F268" s="1"/>
      <x:c r="G268" s="1"/>
      <x:c r="H268" s="1"/>
      <x:c r="I268" s="1"/>
      <x:c r="J268" s="1"/>
      <x:c r="K268" s="1"/>
      <x:c r="L268" s="1"/>
      <x:c r="M268" s="1"/>
      <x:c r="N268" s="1"/>
      <x:c r="O268" s="1"/>
      <x:c r="P268" s="1"/>
      <x:c r="Q268" s="1"/>
      <x:c r="R268" s="1"/>
      <x:c r="S268" s="1"/>
      <x:c r="T268" s="1"/>
      <x:c r="U268" s="1"/>
      <x:c r="V268" s="1"/>
      <x:c r="W268" s="1"/>
      <x:c r="X268" s="1"/>
      <x:c r="Y268" s="1"/>
      <x:c r="Z268" s="1"/>
    </x:row>
    <x:row r="269">
      <x:c r="A269" s="1"/>
      <x:c r="B269" s="1"/>
      <x:c r="C269" s="1"/>
      <x:c r="D269" s="1"/>
      <x:c r="E269" s="1"/>
      <x:c r="F269" s="1"/>
      <x:c r="G269" s="1"/>
      <x:c r="H269" s="1"/>
      <x:c r="I269" s="1"/>
      <x:c r="J269" s="1"/>
      <x:c r="K269" s="1"/>
      <x:c r="L269" s="1"/>
      <x:c r="M269" s="1"/>
      <x:c r="N269" s="1"/>
      <x:c r="O269" s="1"/>
      <x:c r="P269" s="1"/>
      <x:c r="Q269" s="1"/>
      <x:c r="R269" s="1"/>
      <x:c r="S269" s="1"/>
      <x:c r="T269" s="1"/>
      <x:c r="U269" s="1"/>
      <x:c r="V269" s="1"/>
      <x:c r="W269" s="1"/>
      <x:c r="X269" s="1"/>
      <x:c r="Y269" s="1"/>
      <x:c r="Z269" s="1"/>
    </x:row>
    <x:row r="270">
      <x:c r="A270" s="1"/>
      <x:c r="B270" s="1"/>
      <x:c r="C270" s="1"/>
      <x:c r="D270" s="1"/>
      <x:c r="E270" s="1"/>
      <x:c r="F270" s="1"/>
      <x:c r="G270" s="1"/>
      <x:c r="H270" s="1"/>
      <x:c r="I270" s="1"/>
      <x:c r="J270" s="1"/>
      <x:c r="K270" s="1"/>
      <x:c r="L270" s="1"/>
      <x:c r="M270" s="1"/>
      <x:c r="N270" s="1"/>
      <x:c r="O270" s="1"/>
      <x:c r="P270" s="1"/>
      <x:c r="Q270" s="1"/>
      <x:c r="R270" s="1"/>
      <x:c r="S270" s="1"/>
      <x:c r="T270" s="1"/>
      <x:c r="U270" s="1"/>
      <x:c r="V270" s="1"/>
      <x:c r="W270" s="1"/>
      <x:c r="X270" s="1"/>
      <x:c r="Y270" s="1"/>
      <x:c r="Z270" s="1"/>
    </x:row>
    <x:row r="271">
      <x:c r="A271" s="1"/>
      <x:c r="B271" s="1"/>
      <x:c r="C271" s="1"/>
      <x:c r="D271" s="1"/>
      <x:c r="E271" s="1"/>
      <x:c r="F271" s="1"/>
      <x:c r="G271" s="1"/>
      <x:c r="H271" s="1"/>
      <x:c r="I271" s="1"/>
      <x:c r="J271" s="1"/>
      <x:c r="K271" s="1"/>
      <x:c r="L271" s="1"/>
      <x:c r="M271" s="1"/>
      <x:c r="N271" s="1"/>
      <x:c r="O271" s="1"/>
      <x:c r="P271" s="1"/>
      <x:c r="Q271" s="1"/>
      <x:c r="R271" s="1"/>
      <x:c r="S271" s="1"/>
      <x:c r="T271" s="1"/>
      <x:c r="U271" s="1"/>
      <x:c r="V271" s="1"/>
      <x:c r="W271" s="1"/>
      <x:c r="X271" s="1"/>
      <x:c r="Y271" s="1"/>
      <x:c r="Z271" s="1"/>
    </x:row>
    <x:row r="272">
      <x:c r="A272" s="1"/>
      <x:c r="B272" s="1"/>
      <x:c r="C272" s="1"/>
      <x:c r="D272" s="1"/>
      <x:c r="E272" s="1"/>
      <x:c r="F272" s="1"/>
      <x:c r="G272" s="1"/>
      <x:c r="H272" s="1"/>
      <x:c r="I272" s="1"/>
      <x:c r="J272" s="1"/>
      <x:c r="K272" s="1"/>
      <x:c r="L272" s="1"/>
      <x:c r="M272" s="1"/>
      <x:c r="N272" s="1"/>
      <x:c r="O272" s="1"/>
      <x:c r="P272" s="1"/>
      <x:c r="Q272" s="1"/>
      <x:c r="R272" s="1"/>
      <x:c r="S272" s="1"/>
      <x:c r="T272" s="1"/>
      <x:c r="U272" s="1"/>
      <x:c r="V272" s="1"/>
      <x:c r="W272" s="1"/>
      <x:c r="X272" s="1"/>
      <x:c r="Y272" s="1"/>
      <x:c r="Z272" s="1"/>
    </x:row>
    <x:row r="273">
      <x:c r="A273" s="1"/>
      <x:c r="B273" s="1"/>
      <x:c r="C273" s="1"/>
      <x:c r="D273" s="1"/>
      <x:c r="E273" s="1"/>
      <x:c r="F273" s="1"/>
      <x:c r="G273" s="1"/>
      <x:c r="H273" s="1"/>
      <x:c r="I273" s="1"/>
      <x:c r="J273" s="1"/>
      <x:c r="K273" s="1"/>
      <x:c r="L273" s="1"/>
      <x:c r="M273" s="1"/>
      <x:c r="N273" s="1"/>
      <x:c r="O273" s="1"/>
      <x:c r="P273" s="1"/>
      <x:c r="Q273" s="1"/>
      <x:c r="R273" s="1"/>
      <x:c r="S273" s="1"/>
      <x:c r="T273" s="1"/>
      <x:c r="U273" s="1"/>
      <x:c r="V273" s="1"/>
      <x:c r="W273" s="1"/>
      <x:c r="X273" s="1"/>
      <x:c r="Y273" s="1"/>
      <x:c r="Z273" s="1"/>
    </x:row>
    <x:row r="274">
      <x:c r="A274" s="1"/>
      <x:c r="B274" s="1"/>
      <x:c r="C274" s="1"/>
      <x:c r="D274" s="1"/>
      <x:c r="E274" s="1"/>
      <x:c r="F274" s="1"/>
      <x:c r="G274" s="1"/>
      <x:c r="H274" s="1"/>
      <x:c r="I274" s="1"/>
      <x:c r="J274" s="1"/>
      <x:c r="K274" s="1"/>
      <x:c r="L274" s="1"/>
      <x:c r="M274" s="1"/>
      <x:c r="N274" s="1"/>
      <x:c r="O274" s="1"/>
      <x:c r="P274" s="1"/>
      <x:c r="Q274" s="1"/>
      <x:c r="R274" s="1"/>
      <x:c r="S274" s="1"/>
      <x:c r="T274" s="1"/>
      <x:c r="U274" s="1"/>
      <x:c r="V274" s="1"/>
      <x:c r="W274" s="1"/>
      <x:c r="X274" s="1"/>
      <x:c r="Y274" s="1"/>
      <x:c r="Z274" s="1"/>
    </x:row>
    <x:row r="275">
      <x:c r="A275" s="1"/>
      <x:c r="B275" s="1"/>
      <x:c r="C275" s="1"/>
      <x:c r="D275" s="1"/>
      <x:c r="E275" s="1"/>
      <x:c r="F275" s="1"/>
      <x:c r="G275" s="1"/>
      <x:c r="H275" s="1"/>
      <x:c r="I275" s="1"/>
      <x:c r="J275" s="1"/>
      <x:c r="K275" s="1"/>
      <x:c r="L275" s="1"/>
      <x:c r="M275" s="1"/>
      <x:c r="N275" s="1"/>
      <x:c r="O275" s="1"/>
      <x:c r="P275" s="1"/>
      <x:c r="Q275" s="1"/>
      <x:c r="R275" s="1"/>
      <x:c r="S275" s="1"/>
      <x:c r="T275" s="1"/>
      <x:c r="U275" s="1"/>
      <x:c r="V275" s="1"/>
      <x:c r="W275" s="1"/>
      <x:c r="X275" s="1"/>
      <x:c r="Y275" s="1"/>
      <x:c r="Z275" s="1"/>
    </x:row>
    <x:row r="276">
      <x:c r="A276" s="1"/>
      <x:c r="B276" s="1"/>
      <x:c r="C276" s="1"/>
      <x:c r="D276" s="1"/>
      <x:c r="E276" s="1"/>
      <x:c r="F276" s="1"/>
      <x:c r="G276" s="1"/>
      <x:c r="H276" s="1"/>
      <x:c r="I276" s="1"/>
      <x:c r="J276" s="1"/>
      <x:c r="K276" s="1"/>
      <x:c r="L276" s="1"/>
      <x:c r="M276" s="1"/>
      <x:c r="N276" s="1"/>
      <x:c r="O276" s="1"/>
      <x:c r="P276" s="1"/>
      <x:c r="Q276" s="1"/>
      <x:c r="R276" s="1"/>
      <x:c r="S276" s="1"/>
      <x:c r="T276" s="1"/>
      <x:c r="U276" s="1"/>
      <x:c r="V276" s="1"/>
      <x:c r="W276" s="1"/>
      <x:c r="X276" s="1"/>
      <x:c r="Y276" s="1"/>
      <x:c r="Z276" s="1"/>
    </x:row>
    <x:row r="277">
      <x:c r="A277" s="1"/>
      <x:c r="B277" s="1"/>
      <x:c r="C277" s="1"/>
      <x:c r="D277" s="1"/>
      <x:c r="E277" s="1"/>
      <x:c r="F277" s="1"/>
      <x:c r="G277" s="1"/>
      <x:c r="H277" s="1"/>
      <x:c r="I277" s="1"/>
      <x:c r="J277" s="1"/>
      <x:c r="K277" s="1"/>
      <x:c r="L277" s="1"/>
      <x:c r="M277" s="1"/>
      <x:c r="N277" s="1"/>
      <x:c r="O277" s="1"/>
      <x:c r="P277" s="1"/>
      <x:c r="Q277" s="1"/>
      <x:c r="R277" s="1"/>
      <x:c r="S277" s="1"/>
      <x:c r="T277" s="1"/>
      <x:c r="U277" s="1"/>
      <x:c r="V277" s="1"/>
      <x:c r="W277" s="1"/>
      <x:c r="X277" s="1"/>
      <x:c r="Y277" s="1"/>
      <x:c r="Z277" s="1"/>
    </x:row>
    <x:row r="278">
      <x:c r="A278" s="1"/>
      <x:c r="B278" s="1"/>
      <x:c r="C278" s="1"/>
      <x:c r="D278" s="1"/>
      <x:c r="E278" s="1"/>
      <x:c r="F278" s="1"/>
      <x:c r="G278" s="1"/>
      <x:c r="H278" s="1"/>
      <x:c r="I278" s="1"/>
      <x:c r="J278" s="1"/>
      <x:c r="K278" s="1"/>
      <x:c r="L278" s="1"/>
      <x:c r="M278" s="1"/>
      <x:c r="N278" s="1"/>
      <x:c r="O278" s="1"/>
      <x:c r="P278" s="1"/>
      <x:c r="Q278" s="1"/>
      <x:c r="R278" s="1"/>
      <x:c r="S278" s="1"/>
      <x:c r="T278" s="1"/>
      <x:c r="U278" s="1"/>
      <x:c r="V278" s="1"/>
      <x:c r="W278" s="1"/>
      <x:c r="X278" s="1"/>
      <x:c r="Y278" s="1"/>
      <x:c r="Z278" s="1"/>
    </x:row>
    <x:row r="279">
      <x:c r="A279" s="1"/>
      <x:c r="B279" s="1"/>
      <x:c r="C279" s="1"/>
      <x:c r="D279" s="1"/>
      <x:c r="E279" s="1"/>
      <x:c r="F279" s="1"/>
      <x:c r="G279" s="1"/>
      <x:c r="H279" s="1"/>
      <x:c r="I279" s="1"/>
      <x:c r="J279" s="1"/>
      <x:c r="K279" s="1"/>
      <x:c r="L279" s="1"/>
      <x:c r="M279" s="1"/>
      <x:c r="N279" s="1"/>
      <x:c r="O279" s="1"/>
      <x:c r="P279" s="1"/>
      <x:c r="Q279" s="1"/>
      <x:c r="R279" s="1"/>
      <x:c r="S279" s="1"/>
      <x:c r="T279" s="1"/>
      <x:c r="U279" s="1"/>
      <x:c r="V279" s="1"/>
      <x:c r="W279" s="1"/>
      <x:c r="X279" s="1"/>
      <x:c r="Y279" s="1"/>
      <x:c r="Z279" s="1"/>
    </x:row>
    <x:row r="280">
      <x:c r="A280" s="1"/>
      <x:c r="B280" s="1"/>
      <x:c r="C280" s="1"/>
      <x:c r="D280" s="1"/>
      <x:c r="E280" s="1"/>
      <x:c r="F280" s="1"/>
      <x:c r="G280" s="1"/>
      <x:c r="H280" s="1"/>
      <x:c r="I280" s="1"/>
      <x:c r="J280" s="1"/>
      <x:c r="K280" s="1"/>
      <x:c r="L280" s="1"/>
      <x:c r="M280" s="1"/>
      <x:c r="N280" s="1"/>
      <x:c r="O280" s="1"/>
      <x:c r="P280" s="1"/>
      <x:c r="Q280" s="1"/>
      <x:c r="R280" s="1"/>
      <x:c r="S280" s="1"/>
      <x:c r="T280" s="1"/>
      <x:c r="U280" s="1"/>
      <x:c r="V280" s="1"/>
      <x:c r="W280" s="1"/>
      <x:c r="X280" s="1"/>
      <x:c r="Y280" s="1"/>
      <x:c r="Z280" s="1"/>
    </x:row>
    <x:row r="281">
      <x:c r="A281" s="1"/>
      <x:c r="B281" s="1"/>
      <x:c r="C281" s="1"/>
      <x:c r="D281" s="1"/>
      <x:c r="E281" s="1"/>
      <x:c r="F281" s="1"/>
      <x:c r="G281" s="1"/>
      <x:c r="H281" s="1"/>
      <x:c r="I281" s="1"/>
      <x:c r="J281" s="1"/>
      <x:c r="K281" s="1"/>
      <x:c r="L281" s="1"/>
      <x:c r="M281" s="1"/>
      <x:c r="N281" s="1"/>
      <x:c r="O281" s="1"/>
      <x:c r="P281" s="1"/>
      <x:c r="Q281" s="1"/>
      <x:c r="R281" s="1"/>
      <x:c r="S281" s="1"/>
      <x:c r="T281" s="1"/>
      <x:c r="U281" s="1"/>
      <x:c r="V281" s="1"/>
      <x:c r="W281" s="1"/>
      <x:c r="X281" s="1"/>
      <x:c r="Y281" s="1"/>
      <x:c r="Z281" s="1"/>
    </x:row>
    <x:row r="282">
      <x:c r="A282" s="1"/>
      <x:c r="B282" s="1"/>
      <x:c r="C282" s="1"/>
      <x:c r="D282" s="1"/>
      <x:c r="E282" s="1"/>
      <x:c r="F282" s="1"/>
      <x:c r="G282" s="1"/>
      <x:c r="H282" s="1"/>
      <x:c r="I282" s="1"/>
      <x:c r="J282" s="1"/>
      <x:c r="K282" s="1"/>
      <x:c r="L282" s="1"/>
      <x:c r="M282" s="1"/>
      <x:c r="N282" s="1"/>
      <x:c r="O282" s="1"/>
      <x:c r="P282" s="1"/>
      <x:c r="Q282" s="1"/>
      <x:c r="R282" s="1"/>
      <x:c r="S282" s="1"/>
      <x:c r="T282" s="1"/>
      <x:c r="U282" s="1"/>
      <x:c r="V282" s="1"/>
      <x:c r="W282" s="1"/>
      <x:c r="X282" s="1"/>
      <x:c r="Y282" s="1"/>
      <x:c r="Z282" s="1"/>
    </x:row>
    <x:row r="283">
      <x:c r="A283" s="1"/>
      <x:c r="B283" s="1"/>
      <x:c r="C283" s="1"/>
      <x:c r="D283" s="1"/>
      <x:c r="E283" s="1"/>
      <x:c r="F283" s="1"/>
      <x:c r="G283" s="1"/>
      <x:c r="H283" s="1"/>
      <x:c r="I283" s="1"/>
      <x:c r="J283" s="1"/>
      <x:c r="K283" s="1"/>
      <x:c r="L283" s="1"/>
      <x:c r="M283" s="1"/>
      <x:c r="N283" s="1"/>
      <x:c r="O283" s="1"/>
      <x:c r="P283" s="1"/>
      <x:c r="Q283" s="1"/>
      <x:c r="R283" s="1"/>
      <x:c r="S283" s="1"/>
      <x:c r="T283" s="1"/>
      <x:c r="U283" s="1"/>
      <x:c r="V283" s="1"/>
      <x:c r="W283" s="1"/>
      <x:c r="X283" s="1"/>
      <x:c r="Y283" s="1"/>
      <x:c r="Z283" s="1"/>
    </x:row>
    <x:row r="284">
      <x:c r="A284" s="1"/>
      <x:c r="B284" s="1"/>
      <x:c r="C284" s="1"/>
      <x:c r="D284" s="1"/>
      <x:c r="E284" s="1"/>
      <x:c r="F284" s="1"/>
      <x:c r="G284" s="1"/>
      <x:c r="H284" s="1"/>
      <x:c r="I284" s="1"/>
      <x:c r="J284" s="1"/>
      <x:c r="K284" s="1"/>
      <x:c r="L284" s="1"/>
      <x:c r="M284" s="1"/>
      <x:c r="N284" s="1"/>
      <x:c r="O284" s="1"/>
      <x:c r="P284" s="1"/>
      <x:c r="Q284" s="1"/>
      <x:c r="R284" s="1"/>
      <x:c r="S284" s="1"/>
      <x:c r="T284" s="1"/>
      <x:c r="U284" s="1"/>
      <x:c r="V284" s="1"/>
      <x:c r="W284" s="1"/>
      <x:c r="X284" s="1"/>
      <x:c r="Y284" s="1"/>
      <x:c r="Z284" s="1"/>
    </x:row>
    <x:row r="285">
      <x:c r="A285" s="1"/>
      <x:c r="B285" s="1"/>
      <x:c r="C285" s="1"/>
      <x:c r="D285" s="1"/>
      <x:c r="E285" s="1"/>
      <x:c r="F285" s="1"/>
      <x:c r="G285" s="1"/>
      <x:c r="H285" s="1"/>
      <x:c r="I285" s="1"/>
      <x:c r="J285" s="1"/>
      <x:c r="K285" s="1"/>
      <x:c r="L285" s="1"/>
      <x:c r="M285" s="1"/>
      <x:c r="N285" s="1"/>
      <x:c r="O285" s="1"/>
      <x:c r="P285" s="1"/>
      <x:c r="Q285" s="1"/>
      <x:c r="R285" s="1"/>
      <x:c r="S285" s="1"/>
      <x:c r="T285" s="1"/>
      <x:c r="U285" s="1"/>
      <x:c r="V285" s="1"/>
      <x:c r="W285" s="1"/>
      <x:c r="X285" s="1"/>
      <x:c r="Y285" s="1"/>
      <x:c r="Z285" s="1"/>
    </x:row>
    <x:row r="286">
      <x:c r="A286" s="1"/>
      <x:c r="B286" s="1"/>
      <x:c r="C286" s="1"/>
      <x:c r="D286" s="1"/>
      <x:c r="E286" s="1"/>
      <x:c r="F286" s="1"/>
      <x:c r="G286" s="1"/>
      <x:c r="H286" s="1"/>
      <x:c r="I286" s="1"/>
      <x:c r="J286" s="1"/>
      <x:c r="K286" s="1"/>
      <x:c r="L286" s="1"/>
      <x:c r="M286" s="1"/>
      <x:c r="N286" s="1"/>
      <x:c r="O286" s="1"/>
      <x:c r="P286" s="1"/>
      <x:c r="Q286" s="1"/>
      <x:c r="R286" s="1"/>
      <x:c r="S286" s="1"/>
      <x:c r="T286" s="1"/>
      <x:c r="U286" s="1"/>
      <x:c r="V286" s="1"/>
      <x:c r="W286" s="1"/>
      <x:c r="X286" s="1"/>
      <x:c r="Y286" s="1"/>
      <x:c r="Z286" s="1"/>
    </x:row>
    <x:row r="287">
      <x:c r="A287" s="1"/>
      <x:c r="B287" s="1"/>
      <x:c r="C287" s="1"/>
      <x:c r="D287" s="1"/>
      <x:c r="E287" s="1"/>
      <x:c r="F287" s="1"/>
      <x:c r="G287" s="1"/>
      <x:c r="H287" s="1"/>
      <x:c r="I287" s="1"/>
      <x:c r="J287" s="1"/>
      <x:c r="K287" s="1"/>
      <x:c r="L287" s="1"/>
      <x:c r="M287" s="1"/>
      <x:c r="N287" s="1"/>
      <x:c r="O287" s="1"/>
      <x:c r="P287" s="1"/>
      <x:c r="Q287" s="1"/>
      <x:c r="R287" s="1"/>
      <x:c r="S287" s="1"/>
      <x:c r="T287" s="1"/>
      <x:c r="U287" s="1"/>
      <x:c r="V287" s="1"/>
      <x:c r="W287" s="1"/>
      <x:c r="X287" s="1"/>
      <x:c r="Y287" s="1"/>
      <x:c r="Z287" s="1"/>
    </x:row>
    <x:row r="288">
      <x:c r="A288" s="1"/>
      <x:c r="B288" s="1"/>
      <x:c r="C288" s="1"/>
      <x:c r="D288" s="1"/>
      <x:c r="E288" s="1"/>
      <x:c r="F288" s="1"/>
      <x:c r="G288" s="1"/>
      <x:c r="H288" s="1"/>
      <x:c r="I288" s="1"/>
      <x:c r="J288" s="1"/>
      <x:c r="K288" s="1"/>
      <x:c r="L288" s="1"/>
      <x:c r="M288" s="1"/>
      <x:c r="N288" s="1"/>
      <x:c r="O288" s="1"/>
      <x:c r="P288" s="1"/>
      <x:c r="Q288" s="1"/>
      <x:c r="R288" s="1"/>
      <x:c r="S288" s="1"/>
      <x:c r="T288" s="1"/>
      <x:c r="U288" s="1"/>
      <x:c r="V288" s="1"/>
      <x:c r="W288" s="1"/>
      <x:c r="X288" s="1"/>
      <x:c r="Y288" s="1"/>
      <x:c r="Z288" s="1"/>
    </x:row>
    <x:row r="289">
      <x:c r="A289" s="1"/>
      <x:c r="B289" s="1"/>
      <x:c r="C289" s="1"/>
      <x:c r="D289" s="1"/>
      <x:c r="E289" s="1"/>
      <x:c r="F289" s="1"/>
      <x:c r="G289" s="1"/>
      <x:c r="H289" s="1"/>
      <x:c r="I289" s="1"/>
      <x:c r="J289" s="1"/>
      <x:c r="K289" s="1"/>
      <x:c r="L289" s="1"/>
      <x:c r="M289" s="1"/>
      <x:c r="N289" s="1"/>
      <x:c r="O289" s="1"/>
      <x:c r="P289" s="1"/>
      <x:c r="Q289" s="1"/>
      <x:c r="R289" s="1"/>
      <x:c r="S289" s="1"/>
      <x:c r="T289" s="1"/>
      <x:c r="U289" s="1"/>
      <x:c r="V289" s="1"/>
      <x:c r="W289" s="1"/>
      <x:c r="X289" s="1"/>
      <x:c r="Y289" s="1"/>
      <x:c r="Z289" s="1"/>
    </x:row>
    <x:row r="290">
      <x:c r="A290" s="1"/>
      <x:c r="B290" s="1"/>
      <x:c r="C290" s="1"/>
      <x:c r="D290" s="1"/>
      <x:c r="E290" s="1"/>
      <x:c r="F290" s="1"/>
      <x:c r="G290" s="1"/>
      <x:c r="H290" s="1"/>
      <x:c r="I290" s="1"/>
      <x:c r="J290" s="1"/>
      <x:c r="K290" s="1"/>
      <x:c r="L290" s="1"/>
      <x:c r="M290" s="1"/>
      <x:c r="N290" s="1"/>
      <x:c r="O290" s="1"/>
      <x:c r="P290" s="1"/>
      <x:c r="Q290" s="1"/>
      <x:c r="R290" s="1"/>
      <x:c r="S290" s="1"/>
      <x:c r="T290" s="1"/>
      <x:c r="U290" s="1"/>
      <x:c r="V290" s="1"/>
      <x:c r="W290" s="1"/>
      <x:c r="X290" s="1"/>
      <x:c r="Y290" s="1"/>
      <x:c r="Z290" s="1"/>
    </x:row>
    <x:row r="291">
      <x:c r="A291" s="1"/>
      <x:c r="B291" s="1"/>
      <x:c r="C291" s="1"/>
      <x:c r="D291" s="1"/>
      <x:c r="E291" s="1"/>
      <x:c r="F291" s="1"/>
      <x:c r="G291" s="1"/>
      <x:c r="H291" s="1"/>
      <x:c r="I291" s="1"/>
      <x:c r="J291" s="1"/>
      <x:c r="K291" s="1"/>
      <x:c r="L291" s="1"/>
      <x:c r="M291" s="1"/>
      <x:c r="N291" s="1"/>
      <x:c r="O291" s="1"/>
      <x:c r="P291" s="1"/>
      <x:c r="Q291" s="1"/>
      <x:c r="R291" s="1"/>
      <x:c r="S291" s="1"/>
      <x:c r="T291" s="1"/>
      <x:c r="U291" s="1"/>
      <x:c r="V291" s="1"/>
      <x:c r="W291" s="1"/>
      <x:c r="X291" s="1"/>
      <x:c r="Y291" s="1"/>
      <x:c r="Z291" s="1"/>
    </x:row>
    <x:row r="292">
      <x:c r="A292" s="1"/>
      <x:c r="B292" s="1"/>
      <x:c r="C292" s="1"/>
      <x:c r="D292" s="1"/>
      <x:c r="E292" s="1"/>
      <x:c r="F292" s="1"/>
      <x:c r="G292" s="1"/>
      <x:c r="H292" s="1"/>
      <x:c r="I292" s="1"/>
      <x:c r="J292" s="1"/>
      <x:c r="K292" s="1"/>
      <x:c r="L292" s="1"/>
      <x:c r="M292" s="1"/>
      <x:c r="N292" s="1"/>
      <x:c r="O292" s="1"/>
      <x:c r="P292" s="1"/>
      <x:c r="Q292" s="1"/>
      <x:c r="R292" s="1"/>
      <x:c r="S292" s="1"/>
      <x:c r="T292" s="1"/>
      <x:c r="U292" s="1"/>
      <x:c r="V292" s="1"/>
      <x:c r="W292" s="1"/>
      <x:c r="X292" s="1"/>
      <x:c r="Y292" s="1"/>
      <x:c r="Z292" s="1"/>
    </x:row>
    <x:row r="293">
      <x:c r="A293" s="1"/>
      <x:c r="B293" s="1"/>
      <x:c r="C293" s="1"/>
      <x:c r="D293" s="1"/>
      <x:c r="E293" s="1"/>
      <x:c r="F293" s="1"/>
      <x:c r="G293" s="1"/>
      <x:c r="H293" s="1"/>
      <x:c r="I293" s="1"/>
      <x:c r="J293" s="1"/>
      <x:c r="K293" s="1"/>
      <x:c r="L293" s="1"/>
      <x:c r="M293" s="1"/>
      <x:c r="N293" s="1"/>
      <x:c r="O293" s="1"/>
      <x:c r="P293" s="1"/>
      <x:c r="Q293" s="1"/>
      <x:c r="R293" s="1"/>
      <x:c r="S293" s="1"/>
      <x:c r="T293" s="1"/>
      <x:c r="U293" s="1"/>
      <x:c r="V293" s="1"/>
      <x:c r="W293" s="1"/>
      <x:c r="X293" s="1"/>
      <x:c r="Y293" s="1"/>
      <x:c r="Z293" s="1"/>
    </x:row>
    <x:row r="294">
      <x:c r="A294" s="1"/>
      <x:c r="B294" s="1"/>
      <x:c r="C294" s="1"/>
      <x:c r="D294" s="1"/>
      <x:c r="E294" s="1"/>
      <x:c r="F294" s="1"/>
      <x:c r="G294" s="1"/>
      <x:c r="H294" s="1"/>
      <x:c r="I294" s="1"/>
      <x:c r="J294" s="1"/>
      <x:c r="K294" s="1"/>
      <x:c r="L294" s="1"/>
      <x:c r="M294" s="1"/>
      <x:c r="N294" s="1"/>
      <x:c r="O294" s="1"/>
      <x:c r="P294" s="1"/>
      <x:c r="Q294" s="1"/>
      <x:c r="R294" s="1"/>
      <x:c r="S294" s="1"/>
      <x:c r="T294" s="1"/>
      <x:c r="U294" s="1"/>
      <x:c r="V294" s="1"/>
      <x:c r="W294" s="1"/>
      <x:c r="X294" s="1"/>
      <x:c r="Y294" s="1"/>
      <x:c r="Z294" s="1"/>
    </x:row>
    <x:row r="295">
      <x:c r="A295" s="1"/>
      <x:c r="B295" s="1"/>
      <x:c r="C295" s="1"/>
      <x:c r="D295" s="1"/>
      <x:c r="E295" s="1"/>
      <x:c r="F295" s="1"/>
      <x:c r="G295" s="1"/>
      <x:c r="H295" s="1"/>
      <x:c r="I295" s="1"/>
      <x:c r="J295" s="1"/>
      <x:c r="K295" s="1"/>
      <x:c r="L295" s="1"/>
      <x:c r="M295" s="1"/>
      <x:c r="N295" s="1"/>
      <x:c r="O295" s="1"/>
      <x:c r="P295" s="1"/>
      <x:c r="Q295" s="1"/>
      <x:c r="R295" s="1"/>
      <x:c r="S295" s="1"/>
      <x:c r="T295" s="1"/>
      <x:c r="U295" s="1"/>
      <x:c r="V295" s="1"/>
      <x:c r="W295" s="1"/>
      <x:c r="X295" s="1"/>
      <x:c r="Y295" s="1"/>
      <x:c r="Z295" s="1"/>
    </x:row>
    <x:row r="296">
      <x:c r="A296" s="1"/>
      <x:c r="B296" s="1"/>
      <x:c r="C296" s="1"/>
      <x:c r="D296" s="1"/>
      <x:c r="E296" s="1"/>
      <x:c r="F296" s="1"/>
      <x:c r="G296" s="1"/>
      <x:c r="H296" s="1"/>
      <x:c r="I296" s="1"/>
      <x:c r="J296" s="1"/>
      <x:c r="K296" s="1"/>
      <x:c r="L296" s="1"/>
      <x:c r="M296" s="1"/>
      <x:c r="N296" s="1"/>
      <x:c r="O296" s="1"/>
      <x:c r="P296" s="1"/>
      <x:c r="Q296" s="1"/>
      <x:c r="R296" s="1"/>
      <x:c r="S296" s="1"/>
      <x:c r="T296" s="1"/>
      <x:c r="U296" s="1"/>
      <x:c r="V296" s="1"/>
      <x:c r="W296" s="1"/>
      <x:c r="X296" s="1"/>
      <x:c r="Y296" s="1"/>
      <x:c r="Z296" s="1"/>
    </x:row>
    <x:row r="297">
      <x:c r="A297" s="1"/>
      <x:c r="B297" s="1"/>
      <x:c r="C297" s="1"/>
      <x:c r="D297" s="1"/>
      <x:c r="E297" s="1"/>
      <x:c r="F297" s="1"/>
      <x:c r="G297" s="1"/>
      <x:c r="H297" s="1"/>
      <x:c r="I297" s="1"/>
      <x:c r="J297" s="1"/>
      <x:c r="K297" s="1"/>
      <x:c r="L297" s="1"/>
      <x:c r="M297" s="1"/>
      <x:c r="N297" s="1"/>
      <x:c r="O297" s="1"/>
      <x:c r="P297" s="1"/>
      <x:c r="Q297" s="1"/>
      <x:c r="R297" s="1"/>
      <x:c r="S297" s="1"/>
      <x:c r="T297" s="1"/>
      <x:c r="U297" s="1"/>
      <x:c r="V297" s="1"/>
      <x:c r="W297" s="1"/>
      <x:c r="X297" s="1"/>
      <x:c r="Y297" s="1"/>
      <x:c r="Z297" s="1"/>
    </x:row>
    <x:row r="298">
      <x:c r="A298" s="1"/>
      <x:c r="B298" s="1"/>
      <x:c r="C298" s="1"/>
      <x:c r="D298" s="1"/>
      <x:c r="E298" s="1"/>
      <x:c r="F298" s="1"/>
      <x:c r="G298" s="1"/>
      <x:c r="H298" s="1"/>
      <x:c r="I298" s="1"/>
      <x:c r="J298" s="1"/>
      <x:c r="K298" s="1"/>
      <x:c r="L298" s="1"/>
      <x:c r="M298" s="1"/>
      <x:c r="N298" s="1"/>
      <x:c r="O298" s="1"/>
      <x:c r="P298" s="1"/>
      <x:c r="Q298" s="1"/>
      <x:c r="R298" s="1"/>
      <x:c r="S298" s="1"/>
      <x:c r="T298" s="1"/>
      <x:c r="U298" s="1"/>
      <x:c r="V298" s="1"/>
      <x:c r="W298" s="1"/>
      <x:c r="X298" s="1"/>
      <x:c r="Y298" s="1"/>
      <x:c r="Z298" s="1"/>
    </x:row>
    <x:row r="299">
      <x:c r="A299" s="1"/>
      <x:c r="B299" s="1"/>
      <x:c r="C299" s="1"/>
      <x:c r="D299" s="1"/>
      <x:c r="E299" s="1"/>
      <x:c r="F299" s="1"/>
      <x:c r="G299" s="1"/>
      <x:c r="H299" s="1"/>
      <x:c r="I299" s="1"/>
      <x:c r="J299" s="1"/>
      <x:c r="K299" s="1"/>
      <x:c r="L299" s="1"/>
      <x:c r="M299" s="1"/>
      <x:c r="N299" s="1"/>
      <x:c r="O299" s="1"/>
      <x:c r="P299" s="1"/>
      <x:c r="Q299" s="1"/>
      <x:c r="R299" s="1"/>
      <x:c r="S299" s="1"/>
      <x:c r="T299" s="1"/>
      <x:c r="U299" s="1"/>
      <x:c r="V299" s="1"/>
      <x:c r="W299" s="1"/>
      <x:c r="X299" s="1"/>
      <x:c r="Y299" s="1"/>
      <x:c r="Z299" s="1"/>
    </x:row>
    <x:row r="300">
      <x:c r="A300" s="1"/>
      <x:c r="B300" s="1"/>
      <x:c r="C300" s="1"/>
      <x:c r="D300" s="1"/>
      <x:c r="E300" s="1"/>
      <x:c r="F300" s="1"/>
      <x:c r="G300" s="1"/>
      <x:c r="H300" s="1"/>
      <x:c r="I300" s="1"/>
      <x:c r="J300" s="1"/>
      <x:c r="K300" s="1"/>
      <x:c r="L300" s="1"/>
      <x:c r="M300" s="1"/>
      <x:c r="N300" s="1"/>
      <x:c r="O300" s="1"/>
      <x:c r="P300" s="1"/>
      <x:c r="Q300" s="1"/>
      <x:c r="R300" s="1"/>
      <x:c r="S300" s="1"/>
      <x:c r="T300" s="1"/>
      <x:c r="U300" s="1"/>
      <x:c r="V300" s="1"/>
      <x:c r="W300" s="1"/>
      <x:c r="X300" s="1"/>
      <x:c r="Y300" s="1"/>
      <x:c r="Z300" s="1"/>
    </x:row>
  </x:sheetData>
  <x:mergeCells>
    <x:mergeCell ref="A1:W1"/>
    <x:mergeCell ref="A2:W3"/>
  </x:mergeCells>
  <x:conditionalFormatting sqref="E6:E13">
    <x:cfRule type="cellIs" dxfId="0" priority="1" operator="lessThan">
      <x:formula>0.05</x:formula>
    </x:cfRule>
  </x:conditionalFormatting>
  <x:pageMargins left="0.7" right="0.7" top="0.75" bottom="0.75" header="0.3" footer="0.3"/>
  <x:drawing xmlns:r="http://schemas.openxmlformats.org/officeDocument/2006/relationships" r:id="R75d4b099527a4d0d"/>
  <x:tableParts count="2">
    <x:tablePart xmlns:r="http://schemas.openxmlformats.org/officeDocument/2006/relationships" r:id="Rce2dfa9c7f294bd8"/>
    <x:tablePart xmlns:r="http://schemas.openxmlformats.org/officeDocument/2006/relationships" r:id="Reabf544c94dc46d3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5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30" hidden="0" customWidth="1"/>
    <x:col min="11" max="11" width="12" hidden="0" customWidth="1"/>
    <x:col min="12" max="12" width="17" hidden="0" customWidth="1"/>
    <x:col min="13" max="13" width="17" hidden="0" customWidth="1"/>
    <x:col min="14" max="14" width="17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</x:cols>
  <x:sheetData>
    <x:row r="1" ht="30" customHeight="1">
      <x:c r="A1" s="4" t="str">
        <x:v>Validación fuera de muestra</x:v>
      </x:c>
      <x:c r="B1" s="4" t="str">
        <x:v>Validación fuera de muestra</x:v>
      </x:c>
      <x:c r="C1" s="4" t="str">
        <x:v>Validación fuera de muestra</x:v>
      </x:c>
      <x:c r="D1" s="4" t="str">
        <x:v>Validación fuera de muestra</x:v>
      </x:c>
      <x:c r="E1" s="4" t="str">
        <x:v>Validación fuera de muestra</x:v>
      </x:c>
      <x:c r="F1" s="4" t="str">
        <x:v>Validación fuera de muestra</x:v>
      </x:c>
      <x:c r="G1" s="4" t="str">
        <x:v>Validación fuera de muestra</x:v>
      </x:c>
      <x:c r="H1" s="4" t="str">
        <x:v>Validación fuera de muestra</x:v>
      </x:c>
      <x:c r="I1" s="4" t="str">
        <x:v>Validación fuera de muestra</x:v>
      </x:c>
      <x:c r="J1" s="4" t="str">
        <x:v>Validación fuera de muestra</x:v>
      </x:c>
      <x:c r="K1" s="4" t="str">
        <x:v>Validación fuera de muestra</x:v>
      </x:c>
      <x:c r="L1" s="4" t="str">
        <x:v>Validación fuera de muestra</x:v>
      </x:c>
      <x:c r="M1" s="4" t="str">
        <x:v>Validación fuera de muestra</x:v>
      </x:c>
      <x:c r="N1" s="4" t="str">
        <x:v>Validación fuera de muestra</x:v>
      </x:c>
      <x:c r="O1" s="4" t="str">
        <x:v>Validación fuera de muestra</x:v>
      </x:c>
      <x:c r="P1" s="4" t="str">
        <x:v>Validación fuera de muestra</x:v>
      </x:c>
      <x:c r="Q1" s="4" t="str">
        <x:v>Validación fuera de muestra</x:v>
      </x:c>
      <x:c r="R1" s="4" t="str">
        <x:v>Validación fuera de muestra</x:v>
      </x:c>
      <x:c r="S1" s="1"/>
      <x:c r="T1" s="1"/>
      <x:c r="U1" s="1"/>
      <x:c r="V1" s="1"/>
      <x:c r="W1" s="1"/>
      <x:c r="X1" s="1"/>
      <x:c r="Y1" s="1"/>
      <x:c r="Z1" s="1"/>
    </x:row>
    <x:row r="2" ht="36" customHeight="1">
      <x:c r="A2" s="96" t="str">
        <x:v>Ventana expansiva de 48 meses (mayo de 2022–abril de 2026). La evaluación es condicional: usa valores contemporáneos ya realizados de Brent, dólar amplio y VIX. Es una prueba explicativa, no un pronóstico genuinamente disponible en tiempo real.</x:v>
      </x:c>
      <x:c r="B2" s="96" t="str">
        <x:v>Ventana expansiva de 48 meses (mayo de 2022–abril de 2026). La evaluación es condicional: usa valores contemporáneos ya realizados de Brent, dólar amplio y VIX. Es una prueba explicativa, no un pronóstico genuinamente disponible en tiempo real.</x:v>
      </x:c>
      <x:c r="C2" s="96" t="str">
        <x:v>Ventana expansiva de 48 meses (mayo de 2022–abril de 2026). La evaluación es condicional: usa valores contemporáneos ya realizados de Brent, dólar amplio y VIX. Es una prueba explicativa, no un pronóstico genuinamente disponible en tiempo real.</x:v>
      </x:c>
      <x:c r="D2" s="96" t="str">
        <x:v>Ventana expansiva de 48 meses (mayo de 2022–abril de 2026). La evaluación es condicional: usa valores contemporáneos ya realizados de Brent, dólar amplio y VIX. Es una prueba explicativa, no un pronóstico genuinamente disponible en tiempo real.</x:v>
      </x:c>
      <x:c r="E2" s="96" t="str">
        <x:v>Ventana expansiva de 48 meses (mayo de 2022–abril de 2026). La evaluación es condicional: usa valores contemporáneos ya realizados de Brent, dólar amplio y VIX. Es una prueba explicativa, no un pronóstico genuinamente disponible en tiempo real.</x:v>
      </x:c>
      <x:c r="F2" s="96" t="str">
        <x:v>Ventana expansiva de 48 meses (mayo de 2022–abril de 2026). La evaluación es condicional: usa valores contemporáneos ya realizados de Brent, dólar amplio y VIX. Es una prueba explicativa, no un pronóstico genuinamente disponible en tiempo real.</x:v>
      </x:c>
      <x:c r="G2" s="96" t="str">
        <x:v>Ventana expansiva de 48 meses (mayo de 2022–abril de 2026). La evaluación es condicional: usa valores contemporáneos ya realizados de Brent, dólar amplio y VIX. Es una prueba explicativa, no un pronóstico genuinamente disponible en tiempo real.</x:v>
      </x:c>
      <x:c r="H2" s="96" t="str">
        <x:v>Ventana expansiva de 48 meses (mayo de 2022–abril de 2026). La evaluación es condicional: usa valores contemporáneos ya realizados de Brent, dólar amplio y VIX. Es una prueba explicativa, no un pronóstico genuinamente disponible en tiempo real.</x:v>
      </x:c>
      <x:c r="I2" s="96" t="str">
        <x:v>Ventana expansiva de 48 meses (mayo de 2022–abril de 2026). La evaluación es condicional: usa valores contemporáneos ya realizados de Brent, dólar amplio y VIX. Es una prueba explicativa, no un pronóstico genuinamente disponible en tiempo real.</x:v>
      </x:c>
      <x:c r="J2" s="96" t="str">
        <x:v>Ventana expansiva de 48 meses (mayo de 2022–abril de 2026). La evaluación es condicional: usa valores contemporáneos ya realizados de Brent, dólar amplio y VIX. Es una prueba explicativa, no un pronóstico genuinamente disponible en tiempo real.</x:v>
      </x:c>
      <x:c r="K2" s="96" t="str">
        <x:v>Ventana expansiva de 48 meses (mayo de 2022–abril de 2026). La evaluación es condicional: usa valores contemporáneos ya realizados de Brent, dólar amplio y VIX. Es una prueba explicativa, no un pronóstico genuinamente disponible en tiempo real.</x:v>
      </x:c>
      <x:c r="L2" s="96" t="str">
        <x:v>Ventana expansiva de 48 meses (mayo de 2022–abril de 2026). La evaluación es condicional: usa valores contemporáneos ya realizados de Brent, dólar amplio y VIX. Es una prueba explicativa, no un pronóstico genuinamente disponible en tiempo real.</x:v>
      </x:c>
      <x:c r="M2" s="96" t="str">
        <x:v>Ventana expansiva de 48 meses (mayo de 2022–abril de 2026). La evaluación es condicional: usa valores contemporáneos ya realizados de Brent, dólar amplio y VIX. Es una prueba explicativa, no un pronóstico genuinamente disponible en tiempo real.</x:v>
      </x:c>
      <x:c r="N2" s="96" t="str">
        <x:v>Ventana expansiva de 48 meses (mayo de 2022–abril de 2026). La evaluación es condicional: usa valores contemporáneos ya realizados de Brent, dólar amplio y VIX. Es una prueba explicativa, no un pronóstico genuinamente disponible en tiempo real.</x:v>
      </x:c>
      <x:c r="O2" s="96" t="str">
        <x:v>Ventana expansiva de 48 meses (mayo de 2022–abril de 2026). La evaluación es condicional: usa valores contemporáneos ya realizados de Brent, dólar amplio y VIX. Es una prueba explicativa, no un pronóstico genuinamente disponible en tiempo real.</x:v>
      </x:c>
      <x:c r="P2" s="96" t="str">
        <x:v>Ventana expansiva de 48 meses (mayo de 2022–abril de 2026). La evaluación es condicional: usa valores contemporáneos ya realizados de Brent, dólar amplio y VIX. Es una prueba explicativa, no un pronóstico genuinamente disponible en tiempo real.</x:v>
      </x:c>
      <x:c r="Q2" s="96" t="str">
        <x:v>Ventana expansiva de 48 meses (mayo de 2022–abril de 2026). La evaluación es condicional: usa valores contemporáneos ya realizados de Brent, dólar amplio y VIX. Es una prueba explicativa, no un pronóstico genuinamente disponible en tiempo real.</x:v>
      </x:c>
      <x:c r="R2" s="96" t="str">
        <x:v>Ventana expansiva de 48 meses (mayo de 2022–abril de 2026). La evaluación es condicional: usa valores contemporáneos ya realizados de Brent, dólar amplio y VIX. Es una prueba explicativa, no un pronóstico genuinamente disponible en tiempo real.</x:v>
      </x:c>
      <x:c r="S2" s="1"/>
      <x:c r="T2" s="1"/>
      <x:c r="U2" s="1"/>
      <x:c r="V2" s="1"/>
      <x:c r="W2" s="1"/>
      <x:c r="X2" s="1"/>
      <x:c r="Y2" s="1"/>
      <x:c r="Z2" s="1"/>
    </x:row>
    <x:row r="3" ht="36" customHeight="1">
      <x:c r="A3" s="96" t="str">
        <x:v>Ventana expansiva de 48 meses (mayo de 2022–abril de 2026). La evaluación es condicional: usa valores contemporáneos ya realizados de Brent, dólar amplio y VIX. Es una prueba explicativa, no un pronóstico genuinamente disponible en tiempo real.</x:v>
      </x:c>
      <x:c r="B3" s="96" t="str">
        <x:v>Ventana expansiva de 48 meses (mayo de 2022–abril de 2026). La evaluación es condicional: usa valores contemporáneos ya realizados de Brent, dólar amplio y VIX. Es una prueba explicativa, no un pronóstico genuinamente disponible en tiempo real.</x:v>
      </x:c>
      <x:c r="C3" s="96" t="str">
        <x:v>Ventana expansiva de 48 meses (mayo de 2022–abril de 2026). La evaluación es condicional: usa valores contemporáneos ya realizados de Brent, dólar amplio y VIX. Es una prueba explicativa, no un pronóstico genuinamente disponible en tiempo real.</x:v>
      </x:c>
      <x:c r="D3" s="96" t="str">
        <x:v>Ventana expansiva de 48 meses (mayo de 2022–abril de 2026). La evaluación es condicional: usa valores contemporáneos ya realizados de Brent, dólar amplio y VIX. Es una prueba explicativa, no un pronóstico genuinamente disponible en tiempo real.</x:v>
      </x:c>
      <x:c r="E3" s="96" t="str">
        <x:v>Ventana expansiva de 48 meses (mayo de 2022–abril de 2026). La evaluación es condicional: usa valores contemporáneos ya realizados de Brent, dólar amplio y VIX. Es una prueba explicativa, no un pronóstico genuinamente disponible en tiempo real.</x:v>
      </x:c>
      <x:c r="F3" s="96" t="str">
        <x:v>Ventana expansiva de 48 meses (mayo de 2022–abril de 2026). La evaluación es condicional: usa valores contemporáneos ya realizados de Brent, dólar amplio y VIX. Es una prueba explicativa, no un pronóstico genuinamente disponible en tiempo real.</x:v>
      </x:c>
      <x:c r="G3" s="96" t="str">
        <x:v>Ventana expansiva de 48 meses (mayo de 2022–abril de 2026). La evaluación es condicional: usa valores contemporáneos ya realizados de Brent, dólar amplio y VIX. Es una prueba explicativa, no un pronóstico genuinamente disponible en tiempo real.</x:v>
      </x:c>
      <x:c r="H3" s="96" t="str">
        <x:v>Ventana expansiva de 48 meses (mayo de 2022–abril de 2026). La evaluación es condicional: usa valores contemporáneos ya realizados de Brent, dólar amplio y VIX. Es una prueba explicativa, no un pronóstico genuinamente disponible en tiempo real.</x:v>
      </x:c>
      <x:c r="I3" s="96" t="str">
        <x:v>Ventana expansiva de 48 meses (mayo de 2022–abril de 2026). La evaluación es condicional: usa valores contemporáneos ya realizados de Brent, dólar amplio y VIX. Es una prueba explicativa, no un pronóstico genuinamente disponible en tiempo real.</x:v>
      </x:c>
      <x:c r="J3" s="96" t="str">
        <x:v>Ventana expansiva de 48 meses (mayo de 2022–abril de 2026). La evaluación es condicional: usa valores contemporáneos ya realizados de Brent, dólar amplio y VIX. Es una prueba explicativa, no un pronóstico genuinamente disponible en tiempo real.</x:v>
      </x:c>
      <x:c r="K3" s="96" t="str">
        <x:v>Ventana expansiva de 48 meses (mayo de 2022–abril de 2026). La evaluación es condicional: usa valores contemporáneos ya realizados de Brent, dólar amplio y VIX. Es una prueba explicativa, no un pronóstico genuinamente disponible en tiempo real.</x:v>
      </x:c>
      <x:c r="L3" s="96" t="str">
        <x:v>Ventana expansiva de 48 meses (mayo de 2022–abril de 2026). La evaluación es condicional: usa valores contemporáneos ya realizados de Brent, dólar amplio y VIX. Es una prueba explicativa, no un pronóstico genuinamente disponible en tiempo real.</x:v>
      </x:c>
      <x:c r="M3" s="96" t="str">
        <x:v>Ventana expansiva de 48 meses (mayo de 2022–abril de 2026). La evaluación es condicional: usa valores contemporáneos ya realizados de Brent, dólar amplio y VIX. Es una prueba explicativa, no un pronóstico genuinamente disponible en tiempo real.</x:v>
      </x:c>
      <x:c r="N3" s="96" t="str">
        <x:v>Ventana expansiva de 48 meses (mayo de 2022–abril de 2026). La evaluación es condicional: usa valores contemporáneos ya realizados de Brent, dólar amplio y VIX. Es una prueba explicativa, no un pronóstico genuinamente disponible en tiempo real.</x:v>
      </x:c>
      <x:c r="O3" s="96" t="str">
        <x:v>Ventana expansiva de 48 meses (mayo de 2022–abril de 2026). La evaluación es condicional: usa valores contemporáneos ya realizados de Brent, dólar amplio y VIX. Es una prueba explicativa, no un pronóstico genuinamente disponible en tiempo real.</x:v>
      </x:c>
      <x:c r="P3" s="96" t="str">
        <x:v>Ventana expansiva de 48 meses (mayo de 2022–abril de 2026). La evaluación es condicional: usa valores contemporáneos ya realizados de Brent, dólar amplio y VIX. Es una prueba explicativa, no un pronóstico genuinamente disponible en tiempo real.</x:v>
      </x:c>
      <x:c r="Q3" s="96" t="str">
        <x:v>Ventana expansiva de 48 meses (mayo de 2022–abril de 2026). La evaluación es condicional: usa valores contemporáneos ya realizados de Brent, dólar amplio y VIX. Es una prueba explicativa, no un pronóstico genuinamente disponible en tiempo real.</x:v>
      </x:c>
      <x:c r="R3" s="96" t="str">
        <x:v>Ventana expansiva de 48 meses (mayo de 2022–abril de 2026). La evaluación es condicional: usa valores contemporáneos ya realizados de Brent, dólar amplio y VIX. Es una prueba explicativa, no un pronóstico genuinamente disponible en tiempo real.</x:v>
      </x:c>
      <x:c r="S3" s="1"/>
      <x:c r="T3" s="1"/>
      <x:c r="U3" s="1"/>
      <x:c r="V3" s="1"/>
      <x:c r="W3" s="1"/>
      <x:c r="X3" s="1"/>
      <x:c r="Y3" s="1"/>
      <x:c r="Z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>
      <x:c r="A5" s="54" t="str">
        <x:v>Modelo</x:v>
      </x:c>
      <x:c r="B5" s="54" t="str">
        <x:v>Observaciones</x:v>
      </x:c>
      <x:c r="C5" s="54" t="str">
        <x:v>MAE (log)</x:v>
      </x:c>
      <x:c r="D5" s="54" t="str">
        <x:v>RMSE (log)</x:v>
      </x:c>
      <x:c r="E5" s="54" t="str">
        <x:v>MAPE</x:v>
      </x:c>
      <x:c r="F5" s="54" t="str">
        <x:v>Acierto dirección</x:v>
      </x:c>
      <x:c r="G5" s="1"/>
      <x:c r="H5" s="58" t="str">
        <x:v>Comparación</x:v>
      </x:c>
      <x:c r="I5" s="58" t="str">
        <x:v>Resultado</x:v>
      </x:c>
      <x:c r="J5" s="58" t="str">
        <x:v>Lectura</x:v>
      </x:c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 ht="38" customHeight="1">
      <x:c r="A6" s="29" t="str">
        <x:v>ADL diferencias condicional</x:v>
      </x:c>
      <x:c r="B6" s="29" t="n">
        <x:v>48</x:v>
      </x:c>
      <x:c r="C6" s="98" t="n">
        <x:v>0.020281066169505497</x:v>
      </x:c>
      <x:c r="D6" s="98" t="n">
        <x:v>0.026481453517380876</x:v>
      </x:c>
      <x:c r="E6" s="99" t="n">
        <x:v>0.020259524944389446</x:v>
      </x:c>
      <x:c r="F6" s="99" t="n">
        <x:v>0.7291666666666665</x:v>
      </x:c>
      <x:c r="G6" s="1"/>
      <x:c r="H6" s="59" t="str">
        <x:v>Reducción de MAE</x:v>
      </x:c>
      <x:c r="I6" s="91" t="n">
        <x:v>0.15596701769475974</x:v>
      </x:c>
      <x:c r="J6" s="59" t="str">
        <x:v>Mejora frente a la caminata aleatoria</x:v>
      </x:c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 ht="38" customHeight="1">
      <x:c r="A7" s="1" t="str">
        <x:v>Caminata aleatoria</x:v>
      </x:c>
      <x:c r="B7" s="1" t="n">
        <x:v>48</x:v>
      </x:c>
      <x:c r="C7" s="55" t="n">
        <x:v>0.024028760243602603</x:v>
      </x:c>
      <x:c r="D7" s="55" t="n">
        <x:v>0.03221545509726062</x:v>
      </x:c>
      <x:c r="E7" s="97" t="n">
        <x:v>0.02394031003568149</x:v>
      </x:c>
      <x:c r="F7" s="97"/>
      <x:c r="G7" s="1"/>
      <x:c r="H7" s="59" t="str">
        <x:v>Reducción de RMSE</x:v>
      </x:c>
      <x:c r="I7" s="91" t="n">
        <x:v>0.1779891534224306</x:v>
      </x:c>
      <x:c r="J7" s="59" t="str">
        <x:v>Mejora frente a la caminata aleatoria</x:v>
      </x:c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 ht="38" customHeight="1">
      <x:c r="A8" s="1"/>
      <x:c r="B8" s="1"/>
      <x:c r="C8" s="1"/>
      <x:c r="D8" s="1"/>
      <x:c r="E8" s="1"/>
      <x:c r="F8" s="1"/>
      <x:c r="G8" s="1"/>
      <x:c r="H8" s="59" t="str">
        <x:v>Dirección correcta</x:v>
      </x:c>
      <x:c r="I8" s="91" t="n">
        <x:v>0.7291666666666665</x:v>
      </x:c>
      <x:c r="J8" s="59" t="str">
        <x:v>35 de 48 meses, aproximadamente</x:v>
      </x:c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>
      <x:c r="A9" s="1"/>
      <x:c r="B9" s="1"/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>
      <x:c r="A10" s="1"/>
      <x:c r="B10" s="1"/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 ht="36" customHeight="1">
      <x:c r="A11" s="54" t="str">
        <x:v>Mes</x:v>
      </x:c>
      <x:c r="B11" s="54" t="str">
        <x:v>ln TRM observada</x:v>
      </x:c>
      <x:c r="C11" s="54" t="str">
        <x:v>ln TRM modelo</x:v>
      </x:c>
      <x:c r="D11" s="54" t="str">
        <x:v>ln TRM caminata</x:v>
      </x:c>
      <x:c r="E11" s="54" t="str">
        <x:v>Δln observado</x:v>
      </x:c>
      <x:c r="F11" s="54" t="str">
        <x:v>Δln modelo</x:v>
      </x:c>
      <x:c r="G11" s="54" t="str">
        <x:v>TRM observada</x:v>
      </x:c>
      <x:c r="H11" s="54" t="str">
        <x:v>TRM modelo</x:v>
      </x:c>
      <x:c r="I11" s="54" t="str">
        <x:v>TRM caminata</x:v>
      </x:c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>
      <x:c r="A12" s="1" t="str">
        <x:v>2022-05</x:v>
      </x:c>
      <x:c r="B12" s="87" t="n">
        <x:v>8.298808139175573</x:v>
      </x:c>
      <x:c r="C12" s="87" t="n">
        <x:v>8.261837218975415</x:v>
      </x:c>
      <x:c r="D12" s="87" t="n">
        <x:v>8.240907796093667</x:v>
      </x:c>
      <x:c r="E12" s="87" t="n">
        <x:v>0.05790034308190606</x:v>
      </x:c>
      <x:c r="F12" s="87" t="n">
        <x:v>0.020929422881748233</x:v>
      </x:c>
      <x:c r="G12" s="79" t="n">
        <x:v>4019.079354838708</x:v>
      </x:c>
      <x:c r="H12" s="79" t="n">
        <x:v>3873.203490676747</x:v>
      </x:c>
      <x:c r="I12" s="79" t="n">
        <x:v>3792.9819999999972</x:v>
      </x:c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>
      <x:c r="A13" s="1" t="str">
        <x:v>2022-06</x:v>
      </x:c>
      <x:c r="B13" s="87" t="n">
        <x:v>8.276589766414325</x:v>
      </x:c>
      <x:c r="C13" s="87" t="n">
        <x:v>8.294699521214834</x:v>
      </x:c>
      <x:c r="D13" s="87" t="n">
        <x:v>8.298808139175573</x:v>
      </x:c>
      <x:c r="E13" s="87" t="n">
        <x:v>-0.022218372761248162</x:v>
      </x:c>
      <x:c r="F13" s="87" t="n">
        <x:v>-0.004108617960739057</x:v>
      </x:c>
      <x:c r="G13" s="79" t="n">
        <x:v>3930.766666666666</x:v>
      </x:c>
      <x:c r="H13" s="79" t="n">
        <x:v>4002.6003693251614</x:v>
      </x:c>
      <x:c r="I13" s="79" t="n">
        <x:v>4019.079354838708</x:v>
      </x:c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>
      <x:c r="A14" s="1" t="str">
        <x:v>2022-07</x:v>
      </x:c>
      <x:c r="B14" s="87" t="n">
        <x:v>8.382016058206503</x:v>
      </x:c>
      <x:c r="C14" s="87" t="n">
        <x:v>8.31153751020807</x:v>
      </x:c>
      <x:c r="D14" s="87" t="n">
        <x:v>8.276589766414325</x:v>
      </x:c>
      <x:c r="E14" s="87" t="n">
        <x:v>0.10542629179217755</x:v>
      </x:c>
      <x:c r="F14" s="87" t="n">
        <x:v>0.03494774379374519</x:v>
      </x:c>
      <x:c r="G14" s="79" t="n">
        <x:v>4367.805806451614</x:v>
      </x:c>
      <x:c r="H14" s="79" t="n">
        <x:v>4070.5667127610163</x:v>
      </x:c>
      <x:c r="I14" s="79" t="n">
        <x:v>3930.766666666666</x:v>
      </x:c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>
      <x:c r="A15" s="1" t="str">
        <x:v>2022-08</x:v>
      </x:c>
      <x:c r="B15" s="87" t="n">
        <x:v>8.371582127847805</x:v>
      </x:c>
      <x:c r="C15" s="87" t="n">
        <x:v>8.3693746272281</x:v>
      </x:c>
      <x:c r="D15" s="87" t="n">
        <x:v>8.382016058206503</x:v>
      </x:c>
      <x:c r="E15" s="87" t="n">
        <x:v>-0.010433930358697552</x:v>
      </x:c>
      <x:c r="F15" s="87" t="n">
        <x:v>-0.012641430978403544</x:v>
      </x:c>
      <x:c r="G15" s="79" t="n">
        <x:v>4322.469354838713</x:v>
      </x:c>
      <x:c r="H15" s="79" t="n">
        <x:v>4312.938025137917</x:v>
      </x:c>
      <x:c r="I15" s="79" t="n">
        <x:v>4367.805806451614</x:v>
      </x:c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>
      <x:c r="A16" s="1" t="str">
        <x:v>2022-09</x:v>
      </x:c>
      <x:c r="B16" s="87" t="n">
        <x:v>8.396978677110038</x:v>
      </x:c>
      <x:c r="C16" s="87" t="n">
        <x:v>8.414853005667668</x:v>
      </x:c>
      <x:c r="D16" s="87" t="n">
        <x:v>8.371582127847805</x:v>
      </x:c>
      <x:c r="E16" s="87" t="n">
        <x:v>0.02539654926223278</x:v>
      </x:c>
      <x:c r="F16" s="87" t="n">
        <x:v>0.043270877819863066</x:v>
      </x:c>
      <x:c r="G16" s="79" t="n">
        <x:v>4433.650999999996</x:v>
      </x:c>
      <x:c r="H16" s="79" t="n">
        <x:v>4513.612030655458</x:v>
      </x:c>
      <x:c r="I16" s="79" t="n">
        <x:v>4322.469354838713</x:v>
      </x:c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>
      <x:c r="A17" s="1" t="str">
        <x:v>2022-10</x:v>
      </x:c>
      <x:c r="B17" s="87" t="n">
        <x:v>8.457831715043978</x:v>
      </x:c>
      <x:c r="C17" s="87" t="n">
        <x:v>8.42266238962143</x:v>
      </x:c>
      <x:c r="D17" s="87" t="n">
        <x:v>8.396978677110038</x:v>
      </x:c>
      <x:c r="E17" s="87" t="n">
        <x:v>0.06085303793394026</x:v>
      </x:c>
      <x:c r="F17" s="87" t="n">
        <x:v>0.025683712511390375</x:v>
      </x:c>
      <x:c r="G17" s="79" t="n">
        <x:v>4711.830322580648</x:v>
      </x:c>
      <x:c r="H17" s="79" t="n">
        <x:v>4548.998553652163</x:v>
      </x:c>
      <x:c r="I17" s="79" t="n">
        <x:v>4433.650999999996</x:v>
      </x:c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>
      <x:c r="A18" s="1" t="str">
        <x:v>2022-11</x:v>
      </x:c>
      <x:c r="B18" s="87" t="n">
        <x:v>8.502416687971365</x:v>
      </x:c>
      <x:c r="C18" s="87" t="n">
        <x:v>8.419837604682261</x:v>
      </x:c>
      <x:c r="D18" s="87" t="n">
        <x:v>8.457831715043978</x:v>
      </x:c>
      <x:c r="E18" s="87" t="n">
        <x:v>0.044584972927387057</x:v>
      </x:c>
      <x:c r="F18" s="87" t="n">
        <x:v>-0.037994110361717216</x:v>
      </x:c>
      <x:c r="G18" s="79" t="n">
        <x:v>4926.660666666665</x:v>
      </x:c>
      <x:c r="H18" s="79" t="n">
        <x:v>4536.166743134576</x:v>
      </x:c>
      <x:c r="I18" s="79" t="n">
        <x:v>4711.830322580648</x:v>
      </x:c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>
      <x:c r="A19" s="1" t="str">
        <x:v>2022-12</x:v>
      </x:c>
      <x:c r="B19" s="87" t="n">
        <x:v>8.473970535354521</x:v>
      </x:c>
      <x:c r="C19" s="87" t="n">
        <x:v>8.475920809182897</x:v>
      </x:c>
      <x:c r="D19" s="87" t="n">
        <x:v>8.502416687971365</x:v>
      </x:c>
      <x:c r="E19" s="87" t="n">
        <x:v>-0.028446152616844245</x:v>
      </x:c>
      <x:c r="F19" s="87" t="n">
        <x:v>-0.02649587878846793</x:v>
      </x:c>
      <x:c r="G19" s="79" t="n">
        <x:v>4788.490645161287</x:v>
      </x:c>
      <x:c r="H19" s="79" t="n">
        <x:v>4797.8386257419315</x:v>
      </x:c>
      <x:c r="I19" s="79" t="n">
        <x:v>4926.660666666665</x:v>
      </x:c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>
      <x:c r="A20" s="1" t="str">
        <x:v>2023-01</x:v>
      </x:c>
      <x:c r="B20" s="87" t="n">
        <x:v>8.458547432938246</x:v>
      </x:c>
      <x:c r="C20" s="87" t="n">
        <x:v>8.44549316861583</x:v>
      </x:c>
      <x:c r="D20" s="87" t="n">
        <x:v>8.473970535354521</x:v>
      </x:c>
      <x:c r="E20" s="87" t="n">
        <x:v>-0.015423102416274759</x:v>
      </x:c>
      <x:c r="F20" s="87" t="n">
        <x:v>-0.028477366738691678</x:v>
      </x:c>
      <x:c r="G20" s="79" t="n">
        <x:v>4715.203870967738</x:v>
      </x:c>
      <x:c r="H20" s="79" t="n">
        <x:v>4654.050378675888</x:v>
      </x:c>
      <x:c r="I20" s="79" t="n">
        <x:v>4788.490645161287</x:v>
      </x:c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>
      <x:c r="A21" s="1" t="str">
        <x:v>2023-02</x:v>
      </x:c>
      <x:c r="B21" s="87" t="n">
        <x:v>8.477019424251225</x:v>
      </x:c>
      <x:c r="C21" s="87" t="n">
        <x:v>8.462706258459823</x:v>
      </x:c>
      <x:c r="D21" s="87" t="n">
        <x:v>8.458547432938246</x:v>
      </x:c>
      <x:c r="E21" s="87" t="n">
        <x:v>0.018471991312978275</x:v>
      </x:c>
      <x:c r="F21" s="87" t="n">
        <x:v>0.004158825521577159</x:v>
      </x:c>
      <x:c r="G21" s="79" t="n">
        <x:v>4803.112499999996</x:v>
      </x:c>
      <x:c r="H21" s="79" t="n">
        <x:v>4734.854414433899</x:v>
      </x:c>
      <x:c r="I21" s="79" t="n">
        <x:v>4715.203870967738</x:v>
      </x:c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>
      <x:c r="A22" s="1" t="str">
        <x:v>2023-03</x:v>
      </x:c>
      <x:c r="B22" s="87" t="n">
        <x:v>8.469326819773904</x:v>
      </x:c>
      <x:c r="C22" s="87" t="n">
        <x:v>8.488176691915116</x:v>
      </x:c>
      <x:c r="D22" s="87" t="n">
        <x:v>8.477019424251225</x:v>
      </x:c>
      <x:c r="E22" s="87" t="n">
        <x:v>-0.007692604477320231</x:v>
      </x:c>
      <x:c r="F22" s="87" t="n">
        <x:v>0.011157267663891458</x:v>
      </x:c>
      <x:c r="G22" s="79" t="n">
        <x:v>4766.3058064516135</x:v>
      </x:c>
      <x:c r="H22" s="79" t="n">
        <x:v>4857.002183558929</x:v>
      </x:c>
      <x:c r="I22" s="79" t="n">
        <x:v>4803.112499999996</x:v>
      </x:c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>
      <x:c r="A23" s="1" t="str">
        <x:v>2023-04</x:v>
      </x:c>
      <x:c r="B23" s="87" t="n">
        <x:v>8.421271177813114</x:v>
      </x:c>
      <x:c r="C23" s="87" t="n">
        <x:v>8.447826685872661</x:v>
      </x:c>
      <x:c r="D23" s="87" t="n">
        <x:v>8.469326819773904</x:v>
      </x:c>
      <x:c r="E23" s="87" t="n">
        <x:v>-0.04805564196079004</x:v>
      </x:c>
      <x:c r="F23" s="87" t="n">
        <x:v>-0.021500133901243643</x:v>
      </x:c>
      <x:c r="G23" s="79" t="n">
        <x:v>4542.674333333336</x:v>
      </x:c>
      <x:c r="H23" s="79" t="n">
        <x:v>4664.923366767471</x:v>
      </x:c>
      <x:c r="I23" s="79" t="n">
        <x:v>4766.3058064516135</x:v>
      </x:c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>
      <x:c r="A24" s="1" t="str">
        <x:v>2023-05</x:v>
      </x:c>
      <x:c r="B24" s="87" t="n">
        <x:v>8.420701901472638</x:v>
      </x:c>
      <x:c r="C24" s="87" t="n">
        <x:v>8.429517258135206</x:v>
      </x:c>
      <x:c r="D24" s="87" t="n">
        <x:v>8.421271177813114</x:v>
      </x:c>
      <x:c r="E24" s="87" t="n">
        <x:v>-0.0005692763404763213</x:v>
      </x:c>
      <x:c r="F24" s="87" t="n">
        <x:v>0.008246080322092529</x:v>
      </x:c>
      <x:c r="G24" s="79" t="n">
        <x:v>4540.089032258067</x:v>
      </x:c>
      <x:c r="H24" s="79" t="n">
        <x:v>4580.288462187275</x:v>
      </x:c>
      <x:c r="I24" s="79" t="n">
        <x:v>4542.674333333336</x:v>
      </x:c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>
      <x:c r="A25" s="1" t="str">
        <x:v>2023-06</x:v>
      </x:c>
      <x:c r="B25" s="87" t="n">
        <x:v>8.345044039825018</x:v>
      </x:c>
      <x:c r="C25" s="87" t="n">
        <x:v>8.410409199462775</x:v>
      </x:c>
      <x:c r="D25" s="87" t="n">
        <x:v>8.420701901472638</x:v>
      </x:c>
      <x:c r="E25" s="87" t="n">
        <x:v>-0.07565786164762045</x:v>
      </x:c>
      <x:c r="F25" s="87" t="n">
        <x:v>-0.010292702009863671</x:v>
      </x:c>
      <x:c r="G25" s="79" t="n">
        <x:v>4209.267999999998</x:v>
      </x:c>
      <x:c r="H25" s="79" t="n">
        <x:v>4493.598913647849</x:v>
      </x:c>
      <x:c r="I25" s="79" t="n">
        <x:v>4540.089032258067</x:v>
      </x:c>
      <x:c r="J25" s="1"/>
      <x:c r="K25" s="54" t="str">
        <x:v>Mes</x:v>
      </x:c>
      <x:c r="L25" s="54" t="str">
        <x:v>TRM observada</x:v>
      </x:c>
      <x:c r="M25" s="54" t="str">
        <x:v>Modelo condicional</x:v>
      </x:c>
      <x:c r="N25" s="54" t="str">
        <x:v>Caminata aleatoria</x:v>
      </x:c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>
      <x:c r="A26" s="1" t="str">
        <x:v>2023-07</x:v>
      </x:c>
      <x:c r="B26" s="87" t="n">
        <x:v>8.311209943353095</x:v>
      </x:c>
      <x:c r="C26" s="87" t="n">
        <x:v>8.326897699268928</x:v>
      </x:c>
      <x:c r="D26" s="87" t="n">
        <x:v>8.345044039825018</x:v>
      </x:c>
      <x:c r="E26" s="87" t="n">
        <x:v>-0.03383409647192259</x:v>
      </x:c>
      <x:c r="F26" s="87" t="n">
        <x:v>-0.018146340556089626</x:v>
      </x:c>
      <x:c r="G26" s="79" t="n">
        <x:v>4069.2335483870993</x:v>
      </x:c>
      <x:c r="H26" s="79" t="n">
        <x:v>4133.574050564003</x:v>
      </x:c>
      <x:c r="I26" s="79" t="n">
        <x:v>4209.267999999998</x:v>
      </x:c>
      <x:c r="J26" s="1"/>
      <x:c r="K26" s="1" t="str">
        <x:f>A12</x:f>
        <x:v>2022-05</x:v>
      </x:c>
      <x:c r="L26" s="71" t="n">
        <x:f>G12</x:f>
        <x:v>4019.079354838708</x:v>
      </x:c>
      <x:c r="M26" s="71" t="n">
        <x:f>H12</x:f>
        <x:v>3873.203490676747</x:v>
      </x:c>
      <x:c r="N26" s="71" t="n">
        <x:f>I12</x:f>
        <x:v>3792.9819999999972</x:v>
      </x:c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>
      <x:c r="A27" s="1" t="str">
        <x:v>2023-08</x:v>
      </x:c>
      <x:c r="B27" s="87" t="n">
        <x:v>8.311576434873045</x:v>
      </x:c>
      <x:c r="C27" s="87" t="n">
        <x:v>8.328544079749841</x:v>
      </x:c>
      <x:c r="D27" s="87" t="n">
        <x:v>8.311209943353095</x:v>
      </x:c>
      <x:c r="E27" s="87" t="n">
        <x:v>0.00036649151994971874</x:v>
      </x:c>
      <x:c r="F27" s="87" t="n">
        <x:v>0.017334136396746566</x:v>
      </x:c>
      <x:c r="G27" s="79" t="n">
        <x:v>4070.7251612903224</x:v>
      </x:c>
      <x:c r="H27" s="79" t="n">
        <x:v>4140.385091441157</x:v>
      </x:c>
      <x:c r="I27" s="79" t="n">
        <x:v>4069.2335483870993</x:v>
      </x:c>
      <x:c r="J27" s="1"/>
      <x:c r="K27" s="1" t="str">
        <x:f>A13</x:f>
        <x:v>2022-06</x:v>
      </x:c>
      <x:c r="L27" s="71" t="n">
        <x:f>G13</x:f>
        <x:v>3930.766666666666</x:v>
      </x:c>
      <x:c r="M27" s="71" t="n">
        <x:f>H13</x:f>
        <x:v>4002.6003693251614</x:v>
      </x:c>
      <x:c r="N27" s="71" t="n">
        <x:f>I13</x:f>
        <x:v>4019.079354838708</x:v>
      </x:c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>
      <x:c r="A28" s="1" t="str">
        <x:v>2023-09</x:v>
      </x:c>
      <x:c r="B28" s="87" t="n">
        <x:v>8.295179168611119</x:v>
      </x:c>
      <x:c r="C28" s="87" t="n">
        <x:v>8.32952511411849</x:v>
      </x:c>
      <x:c r="D28" s="87" t="n">
        <x:v>8.311576434873045</x:v>
      </x:c>
      <x:c r="E28" s="87" t="n">
        <x:v>-0.016397266261925836</x:v>
      </x:c>
      <x:c r="F28" s="87" t="n">
        <x:v>0.017948679245444958</x:v>
      </x:c>
      <x:c r="G28" s="79" t="n">
        <x:v>4004.52066666667</x:v>
      </x:c>
      <x:c r="H28" s="79" t="n">
        <x:v>4144.448944579166</x:v>
      </x:c>
      <x:c r="I28" s="79" t="n">
        <x:v>4070.7251612903224</x:v>
      </x:c>
      <x:c r="J28" s="1"/>
      <x:c r="K28" s="1" t="str">
        <x:f>A14</x:f>
        <x:v>2022-07</x:v>
      </x:c>
      <x:c r="L28" s="71" t="n">
        <x:f>G14</x:f>
        <x:v>4367.805806451614</x:v>
      </x:c>
      <x:c r="M28" s="71" t="n">
        <x:f>H14</x:f>
        <x:v>4070.5667127610163</x:v>
      </x:c>
      <x:c r="N28" s="71" t="n">
        <x:f>I14</x:f>
        <x:v>3930.766666666666</x:v>
      </x:c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>
      <x:c r="A29" s="1" t="str">
        <x:v>2023-10</x:v>
      </x:c>
      <x:c r="B29" s="87" t="n">
        <x:v>8.348166834656725</x:v>
      </x:c>
      <x:c r="C29" s="87" t="n">
        <x:v>8.329062142147897</x:v>
      </x:c>
      <x:c r="D29" s="87" t="n">
        <x:v>8.295179168611119</x:v>
      </x:c>
      <x:c r="E29" s="87" t="n">
        <x:v>0.05298766604560612</x:v>
      </x:c>
      <x:c r="F29" s="87" t="n">
        <x:v>0.03388297353677766</x:v>
      </x:c>
      <x:c r="G29" s="79" t="n">
        <x:v>4222.433225806451</x:v>
      </x:c>
      <x:c r="H29" s="79" t="n">
        <x:v>4142.5306249826435</x:v>
      </x:c>
      <x:c r="I29" s="79" t="n">
        <x:v>4004.52066666667</x:v>
      </x:c>
      <x:c r="J29" s="1"/>
      <x:c r="K29" s="1" t="str">
        <x:f>A15</x:f>
        <x:v>2022-08</x:v>
      </x:c>
      <x:c r="L29" s="71" t="n">
        <x:f>G15</x:f>
        <x:v>4322.469354838713</x:v>
      </x:c>
      <x:c r="M29" s="71" t="n">
        <x:f>H15</x:f>
        <x:v>4312.938025137917</x:v>
      </x:c>
      <x:c r="N29" s="71" t="n">
        <x:f>I15</x:f>
        <x:v>4367.805806451614</x:v>
      </x:c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>
      <x:c r="A30" s="1" t="str">
        <x:v>2023-11</x:v>
      </x:c>
      <x:c r="B30" s="87" t="n">
        <x:v>8.303704052588216</x:v>
      </x:c>
      <x:c r="C30" s="87" t="n">
        <x:v>8.319184713513879</x:v>
      </x:c>
      <x:c r="D30" s="87" t="n">
        <x:v>8.348166834656725</x:v>
      </x:c>
      <x:c r="E30" s="87" t="n">
        <x:v>-0.044462782068508844</x:v>
      </x:c>
      <x:c r="F30" s="87" t="n">
        <x:v>-0.0289821211428452</x:v>
      </x:c>
      <x:c r="G30" s="79" t="n">
        <x:v>4038.804666666669</x:v>
      </x:c>
      <x:c r="H30" s="79" t="n">
        <x:v>4101.814490759001</x:v>
      </x:c>
      <x:c r="I30" s="79" t="n">
        <x:v>4222.433225806451</x:v>
      </x:c>
      <x:c r="J30" s="1"/>
      <x:c r="K30" s="1" t="str">
        <x:f>A16</x:f>
        <x:v>2022-09</x:v>
      </x:c>
      <x:c r="L30" s="71" t="n">
        <x:f>G16</x:f>
        <x:v>4433.650999999996</x:v>
      </x:c>
      <x:c r="M30" s="71" t="n">
        <x:f>H16</x:f>
        <x:v>4513.612030655458</x:v>
      </x:c>
      <x:c r="N30" s="71" t="n">
        <x:f>I16</x:f>
        <x:v>4322.469354838713</x:v>
      </x:c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>
      <x:c r="A31" s="1" t="str">
        <x:v>2023-12</x:v>
      </x:c>
      <x:c r="B31" s="87" t="n">
        <x:v>8.281016773597672</x:v>
      </x:c>
      <x:c r="C31" s="87" t="n">
        <x:v>8.2926212337985</x:v>
      </x:c>
      <x:c r="D31" s="87" t="n">
        <x:v>8.303704052588216</x:v>
      </x:c>
      <x:c r="E31" s="87" t="n">
        <x:v>-0.022687278990543902</x:v>
      </x:c>
      <x:c r="F31" s="87" t="n">
        <x:v>-0.011082818789717048</x:v>
      </x:c>
      <x:c r="G31" s="79" t="n">
        <x:v>3948.2067741935466</x:v>
      </x:c>
      <x:c r="H31" s="79" t="n">
        <x:v>3994.2904535327552</x:v>
      </x:c>
      <x:c r="I31" s="79" t="n">
        <x:v>4038.804666666669</x:v>
      </x:c>
      <x:c r="J31" s="1"/>
      <x:c r="K31" s="1" t="str">
        <x:f>A17</x:f>
        <x:v>2022-10</x:v>
      </x:c>
      <x:c r="L31" s="71" t="n">
        <x:f>G17</x:f>
        <x:v>4711.830322580648</x:v>
      </x:c>
      <x:c r="M31" s="71" t="n">
        <x:f>H17</x:f>
        <x:v>4548.998553652163</x:v>
      </x:c>
      <x:c r="N31" s="71" t="n">
        <x:f>I17</x:f>
        <x:v>4433.650999999996</x:v>
      </x:c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>
      <x:c r="A32" s="1" t="str">
        <x:v>2024-01</x:v>
      </x:c>
      <x:c r="B32" s="87" t="n">
        <x:v>8.272621363120876</x:v>
      </x:c>
      <x:c r="C32" s="87" t="n">
        <x:v>8.288948820165507</x:v>
      </x:c>
      <x:c r="D32" s="87" t="n">
        <x:v>8.281016773597672</x:v>
      </x:c>
      <x:c r="E32" s="87" t="n">
        <x:v>-0.008395410476795817</x:v>
      </x:c>
      <x:c r="F32" s="87" t="n">
        <x:v>0.007932046567834366</x:v>
      </x:c>
      <x:c r="G32" s="79" t="n">
        <x:v>3915.1987096774164</x:v>
      </x:c>
      <x:c r="H32" s="79" t="n">
        <x:v>3979.6486686180165</x:v>
      </x:c>
      <x:c r="I32" s="79" t="n">
        <x:v>3948.2067741935466</x:v>
      </x:c>
      <x:c r="J32" s="1"/>
      <x:c r="K32" s="1" t="str">
        <x:f>A18</x:f>
        <x:v>2022-11</x:v>
      </x:c>
      <x:c r="L32" s="71" t="n">
        <x:f>G18</x:f>
        <x:v>4926.660666666665</x:v>
      </x:c>
      <x:c r="M32" s="71" t="n">
        <x:f>H18</x:f>
        <x:v>4536.166743134576</x:v>
      </x:c>
      <x:c r="N32" s="71" t="n">
        <x:f>I18</x:f>
        <x:v>4711.830322580648</x:v>
      </x:c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>
      <x:c r="A33" s="1" t="str">
        <x:v>2024-02</x:v>
      </x:c>
      <x:c r="B33" s="87" t="n">
        <x:v>8.276760699123423</x:v>
      </x:c>
      <x:c r="C33" s="87" t="n">
        <x:v>8.28611203284962</x:v>
      </x:c>
      <x:c r="D33" s="87" t="n">
        <x:v>8.272621363120876</x:v>
      </x:c>
      <x:c r="E33" s="87" t="n">
        <x:v>0.004139336002547012</x:v>
      </x:c>
      <x:c r="F33" s="87" t="n">
        <x:v>0.013490669728742646</x:v>
      </x:c>
      <x:c r="G33" s="79" t="n">
        <x:v>3931.4386206896565</x:v>
      </x:c>
      <x:c r="H33" s="79" t="n">
        <x:v>3968.3752494595365</x:v>
      </x:c>
      <x:c r="I33" s="79" t="n">
        <x:v>3915.1987096774164</x:v>
      </x:c>
      <x:c r="J33" s="1"/>
      <x:c r="K33" s="1" t="str">
        <x:f>A19</x:f>
        <x:v>2022-12</x:v>
      </x:c>
      <x:c r="L33" s="71" t="n">
        <x:f>G19</x:f>
        <x:v>4788.490645161287</x:v>
      </x:c>
      <x:c r="M33" s="71" t="n">
        <x:f>H19</x:f>
        <x:v>4797.8386257419315</x:v>
      </x:c>
      <x:c r="N33" s="71" t="n">
        <x:f>I19</x:f>
        <x:v>4926.660666666665</x:v>
      </x:c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>
      <x:c r="A34" s="1" t="str">
        <x:v>2024-03</x:v>
      </x:c>
      <x:c r="B34" s="87" t="n">
        <x:v>8.268562917935254</x:v>
      </x:c>
      <x:c r="C34" s="87" t="n">
        <x:v>8.276227244088831</x:v>
      </x:c>
      <x:c r="D34" s="87" t="n">
        <x:v>8.276760699123423</x:v>
      </x:c>
      <x:c r="E34" s="87" t="n">
        <x:v>-0.008197781188169273</x:v>
      </x:c>
      <x:c r="F34" s="87" t="n">
        <x:v>-0.0005334550345920106</x:v>
      </x:c>
      <x:c r="G34" s="79" t="n">
        <x:v>3899.3412903225835</x:v>
      </x:c>
      <x:c r="H34" s="79" t="n">
        <x:v>3929.341934257948</x:v>
      </x:c>
      <x:c r="I34" s="79" t="n">
        <x:v>3931.4386206896565</x:v>
      </x:c>
      <x:c r="J34" s="1"/>
      <x:c r="K34" s="1" t="str">
        <x:f>A20</x:f>
        <x:v>2023-01</x:v>
      </x:c>
      <x:c r="L34" s="71" t="n">
        <x:f>G20</x:f>
        <x:v>4715.203870967738</x:v>
      </x:c>
      <x:c r="M34" s="71" t="n">
        <x:f>H20</x:f>
        <x:v>4654.050378675888</x:v>
      </x:c>
      <x:c r="N34" s="71" t="n">
        <x:f>I20</x:f>
        <x:v>4788.490645161287</x:v>
      </x:c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>
      <x:c r="A35" s="1" t="str">
        <x:v>2024-04</x:v>
      </x:c>
      <x:c r="B35" s="87" t="n">
        <x:v>8.26048647944151</x:v>
      </x:c>
      <x:c r="C35" s="87" t="n">
        <x:v>8.288732643884352</x:v>
      </x:c>
      <x:c r="D35" s="87" t="n">
        <x:v>8.268562917935254</x:v>
      </x:c>
      <x:c r="E35" s="87" t="n">
        <x:v>-0.00807643849374351</x:v>
      </x:c>
      <x:c r="F35" s="87" t="n">
        <x:v>0.0201697259490982</x:v>
      </x:c>
      <x:c r="G35" s="79" t="n">
        <x:v>3867.9753333333356</x:v>
      </x:c>
      <x:c r="H35" s="79" t="n">
        <x:v>3978.788455950669</x:v>
      </x:c>
      <x:c r="I35" s="79" t="n">
        <x:v>3899.3412903225835</x:v>
      </x:c>
      <x:c r="J35" s="1"/>
      <x:c r="K35" s="1" t="str">
        <x:f>A21</x:f>
        <x:v>2023-02</x:v>
      </x:c>
      <x:c r="L35" s="71" t="n">
        <x:f>G21</x:f>
        <x:v>4803.112499999996</x:v>
      </x:c>
      <x:c r="M35" s="71" t="n">
        <x:f>H21</x:f>
        <x:v>4734.854414433899</x:v>
      </x:c>
      <x:c r="N35" s="71" t="n">
        <x:f>I21</x:f>
        <x:v>4715.203870967738</x:v>
      </x:c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>
      <x:c r="A36" s="1" t="str">
        <x:v>2024-05</x:v>
      </x:c>
      <x:c r="B36" s="87" t="n">
        <x:v>8.260777367585563</x:v>
      </x:c>
      <x:c r="C36" s="87" t="n">
        <x:v>8.268098834611507</x:v>
      </x:c>
      <x:c r="D36" s="87" t="n">
        <x:v>8.26048647944151</x:v>
      </x:c>
      <x:c r="E36" s="87" t="n">
        <x:v>0.00029088814405220376</x:v>
      </x:c>
      <x:c r="F36" s="87" t="n">
        <x:v>0.007612355169995921</x:v>
      </x:c>
      <x:c r="G36" s="79" t="n">
        <x:v>3869.100645161288</x:v>
      </x:c>
      <x:c r="H36" s="79" t="n">
        <x:v>3897.532090898259</x:v>
      </x:c>
      <x:c r="I36" s="79" t="n">
        <x:v>3867.9753333333356</x:v>
      </x:c>
      <x:c r="J36" s="1"/>
      <x:c r="K36" s="1" t="str">
        <x:f>A22</x:f>
        <x:v>2023-03</x:v>
      </x:c>
      <x:c r="L36" s="71" t="n">
        <x:f>G22</x:f>
        <x:v>4766.3058064516135</x:v>
      </x:c>
      <x:c r="M36" s="71" t="n">
        <x:f>H22</x:f>
        <x:v>4857.002183558929</x:v>
      </x:c>
      <x:c r="N36" s="71" t="n">
        <x:f>I22</x:f>
        <x:v>4803.112499999996</x:v>
      </x:c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>
      <x:c r="A37" s="1" t="str">
        <x:v>2024-06</x:v>
      </x:c>
      <x:c r="B37" s="87" t="n">
        <x:v>8.304692058140274</x:v>
      </x:c>
      <x:c r="C37" s="87" t="n">
        <x:v>8.285575243337954</x:v>
      </x:c>
      <x:c r="D37" s="87" t="n">
        <x:v>8.260777367585563</x:v>
      </x:c>
      <x:c r="E37" s="87" t="n">
        <x:v>0.0439146905547112</x:v>
      </x:c>
      <x:c r="F37" s="87" t="n">
        <x:v>0.02479787575239123</x:v>
      </x:c>
      <x:c r="G37" s="79" t="n">
        <x:v>4042.7970000000014</x:v>
      </x:c>
      <x:c r="H37" s="79" t="n">
        <x:v>3966.2456388747237</x:v>
      </x:c>
      <x:c r="I37" s="79" t="n">
        <x:v>3869.100645161288</x:v>
      </x:c>
      <x:c r="J37" s="1"/>
      <x:c r="K37" s="1" t="str">
        <x:f>A23</x:f>
        <x:v>2023-04</x:v>
      </x:c>
      <x:c r="L37" s="71" t="n">
        <x:f>G23</x:f>
        <x:v>4542.674333333336</x:v>
      </x:c>
      <x:c r="M37" s="71" t="n">
        <x:f>H23</x:f>
        <x:v>4664.923366767471</x:v>
      </x:c>
      <x:c r="N37" s="71" t="n">
        <x:f>I23</x:f>
        <x:v>4766.3058064516135</x:v>
      </x:c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>
      <x:c r="A38" s="1" t="str">
        <x:v>2024-07</x:v>
      </x:c>
      <x:c r="B38" s="87" t="n">
        <x:v>8.30323778340659</x:v>
      </x:c>
      <x:c r="C38" s="87" t="n">
        <x:v>8.312678386827129</x:v>
      </x:c>
      <x:c r="D38" s="87" t="n">
        <x:v>8.304692058140274</x:v>
      </x:c>
      <x:c r="E38" s="87" t="n">
        <x:v>-0.001454274733683647</x:v>
      </x:c>
      <x:c r="F38" s="87" t="n">
        <x:v>0.007986328686853627</x:v>
      </x:c>
      <x:c r="G38" s="79" t="n">
        <x:v>4036.92193548387</x:v>
      </x:c>
      <x:c r="H38" s="79" t="n">
        <x:v>4075.213377281366</x:v>
      </x:c>
      <x:c r="I38" s="79" t="n">
        <x:v>4042.7970000000014</x:v>
      </x:c>
      <x:c r="J38" s="1"/>
      <x:c r="K38" s="1" t="str">
        <x:f>A24</x:f>
        <x:v>2023-05</x:v>
      </x:c>
      <x:c r="L38" s="71" t="n">
        <x:f>G24</x:f>
        <x:v>4540.089032258067</x:v>
      </x:c>
      <x:c r="M38" s="71" t="n">
        <x:f>H24</x:f>
        <x:v>4580.288462187275</x:v>
      </x:c>
      <x:c r="N38" s="71" t="n">
        <x:f>I24</x:f>
        <x:v>4542.674333333336</x:v>
      </x:c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>
      <x:c r="A39" s="1" t="str">
        <x:v>2024-08</x:v>
      </x:c>
      <x:c r="B39" s="87" t="n">
        <x:v>8.310303441388276</x:v>
      </x:c>
      <x:c r="C39" s="87" t="n">
        <x:v>8.321083809110311</x:v>
      </x:c>
      <x:c r="D39" s="87" t="n">
        <x:v>8.30323778340659</x:v>
      </x:c>
      <x:c r="E39" s="87" t="n">
        <x:v>0.007065657981685902</x:v>
      </x:c>
      <x:c r="F39" s="87" t="n">
        <x:v>0.017846025703720257</x:v>
      </x:c>
      <x:c r="G39" s="79" t="n">
        <x:v>4065.546451612903</x:v>
      </x:c>
      <x:c r="H39" s="79" t="n">
        <x:v>4109.611630008782</x:v>
      </x:c>
      <x:c r="I39" s="79" t="n">
        <x:v>4036.92193548387</x:v>
      </x:c>
      <x:c r="J39" s="1"/>
      <x:c r="K39" s="1" t="str">
        <x:f>A25</x:f>
        <x:v>2023-06</x:v>
      </x:c>
      <x:c r="L39" s="71" t="n">
        <x:f>G25</x:f>
        <x:v>4209.267999999998</x:v>
      </x:c>
      <x:c r="M39" s="71" t="n">
        <x:f>H25</x:f>
        <x:v>4493.598913647849</x:v>
      </x:c>
      <x:c r="N39" s="71" t="n">
        <x:f>I25</x:f>
        <x:v>4540.089032258067</x:v>
      </x:c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>
      <x:c r="A40" s="1" t="str">
        <x:v>2024-09</x:v>
      </x:c>
      <x:c r="B40" s="87" t="n">
        <x:v>8.338667381651211</x:v>
      </x:c>
      <x:c r="C40" s="87" t="n">
        <x:v>8.312314582418834</x:v>
      </x:c>
      <x:c r="D40" s="87" t="n">
        <x:v>8.310303441388276</x:v>
      </x:c>
      <x:c r="E40" s="87" t="n">
        <x:v>0.02836394026293476</x:v>
      </x:c>
      <x:c r="F40" s="87" t="n">
        <x:v>0.00201114103055813</x:v>
      </x:c>
      <x:c r="G40" s="79" t="n">
        <x:v>4182.5123333333295</x:v>
      </x:c>
      <x:c r="H40" s="79" t="n">
        <x:v>4073.7310663419453</x:v>
      </x:c>
      <x:c r="I40" s="79" t="n">
        <x:v>4065.546451612903</x:v>
      </x:c>
      <x:c r="J40" s="1"/>
      <x:c r="K40" s="1" t="str">
        <x:f>A26</x:f>
        <x:v>2023-07</x:v>
      </x:c>
      <x:c r="L40" s="71" t="n">
        <x:f>G26</x:f>
        <x:v>4069.2335483870993</x:v>
      </x:c>
      <x:c r="M40" s="71" t="n">
        <x:f>H26</x:f>
        <x:v>4133.574050564003</x:v>
      </x:c>
      <x:c r="N40" s="71" t="n">
        <x:f>I26</x:f>
        <x:v>4209.267999999998</x:v>
      </x:c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>
      <x:c r="A41" s="1" t="str">
        <x:v>2024-10</x:v>
      </x:c>
      <x:c r="B41" s="87" t="n">
        <x:v>8.354549548259685</x:v>
      </x:c>
      <x:c r="C41" s="87" t="n">
        <x:v>8.360824174049228</x:v>
      </x:c>
      <x:c r="D41" s="87" t="n">
        <x:v>8.338667381651211</x:v>
      </x:c>
      <x:c r="E41" s="87" t="n">
        <x:v>0.01588216660847408</x:v>
      </x:c>
      <x:c r="F41" s="87" t="n">
        <x:v>0.02215679239801696</x:v>
      </x:c>
      <x:c r="G41" s="79" t="n">
        <x:v>4249.470000000003</x:v>
      </x:c>
      <x:c r="H41" s="79" t="n">
        <x:v>4276.217662082411</x:v>
      </x:c>
      <x:c r="I41" s="79" t="n">
        <x:v>4182.5123333333295</x:v>
      </x:c>
      <x:c r="J41" s="1"/>
      <x:c r="K41" s="1" t="str">
        <x:f>A27</x:f>
        <x:v>2023-08</x:v>
      </x:c>
      <x:c r="L41" s="71" t="n">
        <x:f>G27</x:f>
        <x:v>4070.7251612903224</x:v>
      </x:c>
      <x:c r="M41" s="71" t="n">
        <x:f>H27</x:f>
        <x:v>4140.385091441157</x:v>
      </x:c>
      <x:c r="N41" s="71" t="n">
        <x:f>I27</x:f>
        <x:v>4069.2335483870993</x:v>
      </x:c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>
      <x:c r="A42" s="1" t="str">
        <x:v>2024-11</x:v>
      </x:c>
      <x:c r="B42" s="87" t="n">
        <x:v>8.39132432838928</x:v>
      </x:c>
      <x:c r="C42" s="87" t="n">
        <x:v>8.379655375479233</x:v>
      </x:c>
      <x:c r="D42" s="87" t="n">
        <x:v>8.354549548259685</x:v>
      </x:c>
      <x:c r="E42" s="87" t="n">
        <x:v>0.03677478012959412</x:v>
      </x:c>
      <x:c r="F42" s="87" t="n">
        <x:v>0.025105827219547162</x:v>
      </x:c>
      <x:c r="G42" s="79" t="n">
        <x:v>4408.652333333335</x:v>
      </x:c>
      <x:c r="H42" s="79" t="n">
        <x:v>4357.506963661201</x:v>
      </x:c>
      <x:c r="I42" s="79" t="n">
        <x:v>4249.470000000003</x:v>
      </x:c>
      <x:c r="J42" s="1"/>
      <x:c r="K42" s="1" t="str">
        <x:f>A28</x:f>
        <x:v>2023-09</x:v>
      </x:c>
      <x:c r="L42" s="71" t="n">
        <x:f>G28</x:f>
        <x:v>4004.52066666667</x:v>
      </x:c>
      <x:c r="M42" s="71" t="n">
        <x:f>H28</x:f>
        <x:v>4144.448944579166</x:v>
      </x:c>
      <x:c r="N42" s="71" t="n">
        <x:f>I28</x:f>
        <x:v>4070.7251612903224</x:v>
      </x:c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>
      <x:c r="A43" s="1" t="str">
        <x:v>2024-12</x:v>
      </x:c>
      <x:c r="B43" s="87" t="n">
        <x:v>8.385978817498613</x:v>
      </x:c>
      <x:c r="C43" s="87" t="n">
        <x:v>8.411615229894613</x:v>
      </x:c>
      <x:c r="D43" s="87" t="n">
        <x:v>8.39132432838928</x:v>
      </x:c>
      <x:c r="E43" s="87" t="n">
        <x:v>-0.005345510890666816</x:v>
      </x:c>
      <x:c r="F43" s="87" t="n">
        <x:v>0.02029090150533331</x:v>
      </x:c>
      <x:c r="G43" s="79" t="n">
        <x:v>4385.148709677422</x:v>
      </x:c>
      <x:c r="H43" s="79" t="n">
        <x:v>4499.021599991281</x:v>
      </x:c>
      <x:c r="I43" s="79" t="n">
        <x:v>4408.652333333335</x:v>
      </x:c>
      <x:c r="J43" s="1"/>
      <x:c r="K43" s="1" t="str">
        <x:f>A29</x:f>
        <x:v>2023-10</x:v>
      </x:c>
      <x:c r="L43" s="71" t="n">
        <x:f>G29</x:f>
        <x:v>4222.433225806451</x:v>
      </x:c>
      <x:c r="M43" s="71" t="n">
        <x:f>H29</x:f>
        <x:v>4142.5306249826435</x:v>
      </x:c>
      <x:c r="N43" s="71" t="n">
        <x:f>I29</x:f>
        <x:v>4004.52066666667</x:v>
      </x:c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>
      <x:c r="A44" s="1" t="str">
        <x:v>2025-01</x:v>
      </x:c>
      <x:c r="B44" s="87" t="n">
        <x:v>8.368128619899991</x:v>
      </x:c>
      <x:c r="C44" s="87" t="n">
        <x:v>8.399076476675933</x:v>
      </x:c>
      <x:c r="D44" s="87" t="n">
        <x:v>8.385978817498613</x:v>
      </x:c>
      <x:c r="E44" s="87" t="n">
        <x:v>-0.017850197598621165</x:v>
      </x:c>
      <x:c r="F44" s="87" t="n">
        <x:v>0.013097659177320285</x:v>
      </x:c>
      <x:c r="G44" s="79" t="n">
        <x:v>4307.567419354838</x:v>
      </x:c>
      <x:c r="H44" s="79" t="n">
        <x:v>4442.961673692237</x:v>
      </x:c>
      <x:c r="I44" s="79" t="n">
        <x:v>4385.148709677422</x:v>
      </x:c>
      <x:c r="J44" s="1"/>
      <x:c r="K44" s="1" t="str">
        <x:f>A30</x:f>
        <x:v>2023-11</x:v>
      </x:c>
      <x:c r="L44" s="71" t="n">
        <x:f>G30</x:f>
        <x:v>4038.804666666669</x:v>
      </x:c>
      <x:c r="M44" s="71" t="n">
        <x:f>H30</x:f>
        <x:v>4101.814490759001</x:v>
      </x:c>
      <x:c r="N44" s="71" t="n">
        <x:f>I30</x:f>
        <x:v>4222.433225806451</x:v>
      </x:c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>
      <x:c r="A45" s="1" t="str">
        <x:v>2025-02</x:v>
      </x:c>
      <x:c r="B45" s="87" t="n">
        <x:v>8.325537146384832</x:v>
      </x:c>
      <x:c r="C45" s="87" t="n">
        <x:v>8.364479273831321</x:v>
      </x:c>
      <x:c r="D45" s="87" t="n">
        <x:v>8.368128619899991</x:v>
      </x:c>
      <x:c r="E45" s="87" t="n">
        <x:v>-0.04259147351515935</x:v>
      </x:c>
      <x:c r="F45" s="87" t="n">
        <x:v>-0.003649346068669998</x:v>
      </x:c>
      <x:c r="G45" s="79" t="n">
        <x:v>4127.95392857143</x:v>
      </x:c>
      <x:c r="H45" s="79" t="n">
        <x:v>4291.876263770165</x:v>
      </x:c>
      <x:c r="I45" s="79" t="n">
        <x:v>4307.567419354838</x:v>
      </x:c>
      <x:c r="J45" s="1"/>
      <x:c r="K45" s="1" t="str">
        <x:f>A31</x:f>
        <x:v>2023-12</x:v>
      </x:c>
      <x:c r="L45" s="71" t="n">
        <x:f>G31</x:f>
        <x:v>3948.2067741935466</x:v>
      </x:c>
      <x:c r="M45" s="71" t="n">
        <x:f>H31</x:f>
        <x:v>3994.2904535327552</x:v>
      </x:c>
      <x:c r="N45" s="71" t="n">
        <x:f>I31</x:f>
        <x:v>4038.804666666669</x:v>
      </x:c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>
      <x:c r="A46" s="1" t="str">
        <x:v>2025-03</x:v>
      </x:c>
      <x:c r="B46" s="87" t="n">
        <x:v>8.327891614734215</x:v>
      </x:c>
      <x:c r="C46" s="87" t="n">
        <x:v>8.323869022250104</x:v>
      </x:c>
      <x:c r="D46" s="87" t="n">
        <x:v>8.325537146384832</x:v>
      </x:c>
      <x:c r="E46" s="87" t="n">
        <x:v>0.002354468349382799</x:v>
      </x:c>
      <x:c r="F46" s="87" t="n">
        <x:v>-0.001668124134727343</x:v>
      </x:c>
      <x:c r="G46" s="79" t="n">
        <x:v>4137.684516129031</x:v>
      </x:c>
      <x:c r="H46" s="79" t="n">
        <x:v>4121.073729104952</x:v>
      </x:c>
      <x:c r="I46" s="79" t="n">
        <x:v>4127.95392857143</x:v>
      </x:c>
      <x:c r="J46" s="1"/>
      <x:c r="K46" s="1" t="str">
        <x:f>A32</x:f>
        <x:v>2024-01</x:v>
      </x:c>
      <x:c r="L46" s="71" t="n">
        <x:f>G32</x:f>
        <x:v>3915.1987096774164</x:v>
      </x:c>
      <x:c r="M46" s="71" t="n">
        <x:f>H32</x:f>
        <x:v>3979.6486686180165</x:v>
      </x:c>
      <x:c r="N46" s="71" t="n">
        <x:f>I32</x:f>
        <x:v>3948.2067741935466</x:v>
      </x:c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>
      <x:c r="A47" s="1" t="str">
        <x:v>2025-04</x:v>
      </x:c>
      <x:c r="B47" s="87" t="n">
        <x:v>8.361768567132886</x:v>
      </x:c>
      <x:c r="C47" s="87" t="n">
        <x:v>8.329468068782152</x:v>
      </x:c>
      <x:c r="D47" s="87" t="n">
        <x:v>8.327891614734215</x:v>
      </x:c>
      <x:c r="E47" s="87" t="n">
        <x:v>0.03387695239867128</x:v>
      </x:c>
      <x:c r="F47" s="87" t="n">
        <x:v>0.0015764540479368807</x:v>
      </x:c>
      <x:c r="G47" s="79" t="n">
        <x:v>4280.2580000000025</x:v>
      </x:c>
      <x:c r="H47" s="79" t="n">
        <x:v>4144.212529838433</x:v>
      </x:c>
      <x:c r="I47" s="79" t="n">
        <x:v>4137.684516129031</x:v>
      </x:c>
      <x:c r="J47" s="1"/>
      <x:c r="K47" s="1" t="str">
        <x:f>A33</x:f>
        <x:v>2024-02</x:v>
      </x:c>
      <x:c r="L47" s="71" t="n">
        <x:f>G33</x:f>
        <x:v>3931.4386206896565</x:v>
      </x:c>
      <x:c r="M47" s="71" t="n">
        <x:f>H33</x:f>
        <x:v>3968.3752494595365</x:v>
      </x:c>
      <x:c r="N47" s="71" t="n">
        <x:f>I33</x:f>
        <x:v>3915.1987096774164</x:v>
      </x:c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>
      <x:c r="A48" s="1" t="str">
        <x:v>2025-05</x:v>
      </x:c>
      <x:c r="B48" s="87" t="n">
        <x:v>8.34364355184035</x:v>
      </x:c>
      <x:c r="C48" s="87" t="n">
        <x:v>8.331384325596842</x:v>
      </x:c>
      <x:c r="D48" s="87" t="n">
        <x:v>8.361768567132886</x:v>
      </x:c>
      <x:c r="E48" s="87" t="n">
        <x:v>-0.018125015292536517</x:v>
      </x:c>
      <x:c r="F48" s="87" t="n">
        <x:v>-0.03038424153604368</x:v>
      </x:c>
      <x:c r="G48" s="79" t="n">
        <x:v>4203.377096774196</x:v>
      </x:c>
      <x:c r="H48" s="79" t="n">
        <x:v>4152.161519060225</x:v>
      </x:c>
      <x:c r="I48" s="79" t="n">
        <x:v>4280.2580000000025</x:v>
      </x:c>
      <x:c r="J48" s="1"/>
      <x:c r="K48" s="1" t="str">
        <x:f>A34</x:f>
        <x:v>2024-03</x:v>
      </x:c>
      <x:c r="L48" s="71" t="n">
        <x:f>G34</x:f>
        <x:v>3899.3412903225835</x:v>
      </x:c>
      <x:c r="M48" s="71" t="n">
        <x:f>H34</x:f>
        <x:v>3929.341934257948</x:v>
      </x:c>
      <x:c r="N48" s="71" t="n">
        <x:f>I34</x:f>
        <x:v>3931.4386206896565</x:v>
      </x:c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>
      <x:c r="A49" s="1" t="str">
        <x:v>2025-06</x:v>
      </x:c>
      <x:c r="B49" s="87" t="n">
        <x:v>8.322025880072617</x:v>
      </x:c>
      <x:c r="C49" s="87" t="n">
        <x:v>8.322100818665692</x:v>
      </x:c>
      <x:c r="D49" s="87" t="n">
        <x:v>8.34364355184035</x:v>
      </x:c>
      <x:c r="E49" s="87" t="n">
        <x:v>-0.021617671767732105</x:v>
      </x:c>
      <x:c r="F49" s="87" t="n">
        <x:v>-0.021542733174656516</x:v>
      </x:c>
      <x:c r="G49" s="79" t="n">
        <x:v>4113.4850000000015</x:v>
      </x:c>
      <x:c r="H49" s="79" t="n">
        <x:v>4113.793270329064</x:v>
      </x:c>
      <x:c r="I49" s="79" t="n">
        <x:v>4203.377096774196</x:v>
      </x:c>
      <x:c r="J49" s="1"/>
      <x:c r="K49" s="1" t="str">
        <x:f>A35</x:f>
        <x:v>2024-04</x:v>
      </x:c>
      <x:c r="L49" s="71" t="n">
        <x:f>G35</x:f>
        <x:v>3867.9753333333356</x:v>
      </x:c>
      <x:c r="M49" s="71" t="n">
        <x:f>H35</x:f>
        <x:v>3978.788455950669</x:v>
      </x:c>
      <x:c r="N49" s="71" t="n">
        <x:f>I35</x:f>
        <x:v>3899.3412903225835</x:v>
      </x:c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>
      <x:c r="A50" s="1" t="str">
        <x:v>2025-07</x:v>
      </x:c>
      <x:c r="B50" s="87" t="n">
        <x:v>8.304209945715085</x:v>
      </x:c>
      <x:c r="C50" s="87" t="n">
        <x:v>8.31347129718074</x:v>
      </x:c>
      <x:c r="D50" s="87" t="n">
        <x:v>8.322025880072617</x:v>
      </x:c>
      <x:c r="E50" s="87" t="n">
        <x:v>-0.01781593435753237</x:v>
      </x:c>
      <x:c r="F50" s="87" t="n">
        <x:v>-0.008554582891877285</x:v>
      </x:c>
      <x:c r="G50" s="79" t="n">
        <x:v>4040.8483870967743</x:v>
      </x:c>
      <x:c r="H50" s="79" t="n">
        <x:v>4078.4459375572837</x:v>
      </x:c>
      <x:c r="I50" s="79" t="n">
        <x:v>4113.4850000000015</x:v>
      </x:c>
      <x:c r="J50" s="1"/>
      <x:c r="K50" s="1" t="str">
        <x:f>A36</x:f>
        <x:v>2024-05</x:v>
      </x:c>
      <x:c r="L50" s="71" t="n">
        <x:f>G36</x:f>
        <x:v>3869.100645161288</x:v>
      </x:c>
      <x:c r="M50" s="71" t="n">
        <x:f>H36</x:f>
        <x:v>3897.532090898259</x:v>
      </x:c>
      <x:c r="N50" s="71" t="n">
        <x:f>I36</x:f>
        <x:v>3867.9753333333356</x:v>
      </x:c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>
      <x:c r="A51" s="1" t="str">
        <x:v>2025-08</x:v>
      </x:c>
      <x:c r="B51" s="87" t="n">
        <x:v>8.305832847858927</x:v>
      </x:c>
      <x:c r="C51" s="87" t="n">
        <x:v>8.312575979755437</x:v>
      </x:c>
      <x:c r="D51" s="87" t="n">
        <x:v>8.304209945715085</x:v>
      </x:c>
      <x:c r="E51" s="87" t="n">
        <x:v>0.0016229021438416424</x:v>
      </x:c>
      <x:c r="F51" s="87" t="n">
        <x:v>0.008366034040350764</x:v>
      </x:c>
      <x:c r="G51" s="79" t="n">
        <x:v>4047.4116129032236</x:v>
      </x:c>
      <x:c r="H51" s="79" t="n">
        <x:v>4074.796067980955</x:v>
      </x:c>
      <x:c r="I51" s="79" t="n">
        <x:v>4040.8483870967743</x:v>
      </x:c>
      <x:c r="J51" s="1"/>
      <x:c r="K51" s="1" t="str">
        <x:f>A37</x:f>
        <x:v>2024-06</x:v>
      </x:c>
      <x:c r="L51" s="71" t="n">
        <x:f>G37</x:f>
        <x:v>4042.7970000000014</x:v>
      </x:c>
      <x:c r="M51" s="71" t="n">
        <x:f>H37</x:f>
        <x:v>3966.2456388747237</x:v>
      </x:c>
      <x:c r="N51" s="71" t="n">
        <x:f>I37</x:f>
        <x:v>3869.100645161288</x:v>
      </x:c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>
      <x:c r="A52" s="1" t="str">
        <x:v>2025-09</x:v>
      </x:c>
      <x:c r="B52" s="87" t="n">
        <x:v>8.274411059349477</x:v>
      </x:c>
      <x:c r="C52" s="87" t="n">
        <x:v>8.300909115253537</x:v>
      </x:c>
      <x:c r="D52" s="87" t="n">
        <x:v>8.305832847858927</x:v>
      </x:c>
      <x:c r="E52" s="87" t="n">
        <x:v>-0.031421788509449655</x:v>
      </x:c>
      <x:c r="F52" s="87" t="n">
        <x:v>-0.004923732605389756</x:v>
      </x:c>
      <x:c r="G52" s="79" t="n">
        <x:v>3922.211999999997</x:v>
      </x:c>
      <x:c r="H52" s="79" t="n">
        <x:v>4027.532220944084</x:v>
      </x:c>
      <x:c r="I52" s="79" t="n">
        <x:v>4047.4116129032236</x:v>
      </x:c>
      <x:c r="J52" s="1"/>
      <x:c r="K52" s="1" t="str">
        <x:f>A38</x:f>
        <x:v>2024-07</x:v>
      </x:c>
      <x:c r="L52" s="71" t="n">
        <x:f>G38</x:f>
        <x:v>4036.92193548387</x:v>
      </x:c>
      <x:c r="M52" s="71" t="n">
        <x:f>H38</x:f>
        <x:v>4075.213377281366</x:v>
      </x:c>
      <x:c r="N52" s="71" t="n">
        <x:f>I38</x:f>
        <x:v>4042.7970000000014</x:v>
      </x:c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>
      <x:c r="A53" s="1" t="str">
        <x:v>2025-10</x:v>
      </x:c>
      <x:c r="B53" s="87" t="n">
        <x:v>8.263034824354826</x:v>
      </x:c>
      <x:c r="C53" s="87" t="n">
        <x:v>8.289047616794377</x:v>
      </x:c>
      <x:c r="D53" s="87" t="n">
        <x:v>8.274411059349477</x:v>
      </x:c>
      <x:c r="E53" s="87" t="n">
        <x:v>-0.011376234994651568</x:v>
      </x:c>
      <x:c r="F53" s="87" t="n">
        <x:v>0.01463655744490005</x:v>
      </x:c>
      <x:c r="G53" s="79" t="n">
        <x:v>3877.8448387096764</x:v>
      </x:c>
      <x:c r="H53" s="79" t="n">
        <x:v>3980.041863913431</x:v>
      </x:c>
      <x:c r="I53" s="79" t="n">
        <x:v>3922.211999999997</x:v>
      </x:c>
      <x:c r="J53" s="1"/>
      <x:c r="K53" s="1" t="str">
        <x:f>A39</x:f>
        <x:v>2024-08</x:v>
      </x:c>
      <x:c r="L53" s="71" t="n">
        <x:f>G39</x:f>
        <x:v>4065.546451612903</x:v>
      </x:c>
      <x:c r="M53" s="71" t="n">
        <x:f>H39</x:f>
        <x:v>4109.611630008782</x:v>
      </x:c>
      <x:c r="N53" s="71" t="n">
        <x:f>I39</x:f>
        <x:v>4036.92193548387</x:v>
      </x:c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>
      <x:c r="A54" s="1" t="str">
        <x:v>2025-11</x:v>
      </x:c>
      <x:c r="B54" s="87" t="n">
        <x:v>8.239113754615177</x:v>
      </x:c>
      <x:c r="C54" s="87" t="n">
        <x:v>8.272292230327755</x:v>
      </x:c>
      <x:c r="D54" s="87" t="n">
        <x:v>8.263034824354826</x:v>
      </x:c>
      <x:c r="E54" s="87" t="n">
        <x:v>-0.02392106973964836</x:v>
      </x:c>
      <x:c r="F54" s="87" t="n">
        <x:v>0.009257405972929775</x:v>
      </x:c>
      <x:c r="G54" s="79" t="n">
        <x:v>3786.1833333333366</x:v>
      </x:c>
      <x:c r="H54" s="79" t="n">
        <x:v>3913.910301430809</x:v>
      </x:c>
      <x:c r="I54" s="79" t="n">
        <x:v>3877.8448387096764</x:v>
      </x:c>
      <x:c r="J54" s="1"/>
      <x:c r="K54" s="1" t="str">
        <x:f>A40</x:f>
        <x:v>2024-09</x:v>
      </x:c>
      <x:c r="L54" s="71" t="n">
        <x:f>G40</x:f>
        <x:v>4182.5123333333295</x:v>
      </x:c>
      <x:c r="M54" s="71" t="n">
        <x:f>H40</x:f>
        <x:v>4073.7310663419453</x:v>
      </x:c>
      <x:c r="N54" s="71" t="n">
        <x:f>I40</x:f>
        <x:v>4065.546451612903</x:v>
      </x:c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>
      <x:c r="A55" s="1" t="str">
        <x:v>2025-12</x:v>
      </x:c>
      <x:c r="B55" s="87" t="n">
        <x:v>8.240509596157608</x:v>
      </x:c>
      <x:c r="C55" s="87" t="n">
        <x:v>8.218146994419579</x:v>
      </x:c>
      <x:c r="D55" s="87" t="n">
        <x:v>8.239113754615177</x:v>
      </x:c>
      <x:c r="E55" s="87" t="n">
        <x:v>0.0013958415424308868</x:v>
      </x:c>
      <x:c r="F55" s="87" t="n">
        <x:v>-0.020966760195597976</x:v>
      </x:c>
      <x:c r="G55" s="79" t="n">
        <x:v>3791.471935483873</x:v>
      </x:c>
      <x:c r="H55" s="79" t="n">
        <x:v>3707.6257620437123</x:v>
      </x:c>
      <x:c r="I55" s="79" t="n">
        <x:v>3786.1833333333366</x:v>
      </x:c>
      <x:c r="J55" s="1"/>
      <x:c r="K55" s="1" t="str">
        <x:f>A41</x:f>
        <x:v>2024-10</x:v>
      </x:c>
      <x:c r="L55" s="71" t="n">
        <x:f>G41</x:f>
        <x:v>4249.470000000003</x:v>
      </x:c>
      <x:c r="M55" s="71" t="n">
        <x:f>H41</x:f>
        <x:v>4276.217662082411</x:v>
      </x:c>
      <x:c r="N55" s="71" t="n">
        <x:f>I41</x:f>
        <x:v>4182.5123333333295</x:v>
      </x:c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>
      <x:c r="A56" s="1" t="str">
        <x:v>2026-01</x:v>
      </x:c>
      <x:c r="B56" s="87" t="n">
        <x:v>8.216898319573602</x:v>
      </x:c>
      <x:c r="C56" s="87" t="n">
        <x:v>8.227432462020413</x:v>
      </x:c>
      <x:c r="D56" s="87" t="n">
        <x:v>8.240509596157608</x:v>
      </x:c>
      <x:c r="E56" s="87" t="n">
        <x:v>-0.02361127658400619</x:v>
      </x:c>
      <x:c r="F56" s="87" t="n">
        <x:v>-0.013077134137195523</x:v>
      </x:c>
      <x:c r="G56" s="79" t="n">
        <x:v>3702.999032258066</x:v>
      </x:c>
      <x:c r="H56" s="79" t="n">
        <x:v>3742.2131323768676</x:v>
      </x:c>
      <x:c r="I56" s="79" t="n">
        <x:v>3791.471935483873</x:v>
      </x:c>
      <x:c r="J56" s="1"/>
      <x:c r="K56" s="1" t="str">
        <x:f>A42</x:f>
        <x:v>2024-11</x:v>
      </x:c>
      <x:c r="L56" s="71" t="n">
        <x:f>G42</x:f>
        <x:v>4408.652333333335</x:v>
      </x:c>
      <x:c r="M56" s="71" t="n">
        <x:f>H42</x:f>
        <x:v>4357.506963661201</x:v>
      </x:c>
      <x:c r="N56" s="71" t="n">
        <x:f>I42</x:f>
        <x:v>4249.470000000003</x:v>
      </x:c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>
      <x:c r="A57" s="1" t="str">
        <x:v>2026-02</x:v>
      </x:c>
      <x:c r="B57" s="87" t="n">
        <x:v>8.209482934803669</x:v>
      </x:c>
      <x:c r="C57" s="87" t="n">
        <x:v>8.20172711670195</x:v>
      </x:c>
      <x:c r="D57" s="87" t="n">
        <x:v>8.216898319573602</x:v>
      </x:c>
      <x:c r="E57" s="87" t="n">
        <x:v>-0.007415384769933198</x:v>
      </x:c>
      <x:c r="F57" s="87" t="n">
        <x:v>-0.015171202871652512</x:v>
      </x:c>
      <x:c r="G57" s="79" t="n">
        <x:v>3675.64142857143</x:v>
      </x:c>
      <x:c r="H57" s="79" t="n">
        <x:v>3647.2440869005286</x:v>
      </x:c>
      <x:c r="I57" s="79" t="n">
        <x:v>3702.999032258066</x:v>
      </x:c>
      <x:c r="J57" s="1"/>
      <x:c r="K57" s="1" t="str">
        <x:f>A43</x:f>
        <x:v>2024-12</x:v>
      </x:c>
      <x:c r="L57" s="71" t="n">
        <x:f>G43</x:f>
        <x:v>4385.148709677422</x:v>
      </x:c>
      <x:c r="M57" s="71" t="n">
        <x:f>H43</x:f>
        <x:v>4499.021599991281</x:v>
      </x:c>
      <x:c r="N57" s="71" t="n">
        <x:f>I43</x:f>
        <x:v>4408.652333333335</x:v>
      </x:c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>
      <x:c r="A58" s="1" t="str">
        <x:v>2026-03</x:v>
      </x:c>
      <x:c r="B58" s="87" t="n">
        <x:v>8.220822123905636</x:v>
      </x:c>
      <x:c r="C58" s="87" t="n">
        <x:v>8.214470705212477</x:v>
      </x:c>
      <x:c r="D58" s="87" t="n">
        <x:v>8.209482934803669</x:v>
      </x:c>
      <x:c r="E58" s="87" t="n">
        <x:v>0.011339189101967406</x:v>
      </x:c>
      <x:c r="F58" s="87" t="n">
        <x:v>0.004987770408808663</x:v>
      </x:c>
      <x:c r="G58" s="79" t="n">
        <x:v>3717.5574193548405</x:v>
      </x:c>
      <x:c r="H58" s="79" t="n">
        <x:v>3694.020481267239</x:v>
      </x:c>
      <x:c r="I58" s="79" t="n">
        <x:v>3675.64142857143</x:v>
      </x:c>
      <x:c r="J58" s="1"/>
      <x:c r="K58" s="1" t="str">
        <x:f>A44</x:f>
        <x:v>2025-01</x:v>
      </x:c>
      <x:c r="L58" s="71" t="n">
        <x:f>G44</x:f>
        <x:v>4307.567419354838</x:v>
      </x:c>
      <x:c r="M58" s="71" t="n">
        <x:f>H44</x:f>
        <x:v>4442.961673692237</x:v>
      </x:c>
      <x:c r="N58" s="71" t="n">
        <x:f>I44</x:f>
        <x:v>4385.148709677422</x:v>
      </x:c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>
      <x:c r="A59" s="1" t="str">
        <x:v>2026-04</x:v>
      </x:c>
      <x:c r="B59" s="87" t="n">
        <x:v>8.193543618593685</x:v>
      </x:c>
      <x:c r="C59" s="87" t="n">
        <x:v>8.196124220505284</x:v>
      </x:c>
      <x:c r="D59" s="87" t="n">
        <x:v>8.220822123905636</x:v>
      </x:c>
      <x:c r="E59" s="87" t="n">
        <x:v>-0.027278505311951307</x:v>
      </x:c>
      <x:c r="F59" s="87" t="n">
        <x:v>-0.024697903400351287</x:v>
      </x:c>
      <x:c r="G59" s="79" t="n">
        <x:v>3617.5186666666664</x:v>
      </x:c>
      <x:c r="H59" s="79" t="n">
        <x:v>3626.866098065343</x:v>
      </x:c>
      <x:c r="I59" s="79" t="n">
        <x:v>3717.5574193548405</x:v>
      </x:c>
      <x:c r="J59" s="1"/>
      <x:c r="K59" s="1" t="str">
        <x:f>A45</x:f>
        <x:v>2025-02</x:v>
      </x:c>
      <x:c r="L59" s="71" t="n">
        <x:f>G45</x:f>
        <x:v>4127.95392857143</x:v>
      </x:c>
      <x:c r="M59" s="71" t="n">
        <x:f>H45</x:f>
        <x:v>4291.876263770165</x:v>
      </x:c>
      <x:c r="N59" s="71" t="n">
        <x:f>I45</x:f>
        <x:v>4307.567419354838</x:v>
      </x:c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 t="str">
        <x:f>A46</x:f>
        <x:v>2025-03</x:v>
      </x:c>
      <x:c r="L60" s="71" t="n">
        <x:f>G46</x:f>
        <x:v>4137.684516129031</x:v>
      </x:c>
      <x:c r="M60" s="71" t="n">
        <x:f>H46</x:f>
        <x:v>4121.073729104952</x:v>
      </x:c>
      <x:c r="N60" s="71" t="n">
        <x:f>I46</x:f>
        <x:v>4127.95392857143</x:v>
      </x:c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 t="str">
        <x:f>A47</x:f>
        <x:v>2025-04</x:v>
      </x:c>
      <x:c r="L61" s="71" t="n">
        <x:f>G47</x:f>
        <x:v>4280.2580000000025</x:v>
      </x:c>
      <x:c r="M61" s="71" t="n">
        <x:f>H47</x:f>
        <x:v>4144.212529838433</x:v>
      </x:c>
      <x:c r="N61" s="71" t="n">
        <x:f>I47</x:f>
        <x:v>4137.684516129031</x:v>
      </x:c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 t="str">
        <x:f>A48</x:f>
        <x:v>2025-05</x:v>
      </x:c>
      <x:c r="L62" s="71" t="n">
        <x:f>G48</x:f>
        <x:v>4203.377096774196</x:v>
      </x:c>
      <x:c r="M62" s="71" t="n">
        <x:f>H48</x:f>
        <x:v>4152.161519060225</x:v>
      </x:c>
      <x:c r="N62" s="71" t="n">
        <x:f>I48</x:f>
        <x:v>4280.2580000000025</x:v>
      </x:c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 t="str">
        <x:f>A49</x:f>
        <x:v>2025-06</x:v>
      </x:c>
      <x:c r="L63" s="71" t="n">
        <x:f>G49</x:f>
        <x:v>4113.4850000000015</x:v>
      </x:c>
      <x:c r="M63" s="71" t="n">
        <x:f>H49</x:f>
        <x:v>4113.793270329064</x:v>
      </x:c>
      <x:c r="N63" s="71" t="n">
        <x:f>I49</x:f>
        <x:v>4203.377096774196</x:v>
      </x:c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 t="str">
        <x:f>A50</x:f>
        <x:v>2025-07</x:v>
      </x:c>
      <x:c r="L64" s="71" t="n">
        <x:f>G50</x:f>
        <x:v>4040.8483870967743</x:v>
      </x:c>
      <x:c r="M64" s="71" t="n">
        <x:f>H50</x:f>
        <x:v>4078.4459375572837</x:v>
      </x:c>
      <x:c r="N64" s="71" t="n">
        <x:f>I50</x:f>
        <x:v>4113.4850000000015</x:v>
      </x:c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 t="str">
        <x:f>A51</x:f>
        <x:v>2025-08</x:v>
      </x:c>
      <x:c r="L65" s="71" t="n">
        <x:f>G51</x:f>
        <x:v>4047.4116129032236</x:v>
      </x:c>
      <x:c r="M65" s="71" t="n">
        <x:f>H51</x:f>
        <x:v>4074.796067980955</x:v>
      </x:c>
      <x:c r="N65" s="71" t="n">
        <x:f>I51</x:f>
        <x:v>4040.8483870967743</x:v>
      </x:c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 t="str">
        <x:f>A52</x:f>
        <x:v>2025-09</x:v>
      </x:c>
      <x:c r="L66" s="71" t="n">
        <x:f>G52</x:f>
        <x:v>3922.211999999997</x:v>
      </x:c>
      <x:c r="M66" s="71" t="n">
        <x:f>H52</x:f>
        <x:v>4027.532220944084</x:v>
      </x:c>
      <x:c r="N66" s="71" t="n">
        <x:f>I52</x:f>
        <x:v>4047.4116129032236</x:v>
      </x:c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 t="str">
        <x:f>A53</x:f>
        <x:v>2025-10</x:v>
      </x:c>
      <x:c r="L67" s="71" t="n">
        <x:f>G53</x:f>
        <x:v>3877.8448387096764</x:v>
      </x:c>
      <x:c r="M67" s="71" t="n">
        <x:f>H53</x:f>
        <x:v>3980.041863913431</x:v>
      </x:c>
      <x:c r="N67" s="71" t="n">
        <x:f>I53</x:f>
        <x:v>3922.211999999997</x:v>
      </x:c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 t="str">
        <x:f>A54</x:f>
        <x:v>2025-11</x:v>
      </x:c>
      <x:c r="L68" s="71" t="n">
        <x:f>G54</x:f>
        <x:v>3786.1833333333366</x:v>
      </x:c>
      <x:c r="M68" s="71" t="n">
        <x:f>H54</x:f>
        <x:v>3913.910301430809</x:v>
      </x:c>
      <x:c r="N68" s="71" t="n">
        <x:f>I54</x:f>
        <x:v>3877.8448387096764</x:v>
      </x:c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 t="str">
        <x:f>A55</x:f>
        <x:v>2025-12</x:v>
      </x:c>
      <x:c r="L69" s="71" t="n">
        <x:f>G55</x:f>
        <x:v>3791.471935483873</x:v>
      </x:c>
      <x:c r="M69" s="71" t="n">
        <x:f>H55</x:f>
        <x:v>3707.6257620437123</x:v>
      </x:c>
      <x:c r="N69" s="71" t="n">
        <x:f>I55</x:f>
        <x:v>3786.1833333333366</x:v>
      </x:c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 t="str">
        <x:f>A56</x:f>
        <x:v>2026-01</x:v>
      </x:c>
      <x:c r="L70" s="71" t="n">
        <x:f>G56</x:f>
        <x:v>3702.999032258066</x:v>
      </x:c>
      <x:c r="M70" s="71" t="n">
        <x:f>H56</x:f>
        <x:v>3742.2131323768676</x:v>
      </x:c>
      <x:c r="N70" s="71" t="n">
        <x:f>I56</x:f>
        <x:v>3791.471935483873</x:v>
      </x:c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 t="str">
        <x:f>A57</x:f>
        <x:v>2026-02</x:v>
      </x:c>
      <x:c r="L71" s="71" t="n">
        <x:f>G57</x:f>
        <x:v>3675.64142857143</x:v>
      </x:c>
      <x:c r="M71" s="71" t="n">
        <x:f>H57</x:f>
        <x:v>3647.2440869005286</x:v>
      </x:c>
      <x:c r="N71" s="71" t="n">
        <x:f>I57</x:f>
        <x:v>3702.999032258066</x:v>
      </x:c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 t="str">
        <x:f>A58</x:f>
        <x:v>2026-03</x:v>
      </x:c>
      <x:c r="L72" s="71" t="n">
        <x:f>G58</x:f>
        <x:v>3717.5574193548405</x:v>
      </x:c>
      <x:c r="M72" s="71" t="n">
        <x:f>H58</x:f>
        <x:v>3694.020481267239</x:v>
      </x:c>
      <x:c r="N72" s="71" t="n">
        <x:f>I58</x:f>
        <x:v>3675.64142857143</x:v>
      </x:c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 t="str">
        <x:f>A59</x:f>
        <x:v>2026-04</x:v>
      </x:c>
      <x:c r="L73" s="71" t="n">
        <x:f>G59</x:f>
        <x:v>3617.5186666666664</x:v>
      </x:c>
      <x:c r="M73" s="71" t="n">
        <x:f>H59</x:f>
        <x:v>3626.866098065343</x:v>
      </x:c>
      <x:c r="N73" s="71" t="n">
        <x:f>I59</x:f>
        <x:v>3717.5574193548405</x:v>
      </x:c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  <x:c r="P101" s="1"/>
      <x:c r="Q101" s="1"/>
      <x:c r="R101" s="1"/>
      <x:c r="S101" s="1"/>
      <x:c r="T101" s="1"/>
      <x:c r="U101" s="1"/>
      <x:c r="V101" s="1"/>
      <x:c r="W101" s="1"/>
      <x:c r="X101" s="1"/>
      <x:c r="Y101" s="1"/>
      <x:c r="Z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  <x:c r="P102" s="1"/>
      <x:c r="Q102" s="1"/>
      <x:c r="R102" s="1"/>
      <x:c r="S102" s="1"/>
      <x:c r="T102" s="1"/>
      <x:c r="U102" s="1"/>
      <x:c r="V102" s="1"/>
      <x:c r="W102" s="1"/>
      <x:c r="X102" s="1"/>
      <x:c r="Y102" s="1"/>
      <x:c r="Z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  <x:c r="P103" s="1"/>
      <x:c r="Q103" s="1"/>
      <x:c r="R103" s="1"/>
      <x:c r="S103" s="1"/>
      <x:c r="T103" s="1"/>
      <x:c r="U103" s="1"/>
      <x:c r="V103" s="1"/>
      <x:c r="W103" s="1"/>
      <x:c r="X103" s="1"/>
      <x:c r="Y103" s="1"/>
      <x:c r="Z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  <x:c r="P104" s="1"/>
      <x:c r="Q104" s="1"/>
      <x:c r="R104" s="1"/>
      <x:c r="S104" s="1"/>
      <x:c r="T104" s="1"/>
      <x:c r="U104" s="1"/>
      <x:c r="V104" s="1"/>
      <x:c r="W104" s="1"/>
      <x:c r="X104" s="1"/>
      <x:c r="Y104" s="1"/>
      <x:c r="Z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  <x:c r="P105" s="1"/>
      <x:c r="Q105" s="1"/>
      <x:c r="R105" s="1"/>
      <x:c r="S105" s="1"/>
      <x:c r="T105" s="1"/>
      <x:c r="U105" s="1"/>
      <x:c r="V105" s="1"/>
      <x:c r="W105" s="1"/>
      <x:c r="X105" s="1"/>
      <x:c r="Y105" s="1"/>
      <x:c r="Z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  <x:c r="P106" s="1"/>
      <x:c r="Q106" s="1"/>
      <x:c r="R106" s="1"/>
      <x:c r="S106" s="1"/>
      <x:c r="T106" s="1"/>
      <x:c r="U106" s="1"/>
      <x:c r="V106" s="1"/>
      <x:c r="W106" s="1"/>
      <x:c r="X106" s="1"/>
      <x:c r="Y106" s="1"/>
      <x:c r="Z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  <x:c r="P107" s="1"/>
      <x:c r="Q107" s="1"/>
      <x:c r="R107" s="1"/>
      <x:c r="S107" s="1"/>
      <x:c r="T107" s="1"/>
      <x:c r="U107" s="1"/>
      <x:c r="V107" s="1"/>
      <x:c r="W107" s="1"/>
      <x:c r="X107" s="1"/>
      <x:c r="Y107" s="1"/>
      <x:c r="Z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  <x:c r="P108" s="1"/>
      <x:c r="Q108" s="1"/>
      <x:c r="R108" s="1"/>
      <x:c r="S108" s="1"/>
      <x:c r="T108" s="1"/>
      <x:c r="U108" s="1"/>
      <x:c r="V108" s="1"/>
      <x:c r="W108" s="1"/>
      <x:c r="X108" s="1"/>
      <x:c r="Y108" s="1"/>
      <x:c r="Z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  <x:c r="P109" s="1"/>
      <x:c r="Q109" s="1"/>
      <x:c r="R109" s="1"/>
      <x:c r="S109" s="1"/>
      <x:c r="T109" s="1"/>
      <x:c r="U109" s="1"/>
      <x:c r="V109" s="1"/>
      <x:c r="W109" s="1"/>
      <x:c r="X109" s="1"/>
      <x:c r="Y109" s="1"/>
      <x:c r="Z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  <x:c r="P110" s="1"/>
      <x:c r="Q110" s="1"/>
      <x:c r="R110" s="1"/>
      <x:c r="S110" s="1"/>
      <x:c r="T110" s="1"/>
      <x:c r="U110" s="1"/>
      <x:c r="V110" s="1"/>
      <x:c r="W110" s="1"/>
      <x:c r="X110" s="1"/>
      <x:c r="Y110" s="1"/>
      <x:c r="Z110" s="1"/>
    </x:row>
    <x:row r="11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  <x:c r="P111" s="1"/>
      <x:c r="Q111" s="1"/>
      <x:c r="R111" s="1"/>
      <x:c r="S111" s="1"/>
      <x:c r="T111" s="1"/>
      <x:c r="U111" s="1"/>
      <x:c r="V111" s="1"/>
      <x:c r="W111" s="1"/>
      <x:c r="X111" s="1"/>
      <x:c r="Y111" s="1"/>
      <x:c r="Z111" s="1"/>
    </x:row>
    <x:row r="112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  <x:c r="P112" s="1"/>
      <x:c r="Q112" s="1"/>
      <x:c r="R112" s="1"/>
      <x:c r="S112" s="1"/>
      <x:c r="T112" s="1"/>
      <x:c r="U112" s="1"/>
      <x:c r="V112" s="1"/>
      <x:c r="W112" s="1"/>
      <x:c r="X112" s="1"/>
      <x:c r="Y112" s="1"/>
      <x:c r="Z112" s="1"/>
    </x:row>
    <x:row r="113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  <x:c r="P113" s="1"/>
      <x:c r="Q113" s="1"/>
      <x:c r="R113" s="1"/>
      <x:c r="S113" s="1"/>
      <x:c r="T113" s="1"/>
      <x:c r="U113" s="1"/>
      <x:c r="V113" s="1"/>
      <x:c r="W113" s="1"/>
      <x:c r="X113" s="1"/>
      <x:c r="Y113" s="1"/>
      <x:c r="Z113" s="1"/>
    </x:row>
    <x:row r="114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  <x:c r="P114" s="1"/>
      <x:c r="Q114" s="1"/>
      <x:c r="R114" s="1"/>
      <x:c r="S114" s="1"/>
      <x:c r="T114" s="1"/>
      <x:c r="U114" s="1"/>
      <x:c r="V114" s="1"/>
      <x:c r="W114" s="1"/>
      <x:c r="X114" s="1"/>
      <x:c r="Y114" s="1"/>
      <x:c r="Z114" s="1"/>
    </x:row>
    <x:row r="115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  <x:c r="P115" s="1"/>
      <x:c r="Q115" s="1"/>
      <x:c r="R115" s="1"/>
      <x:c r="S115" s="1"/>
      <x:c r="T115" s="1"/>
      <x:c r="U115" s="1"/>
      <x:c r="V115" s="1"/>
      <x:c r="W115" s="1"/>
      <x:c r="X115" s="1"/>
      <x:c r="Y115" s="1"/>
      <x:c r="Z115" s="1"/>
    </x:row>
    <x:row r="116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  <x:c r="P116" s="1"/>
      <x:c r="Q116" s="1"/>
      <x:c r="R116" s="1"/>
      <x:c r="S116" s="1"/>
      <x:c r="T116" s="1"/>
      <x:c r="U116" s="1"/>
      <x:c r="V116" s="1"/>
      <x:c r="W116" s="1"/>
      <x:c r="X116" s="1"/>
      <x:c r="Y116" s="1"/>
      <x:c r="Z116" s="1"/>
    </x:row>
    <x:row r="117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  <x:c r="P117" s="1"/>
      <x:c r="Q117" s="1"/>
      <x:c r="R117" s="1"/>
      <x:c r="S117" s="1"/>
      <x:c r="T117" s="1"/>
      <x:c r="U117" s="1"/>
      <x:c r="V117" s="1"/>
      <x:c r="W117" s="1"/>
      <x:c r="X117" s="1"/>
      <x:c r="Y117" s="1"/>
      <x:c r="Z117" s="1"/>
    </x:row>
    <x:row r="118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  <x:c r="P118" s="1"/>
      <x:c r="Q118" s="1"/>
      <x:c r="R118" s="1"/>
      <x:c r="S118" s="1"/>
      <x:c r="T118" s="1"/>
      <x:c r="U118" s="1"/>
      <x:c r="V118" s="1"/>
      <x:c r="W118" s="1"/>
      <x:c r="X118" s="1"/>
      <x:c r="Y118" s="1"/>
      <x:c r="Z118" s="1"/>
    </x:row>
    <x:row r="119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  <x:c r="P119" s="1"/>
      <x:c r="Q119" s="1"/>
      <x:c r="R119" s="1"/>
      <x:c r="S119" s="1"/>
      <x:c r="T119" s="1"/>
      <x:c r="U119" s="1"/>
      <x:c r="V119" s="1"/>
      <x:c r="W119" s="1"/>
      <x:c r="X119" s="1"/>
      <x:c r="Y119" s="1"/>
      <x:c r="Z119" s="1"/>
    </x:row>
    <x:row r="12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  <x:c r="P120" s="1"/>
      <x:c r="Q120" s="1"/>
      <x:c r="R120" s="1"/>
      <x:c r="S120" s="1"/>
      <x:c r="T120" s="1"/>
      <x:c r="U120" s="1"/>
      <x:c r="V120" s="1"/>
      <x:c r="W120" s="1"/>
      <x:c r="X120" s="1"/>
      <x:c r="Y120" s="1"/>
      <x:c r="Z120" s="1"/>
    </x:row>
    <x:row r="12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1"/>
      <x:c r="O121" s="1"/>
      <x:c r="P121" s="1"/>
      <x:c r="Q121" s="1"/>
      <x:c r="R121" s="1"/>
      <x:c r="S121" s="1"/>
      <x:c r="T121" s="1"/>
      <x:c r="U121" s="1"/>
      <x:c r="V121" s="1"/>
      <x:c r="W121" s="1"/>
      <x:c r="X121" s="1"/>
      <x:c r="Y121" s="1"/>
      <x:c r="Z121" s="1"/>
    </x:row>
    <x:row r="122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1"/>
      <x:c r="O122" s="1"/>
      <x:c r="P122" s="1"/>
      <x:c r="Q122" s="1"/>
      <x:c r="R122" s="1"/>
      <x:c r="S122" s="1"/>
      <x:c r="T122" s="1"/>
      <x:c r="U122" s="1"/>
      <x:c r="V122" s="1"/>
      <x:c r="W122" s="1"/>
      <x:c r="X122" s="1"/>
      <x:c r="Y122" s="1"/>
      <x:c r="Z122" s="1"/>
    </x:row>
    <x:row r="123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1"/>
      <x:c r="O123" s="1"/>
      <x:c r="P123" s="1"/>
      <x:c r="Q123" s="1"/>
      <x:c r="R123" s="1"/>
      <x:c r="S123" s="1"/>
      <x:c r="T123" s="1"/>
      <x:c r="U123" s="1"/>
      <x:c r="V123" s="1"/>
      <x:c r="W123" s="1"/>
      <x:c r="X123" s="1"/>
      <x:c r="Y123" s="1"/>
      <x:c r="Z123" s="1"/>
    </x:row>
    <x:row r="124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1"/>
      <x:c r="O124" s="1"/>
      <x:c r="P124" s="1"/>
      <x:c r="Q124" s="1"/>
      <x:c r="R124" s="1"/>
      <x:c r="S124" s="1"/>
      <x:c r="T124" s="1"/>
      <x:c r="U124" s="1"/>
      <x:c r="V124" s="1"/>
      <x:c r="W124" s="1"/>
      <x:c r="X124" s="1"/>
      <x:c r="Y124" s="1"/>
      <x:c r="Z124" s="1"/>
    </x:row>
    <x:row r="125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1"/>
      <x:c r="O125" s="1"/>
      <x:c r="P125" s="1"/>
      <x:c r="Q125" s="1"/>
      <x:c r="R125" s="1"/>
      <x:c r="S125" s="1"/>
      <x:c r="T125" s="1"/>
      <x:c r="U125" s="1"/>
      <x:c r="V125" s="1"/>
      <x:c r="W125" s="1"/>
      <x:c r="X125" s="1"/>
      <x:c r="Y125" s="1"/>
      <x:c r="Z125" s="1"/>
    </x:row>
    <x:row r="126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  <x:c r="O126" s="1"/>
      <x:c r="P126" s="1"/>
      <x:c r="Q126" s="1"/>
      <x:c r="R126" s="1"/>
      <x:c r="S126" s="1"/>
      <x:c r="T126" s="1"/>
      <x:c r="U126" s="1"/>
      <x:c r="V126" s="1"/>
      <x:c r="W126" s="1"/>
      <x:c r="X126" s="1"/>
      <x:c r="Y126" s="1"/>
      <x:c r="Z126" s="1"/>
    </x:row>
    <x:row r="127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  <x:c r="O127" s="1"/>
      <x:c r="P127" s="1"/>
      <x:c r="Q127" s="1"/>
      <x:c r="R127" s="1"/>
      <x:c r="S127" s="1"/>
      <x:c r="T127" s="1"/>
      <x:c r="U127" s="1"/>
      <x:c r="V127" s="1"/>
      <x:c r="W127" s="1"/>
      <x:c r="X127" s="1"/>
      <x:c r="Y127" s="1"/>
      <x:c r="Z127" s="1"/>
    </x:row>
    <x:row r="128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  <x:c r="O128" s="1"/>
      <x:c r="P128" s="1"/>
      <x:c r="Q128" s="1"/>
      <x:c r="R128" s="1"/>
      <x:c r="S128" s="1"/>
      <x:c r="T128" s="1"/>
      <x:c r="U128" s="1"/>
      <x:c r="V128" s="1"/>
      <x:c r="W128" s="1"/>
      <x:c r="X128" s="1"/>
      <x:c r="Y128" s="1"/>
      <x:c r="Z128" s="1"/>
    </x:row>
    <x:row r="129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1"/>
      <x:c r="O129" s="1"/>
      <x:c r="P129" s="1"/>
      <x:c r="Q129" s="1"/>
      <x:c r="R129" s="1"/>
      <x:c r="S129" s="1"/>
      <x:c r="T129" s="1"/>
      <x:c r="U129" s="1"/>
      <x:c r="V129" s="1"/>
      <x:c r="W129" s="1"/>
      <x:c r="X129" s="1"/>
      <x:c r="Y129" s="1"/>
      <x:c r="Z129" s="1"/>
    </x:row>
    <x:row r="130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1"/>
      <x:c r="O130" s="1"/>
      <x:c r="P130" s="1"/>
      <x:c r="Q130" s="1"/>
      <x:c r="R130" s="1"/>
      <x:c r="S130" s="1"/>
      <x:c r="T130" s="1"/>
      <x:c r="U130" s="1"/>
      <x:c r="V130" s="1"/>
      <x:c r="W130" s="1"/>
      <x:c r="X130" s="1"/>
      <x:c r="Y130" s="1"/>
      <x:c r="Z130" s="1"/>
    </x:row>
    <x:row r="13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1"/>
      <x:c r="O131" s="1"/>
      <x:c r="P131" s="1"/>
      <x:c r="Q131" s="1"/>
      <x:c r="R131" s="1"/>
      <x:c r="S131" s="1"/>
      <x:c r="T131" s="1"/>
      <x:c r="U131" s="1"/>
      <x:c r="V131" s="1"/>
      <x:c r="W131" s="1"/>
      <x:c r="X131" s="1"/>
      <x:c r="Y131" s="1"/>
      <x:c r="Z131" s="1"/>
    </x:row>
    <x:row r="132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1"/>
      <x:c r="O132" s="1"/>
      <x:c r="P132" s="1"/>
      <x:c r="Q132" s="1"/>
      <x:c r="R132" s="1"/>
      <x:c r="S132" s="1"/>
      <x:c r="T132" s="1"/>
      <x:c r="U132" s="1"/>
      <x:c r="V132" s="1"/>
      <x:c r="W132" s="1"/>
      <x:c r="X132" s="1"/>
      <x:c r="Y132" s="1"/>
      <x:c r="Z132" s="1"/>
    </x:row>
    <x:row r="133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  <x:c r="O133" s="1"/>
      <x:c r="P133" s="1"/>
      <x:c r="Q133" s="1"/>
      <x:c r="R133" s="1"/>
      <x:c r="S133" s="1"/>
      <x:c r="T133" s="1"/>
      <x:c r="U133" s="1"/>
      <x:c r="V133" s="1"/>
      <x:c r="W133" s="1"/>
      <x:c r="X133" s="1"/>
      <x:c r="Y133" s="1"/>
      <x:c r="Z133" s="1"/>
    </x:row>
    <x:row r="134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  <x:c r="O134" s="1"/>
      <x:c r="P134" s="1"/>
      <x:c r="Q134" s="1"/>
      <x:c r="R134" s="1"/>
      <x:c r="S134" s="1"/>
      <x:c r="T134" s="1"/>
      <x:c r="U134" s="1"/>
      <x:c r="V134" s="1"/>
      <x:c r="W134" s="1"/>
      <x:c r="X134" s="1"/>
      <x:c r="Y134" s="1"/>
      <x:c r="Z134" s="1"/>
    </x:row>
    <x:row r="135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  <x:c r="O135" s="1"/>
      <x:c r="P135" s="1"/>
      <x:c r="Q135" s="1"/>
      <x:c r="R135" s="1"/>
      <x:c r="S135" s="1"/>
      <x:c r="T135" s="1"/>
      <x:c r="U135" s="1"/>
      <x:c r="V135" s="1"/>
      <x:c r="W135" s="1"/>
      <x:c r="X135" s="1"/>
      <x:c r="Y135" s="1"/>
      <x:c r="Z135" s="1"/>
    </x:row>
    <x:row r="136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  <x:c r="O136" s="1"/>
      <x:c r="P136" s="1"/>
      <x:c r="Q136" s="1"/>
      <x:c r="R136" s="1"/>
      <x:c r="S136" s="1"/>
      <x:c r="T136" s="1"/>
      <x:c r="U136" s="1"/>
      <x:c r="V136" s="1"/>
      <x:c r="W136" s="1"/>
      <x:c r="X136" s="1"/>
      <x:c r="Y136" s="1"/>
      <x:c r="Z136" s="1"/>
    </x:row>
    <x:row r="137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  <x:c r="O137" s="1"/>
      <x:c r="P137" s="1"/>
      <x:c r="Q137" s="1"/>
      <x:c r="R137" s="1"/>
      <x:c r="S137" s="1"/>
      <x:c r="T137" s="1"/>
      <x:c r="U137" s="1"/>
      <x:c r="V137" s="1"/>
      <x:c r="W137" s="1"/>
      <x:c r="X137" s="1"/>
      <x:c r="Y137" s="1"/>
      <x:c r="Z137" s="1"/>
    </x:row>
    <x:row r="138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  <x:c r="O138" s="1"/>
      <x:c r="P138" s="1"/>
      <x:c r="Q138" s="1"/>
      <x:c r="R138" s="1"/>
      <x:c r="S138" s="1"/>
      <x:c r="T138" s="1"/>
      <x:c r="U138" s="1"/>
      <x:c r="V138" s="1"/>
      <x:c r="W138" s="1"/>
      <x:c r="X138" s="1"/>
      <x:c r="Y138" s="1"/>
      <x:c r="Z138" s="1"/>
    </x:row>
    <x:row r="139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  <x:c r="O139" s="1"/>
      <x:c r="P139" s="1"/>
      <x:c r="Q139" s="1"/>
      <x:c r="R139" s="1"/>
      <x:c r="S139" s="1"/>
      <x:c r="T139" s="1"/>
      <x:c r="U139" s="1"/>
      <x:c r="V139" s="1"/>
      <x:c r="W139" s="1"/>
      <x:c r="X139" s="1"/>
      <x:c r="Y139" s="1"/>
      <x:c r="Z139" s="1"/>
    </x:row>
    <x:row r="140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  <x:c r="O140" s="1"/>
      <x:c r="P140" s="1"/>
      <x:c r="Q140" s="1"/>
      <x:c r="R140" s="1"/>
      <x:c r="S140" s="1"/>
      <x:c r="T140" s="1"/>
      <x:c r="U140" s="1"/>
      <x:c r="V140" s="1"/>
      <x:c r="W140" s="1"/>
      <x:c r="X140" s="1"/>
      <x:c r="Y140" s="1"/>
      <x:c r="Z140" s="1"/>
    </x:row>
    <x:row r="14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  <x:c r="O141" s="1"/>
      <x:c r="P141" s="1"/>
      <x:c r="Q141" s="1"/>
      <x:c r="R141" s="1"/>
      <x:c r="S141" s="1"/>
      <x:c r="T141" s="1"/>
      <x:c r="U141" s="1"/>
      <x:c r="V141" s="1"/>
      <x:c r="W141" s="1"/>
      <x:c r="X141" s="1"/>
      <x:c r="Y141" s="1"/>
      <x:c r="Z141" s="1"/>
    </x:row>
    <x:row r="142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  <x:c r="O142" s="1"/>
      <x:c r="P142" s="1"/>
      <x:c r="Q142" s="1"/>
      <x:c r="R142" s="1"/>
      <x:c r="S142" s="1"/>
      <x:c r="T142" s="1"/>
      <x:c r="U142" s="1"/>
      <x:c r="V142" s="1"/>
      <x:c r="W142" s="1"/>
      <x:c r="X142" s="1"/>
      <x:c r="Y142" s="1"/>
      <x:c r="Z142" s="1"/>
    </x:row>
    <x:row r="143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  <x:c r="O143" s="1"/>
      <x:c r="P143" s="1"/>
      <x:c r="Q143" s="1"/>
      <x:c r="R143" s="1"/>
      <x:c r="S143" s="1"/>
      <x:c r="T143" s="1"/>
      <x:c r="U143" s="1"/>
      <x:c r="V143" s="1"/>
      <x:c r="W143" s="1"/>
      <x:c r="X143" s="1"/>
      <x:c r="Y143" s="1"/>
      <x:c r="Z143" s="1"/>
    </x:row>
    <x:row r="144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  <x:c r="O144" s="1"/>
      <x:c r="P144" s="1"/>
      <x:c r="Q144" s="1"/>
      <x:c r="R144" s="1"/>
      <x:c r="S144" s="1"/>
      <x:c r="T144" s="1"/>
      <x:c r="U144" s="1"/>
      <x:c r="V144" s="1"/>
      <x:c r="W144" s="1"/>
      <x:c r="X144" s="1"/>
      <x:c r="Y144" s="1"/>
      <x:c r="Z144" s="1"/>
    </x:row>
    <x:row r="145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  <x:c r="O145" s="1"/>
      <x:c r="P145" s="1"/>
      <x:c r="Q145" s="1"/>
      <x:c r="R145" s="1"/>
      <x:c r="S145" s="1"/>
      <x:c r="T145" s="1"/>
      <x:c r="U145" s="1"/>
      <x:c r="V145" s="1"/>
      <x:c r="W145" s="1"/>
      <x:c r="X145" s="1"/>
      <x:c r="Y145" s="1"/>
      <x:c r="Z145" s="1"/>
    </x:row>
    <x:row r="146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  <x:c r="O146" s="1"/>
      <x:c r="P146" s="1"/>
      <x:c r="Q146" s="1"/>
      <x:c r="R146" s="1"/>
      <x:c r="S146" s="1"/>
      <x:c r="T146" s="1"/>
      <x:c r="U146" s="1"/>
      <x:c r="V146" s="1"/>
      <x:c r="W146" s="1"/>
      <x:c r="X146" s="1"/>
      <x:c r="Y146" s="1"/>
      <x:c r="Z146" s="1"/>
    </x:row>
    <x:row r="147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  <x:c r="O147" s="1"/>
      <x:c r="P147" s="1"/>
      <x:c r="Q147" s="1"/>
      <x:c r="R147" s="1"/>
      <x:c r="S147" s="1"/>
      <x:c r="T147" s="1"/>
      <x:c r="U147" s="1"/>
      <x:c r="V147" s="1"/>
      <x:c r="W147" s="1"/>
      <x:c r="X147" s="1"/>
      <x:c r="Y147" s="1"/>
      <x:c r="Z147" s="1"/>
    </x:row>
    <x:row r="148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  <x:c r="O148" s="1"/>
      <x:c r="P148" s="1"/>
      <x:c r="Q148" s="1"/>
      <x:c r="R148" s="1"/>
      <x:c r="S148" s="1"/>
      <x:c r="T148" s="1"/>
      <x:c r="U148" s="1"/>
      <x:c r="V148" s="1"/>
      <x:c r="W148" s="1"/>
      <x:c r="X148" s="1"/>
      <x:c r="Y148" s="1"/>
      <x:c r="Z148" s="1"/>
    </x:row>
    <x:row r="149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  <x:c r="O149" s="1"/>
      <x:c r="P149" s="1"/>
      <x:c r="Q149" s="1"/>
      <x:c r="R149" s="1"/>
      <x:c r="S149" s="1"/>
      <x:c r="T149" s="1"/>
      <x:c r="U149" s="1"/>
      <x:c r="V149" s="1"/>
      <x:c r="W149" s="1"/>
      <x:c r="X149" s="1"/>
      <x:c r="Y149" s="1"/>
      <x:c r="Z149" s="1"/>
    </x:row>
    <x:row r="150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  <x:c r="O150" s="1"/>
      <x:c r="P150" s="1"/>
      <x:c r="Q150" s="1"/>
      <x:c r="R150" s="1"/>
      <x:c r="S150" s="1"/>
      <x:c r="T150" s="1"/>
      <x:c r="U150" s="1"/>
      <x:c r="V150" s="1"/>
      <x:c r="W150" s="1"/>
      <x:c r="X150" s="1"/>
      <x:c r="Y150" s="1"/>
      <x:c r="Z150" s="1"/>
    </x:row>
    <x:row r="15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  <x:c r="O151" s="1"/>
      <x:c r="P151" s="1"/>
      <x:c r="Q151" s="1"/>
      <x:c r="R151" s="1"/>
      <x:c r="S151" s="1"/>
      <x:c r="T151" s="1"/>
      <x:c r="U151" s="1"/>
      <x:c r="V151" s="1"/>
      <x:c r="W151" s="1"/>
      <x:c r="X151" s="1"/>
      <x:c r="Y151" s="1"/>
      <x:c r="Z151" s="1"/>
    </x:row>
    <x:row r="152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  <x:c r="O152" s="1"/>
      <x:c r="P152" s="1"/>
      <x:c r="Q152" s="1"/>
      <x:c r="R152" s="1"/>
      <x:c r="S152" s="1"/>
      <x:c r="T152" s="1"/>
      <x:c r="U152" s="1"/>
      <x:c r="V152" s="1"/>
      <x:c r="W152" s="1"/>
      <x:c r="X152" s="1"/>
      <x:c r="Y152" s="1"/>
      <x:c r="Z152" s="1"/>
    </x:row>
    <x:row r="153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  <x:c r="O153" s="1"/>
      <x:c r="P153" s="1"/>
      <x:c r="Q153" s="1"/>
      <x:c r="R153" s="1"/>
      <x:c r="S153" s="1"/>
      <x:c r="T153" s="1"/>
      <x:c r="U153" s="1"/>
      <x:c r="V153" s="1"/>
      <x:c r="W153" s="1"/>
      <x:c r="X153" s="1"/>
      <x:c r="Y153" s="1"/>
      <x:c r="Z153" s="1"/>
    </x:row>
    <x:row r="154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  <x:c r="O154" s="1"/>
      <x:c r="P154" s="1"/>
      <x:c r="Q154" s="1"/>
      <x:c r="R154" s="1"/>
      <x:c r="S154" s="1"/>
      <x:c r="T154" s="1"/>
      <x:c r="U154" s="1"/>
      <x:c r="V154" s="1"/>
      <x:c r="W154" s="1"/>
      <x:c r="X154" s="1"/>
      <x:c r="Y154" s="1"/>
      <x:c r="Z154" s="1"/>
    </x:row>
    <x:row r="155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  <x:c r="O155" s="1"/>
      <x:c r="P155" s="1"/>
      <x:c r="Q155" s="1"/>
      <x:c r="R155" s="1"/>
      <x:c r="S155" s="1"/>
      <x:c r="T155" s="1"/>
      <x:c r="U155" s="1"/>
      <x:c r="V155" s="1"/>
      <x:c r="W155" s="1"/>
      <x:c r="X155" s="1"/>
      <x:c r="Y155" s="1"/>
      <x:c r="Z155" s="1"/>
    </x:row>
    <x:row r="156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  <x:c r="O156" s="1"/>
      <x:c r="P156" s="1"/>
      <x:c r="Q156" s="1"/>
      <x:c r="R156" s="1"/>
      <x:c r="S156" s="1"/>
      <x:c r="T156" s="1"/>
      <x:c r="U156" s="1"/>
      <x:c r="V156" s="1"/>
      <x:c r="W156" s="1"/>
      <x:c r="X156" s="1"/>
      <x:c r="Y156" s="1"/>
      <x:c r="Z156" s="1"/>
    </x:row>
    <x:row r="157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  <x:c r="O157" s="1"/>
      <x:c r="P157" s="1"/>
      <x:c r="Q157" s="1"/>
      <x:c r="R157" s="1"/>
      <x:c r="S157" s="1"/>
      <x:c r="T157" s="1"/>
      <x:c r="U157" s="1"/>
      <x:c r="V157" s="1"/>
      <x:c r="W157" s="1"/>
      <x:c r="X157" s="1"/>
      <x:c r="Y157" s="1"/>
      <x:c r="Z157" s="1"/>
    </x:row>
    <x:row r="158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  <x:c r="O158" s="1"/>
      <x:c r="P158" s="1"/>
      <x:c r="Q158" s="1"/>
      <x:c r="R158" s="1"/>
      <x:c r="S158" s="1"/>
      <x:c r="T158" s="1"/>
      <x:c r="U158" s="1"/>
      <x:c r="V158" s="1"/>
      <x:c r="W158" s="1"/>
      <x:c r="X158" s="1"/>
      <x:c r="Y158" s="1"/>
      <x:c r="Z158" s="1"/>
    </x:row>
    <x:row r="159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  <x:c r="O159" s="1"/>
      <x:c r="P159" s="1"/>
      <x:c r="Q159" s="1"/>
      <x:c r="R159" s="1"/>
      <x:c r="S159" s="1"/>
      <x:c r="T159" s="1"/>
      <x:c r="U159" s="1"/>
      <x:c r="V159" s="1"/>
      <x:c r="W159" s="1"/>
      <x:c r="X159" s="1"/>
      <x:c r="Y159" s="1"/>
      <x:c r="Z159" s="1"/>
    </x:row>
    <x:row r="160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  <x:c r="O160" s="1"/>
      <x:c r="P160" s="1"/>
      <x:c r="Q160" s="1"/>
      <x:c r="R160" s="1"/>
      <x:c r="S160" s="1"/>
      <x:c r="T160" s="1"/>
      <x:c r="U160" s="1"/>
      <x:c r="V160" s="1"/>
      <x:c r="W160" s="1"/>
      <x:c r="X160" s="1"/>
      <x:c r="Y160" s="1"/>
      <x:c r="Z160" s="1"/>
    </x:row>
    <x:row r="16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  <x:c r="O161" s="1"/>
      <x:c r="P161" s="1"/>
      <x:c r="Q161" s="1"/>
      <x:c r="R161" s="1"/>
      <x:c r="S161" s="1"/>
      <x:c r="T161" s="1"/>
      <x:c r="U161" s="1"/>
      <x:c r="V161" s="1"/>
      <x:c r="W161" s="1"/>
      <x:c r="X161" s="1"/>
      <x:c r="Y161" s="1"/>
      <x:c r="Z161" s="1"/>
    </x:row>
    <x:row r="162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  <x:c r="O162" s="1"/>
      <x:c r="P162" s="1"/>
      <x:c r="Q162" s="1"/>
      <x:c r="R162" s="1"/>
      <x:c r="S162" s="1"/>
      <x:c r="T162" s="1"/>
      <x:c r="U162" s="1"/>
      <x:c r="V162" s="1"/>
      <x:c r="W162" s="1"/>
      <x:c r="X162" s="1"/>
      <x:c r="Y162" s="1"/>
      <x:c r="Z162" s="1"/>
    </x:row>
    <x:row r="163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  <x:c r="O163" s="1"/>
      <x:c r="P163" s="1"/>
      <x:c r="Q163" s="1"/>
      <x:c r="R163" s="1"/>
      <x:c r="S163" s="1"/>
      <x:c r="T163" s="1"/>
      <x:c r="U163" s="1"/>
      <x:c r="V163" s="1"/>
      <x:c r="W163" s="1"/>
      <x:c r="X163" s="1"/>
      <x:c r="Y163" s="1"/>
      <x:c r="Z163" s="1"/>
    </x:row>
    <x:row r="164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  <x:c r="O164" s="1"/>
      <x:c r="P164" s="1"/>
      <x:c r="Q164" s="1"/>
      <x:c r="R164" s="1"/>
      <x:c r="S164" s="1"/>
      <x:c r="T164" s="1"/>
      <x:c r="U164" s="1"/>
      <x:c r="V164" s="1"/>
      <x:c r="W164" s="1"/>
      <x:c r="X164" s="1"/>
      <x:c r="Y164" s="1"/>
      <x:c r="Z164" s="1"/>
    </x:row>
    <x:row r="165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  <x:c r="O165" s="1"/>
      <x:c r="P165" s="1"/>
      <x:c r="Q165" s="1"/>
      <x:c r="R165" s="1"/>
      <x:c r="S165" s="1"/>
      <x:c r="T165" s="1"/>
      <x:c r="U165" s="1"/>
      <x:c r="V165" s="1"/>
      <x:c r="W165" s="1"/>
      <x:c r="X165" s="1"/>
      <x:c r="Y165" s="1"/>
      <x:c r="Z165" s="1"/>
    </x:row>
    <x:row r="166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  <x:c r="O166" s="1"/>
      <x:c r="P166" s="1"/>
      <x:c r="Q166" s="1"/>
      <x:c r="R166" s="1"/>
      <x:c r="S166" s="1"/>
      <x:c r="T166" s="1"/>
      <x:c r="U166" s="1"/>
      <x:c r="V166" s="1"/>
      <x:c r="W166" s="1"/>
      <x:c r="X166" s="1"/>
      <x:c r="Y166" s="1"/>
      <x:c r="Z166" s="1"/>
    </x:row>
    <x:row r="167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  <x:c r="O167" s="1"/>
      <x:c r="P167" s="1"/>
      <x:c r="Q167" s="1"/>
      <x:c r="R167" s="1"/>
      <x:c r="S167" s="1"/>
      <x:c r="T167" s="1"/>
      <x:c r="U167" s="1"/>
      <x:c r="V167" s="1"/>
      <x:c r="W167" s="1"/>
      <x:c r="X167" s="1"/>
      <x:c r="Y167" s="1"/>
      <x:c r="Z167" s="1"/>
    </x:row>
    <x:row r="168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  <x:c r="O168" s="1"/>
      <x:c r="P168" s="1"/>
      <x:c r="Q168" s="1"/>
      <x:c r="R168" s="1"/>
      <x:c r="S168" s="1"/>
      <x:c r="T168" s="1"/>
      <x:c r="U168" s="1"/>
      <x:c r="V168" s="1"/>
      <x:c r="W168" s="1"/>
      <x:c r="X168" s="1"/>
      <x:c r="Y168" s="1"/>
      <x:c r="Z168" s="1"/>
    </x:row>
    <x:row r="169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  <x:c r="O169" s="1"/>
      <x:c r="P169" s="1"/>
      <x:c r="Q169" s="1"/>
      <x:c r="R169" s="1"/>
      <x:c r="S169" s="1"/>
      <x:c r="T169" s="1"/>
      <x:c r="U169" s="1"/>
      <x:c r="V169" s="1"/>
      <x:c r="W169" s="1"/>
      <x:c r="X169" s="1"/>
      <x:c r="Y169" s="1"/>
      <x:c r="Z169" s="1"/>
    </x:row>
    <x:row r="170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  <x:c r="O170" s="1"/>
      <x:c r="P170" s="1"/>
      <x:c r="Q170" s="1"/>
      <x:c r="R170" s="1"/>
      <x:c r="S170" s="1"/>
      <x:c r="T170" s="1"/>
      <x:c r="U170" s="1"/>
      <x:c r="V170" s="1"/>
      <x:c r="W170" s="1"/>
      <x:c r="X170" s="1"/>
      <x:c r="Y170" s="1"/>
      <x:c r="Z170" s="1"/>
    </x:row>
    <x:row r="17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  <x:c r="O171" s="1"/>
      <x:c r="P171" s="1"/>
      <x:c r="Q171" s="1"/>
      <x:c r="R171" s="1"/>
      <x:c r="S171" s="1"/>
      <x:c r="T171" s="1"/>
      <x:c r="U171" s="1"/>
      <x:c r="V171" s="1"/>
      <x:c r="W171" s="1"/>
      <x:c r="X171" s="1"/>
      <x:c r="Y171" s="1"/>
      <x:c r="Z171" s="1"/>
    </x:row>
    <x:row r="172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  <x:c r="O172" s="1"/>
      <x:c r="P172" s="1"/>
      <x:c r="Q172" s="1"/>
      <x:c r="R172" s="1"/>
      <x:c r="S172" s="1"/>
      <x:c r="T172" s="1"/>
      <x:c r="U172" s="1"/>
      <x:c r="V172" s="1"/>
      <x:c r="W172" s="1"/>
      <x:c r="X172" s="1"/>
      <x:c r="Y172" s="1"/>
      <x:c r="Z172" s="1"/>
    </x:row>
    <x:row r="173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  <x:c r="O173" s="1"/>
      <x:c r="P173" s="1"/>
      <x:c r="Q173" s="1"/>
      <x:c r="R173" s="1"/>
      <x:c r="S173" s="1"/>
      <x:c r="T173" s="1"/>
      <x:c r="U173" s="1"/>
      <x:c r="V173" s="1"/>
      <x:c r="W173" s="1"/>
      <x:c r="X173" s="1"/>
      <x:c r="Y173" s="1"/>
      <x:c r="Z173" s="1"/>
    </x:row>
    <x:row r="174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  <x:c r="O174" s="1"/>
      <x:c r="P174" s="1"/>
      <x:c r="Q174" s="1"/>
      <x:c r="R174" s="1"/>
      <x:c r="S174" s="1"/>
      <x:c r="T174" s="1"/>
      <x:c r="U174" s="1"/>
      <x:c r="V174" s="1"/>
      <x:c r="W174" s="1"/>
      <x:c r="X174" s="1"/>
      <x:c r="Y174" s="1"/>
      <x:c r="Z174" s="1"/>
    </x:row>
    <x:row r="175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  <x:c r="O175" s="1"/>
      <x:c r="P175" s="1"/>
      <x:c r="Q175" s="1"/>
      <x:c r="R175" s="1"/>
      <x:c r="S175" s="1"/>
      <x:c r="T175" s="1"/>
      <x:c r="U175" s="1"/>
      <x:c r="V175" s="1"/>
      <x:c r="W175" s="1"/>
      <x:c r="X175" s="1"/>
      <x:c r="Y175" s="1"/>
      <x:c r="Z175" s="1"/>
    </x:row>
    <x:row r="176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  <x:c r="O176" s="1"/>
      <x:c r="P176" s="1"/>
      <x:c r="Q176" s="1"/>
      <x:c r="R176" s="1"/>
      <x:c r="S176" s="1"/>
      <x:c r="T176" s="1"/>
      <x:c r="U176" s="1"/>
      <x:c r="V176" s="1"/>
      <x:c r="W176" s="1"/>
      <x:c r="X176" s="1"/>
      <x:c r="Y176" s="1"/>
      <x:c r="Z176" s="1"/>
    </x:row>
    <x:row r="177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  <x:c r="O177" s="1"/>
      <x:c r="P177" s="1"/>
      <x:c r="Q177" s="1"/>
      <x:c r="R177" s="1"/>
      <x:c r="S177" s="1"/>
      <x:c r="T177" s="1"/>
      <x:c r="U177" s="1"/>
      <x:c r="V177" s="1"/>
      <x:c r="W177" s="1"/>
      <x:c r="X177" s="1"/>
      <x:c r="Y177" s="1"/>
      <x:c r="Z177" s="1"/>
    </x:row>
    <x:row r="178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  <x:c r="O178" s="1"/>
      <x:c r="P178" s="1"/>
      <x:c r="Q178" s="1"/>
      <x:c r="R178" s="1"/>
      <x:c r="S178" s="1"/>
      <x:c r="T178" s="1"/>
      <x:c r="U178" s="1"/>
      <x:c r="V178" s="1"/>
      <x:c r="W178" s="1"/>
      <x:c r="X178" s="1"/>
      <x:c r="Y178" s="1"/>
      <x:c r="Z178" s="1"/>
    </x:row>
    <x:row r="179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  <x:c r="O179" s="1"/>
      <x:c r="P179" s="1"/>
      <x:c r="Q179" s="1"/>
      <x:c r="R179" s="1"/>
      <x:c r="S179" s="1"/>
      <x:c r="T179" s="1"/>
      <x:c r="U179" s="1"/>
      <x:c r="V179" s="1"/>
      <x:c r="W179" s="1"/>
      <x:c r="X179" s="1"/>
      <x:c r="Y179" s="1"/>
      <x:c r="Z179" s="1"/>
    </x:row>
    <x:row r="180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  <x:c r="O180" s="1"/>
      <x:c r="P180" s="1"/>
      <x:c r="Q180" s="1"/>
      <x:c r="R180" s="1"/>
      <x:c r="S180" s="1"/>
      <x:c r="T180" s="1"/>
      <x:c r="U180" s="1"/>
      <x:c r="V180" s="1"/>
      <x:c r="W180" s="1"/>
      <x:c r="X180" s="1"/>
      <x:c r="Y180" s="1"/>
      <x:c r="Z180" s="1"/>
    </x:row>
    <x:row r="18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  <x:c r="O181" s="1"/>
      <x:c r="P181" s="1"/>
      <x:c r="Q181" s="1"/>
      <x:c r="R181" s="1"/>
      <x:c r="S181" s="1"/>
      <x:c r="T181" s="1"/>
      <x:c r="U181" s="1"/>
      <x:c r="V181" s="1"/>
      <x:c r="W181" s="1"/>
      <x:c r="X181" s="1"/>
      <x:c r="Y181" s="1"/>
      <x:c r="Z181" s="1"/>
    </x:row>
    <x:row r="182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  <x:c r="O182" s="1"/>
      <x:c r="P182" s="1"/>
      <x:c r="Q182" s="1"/>
      <x:c r="R182" s="1"/>
      <x:c r="S182" s="1"/>
      <x:c r="T182" s="1"/>
      <x:c r="U182" s="1"/>
      <x:c r="V182" s="1"/>
      <x:c r="W182" s="1"/>
      <x:c r="X182" s="1"/>
      <x:c r="Y182" s="1"/>
      <x:c r="Z182" s="1"/>
    </x:row>
    <x:row r="183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  <x:c r="O183" s="1"/>
      <x:c r="P183" s="1"/>
      <x:c r="Q183" s="1"/>
      <x:c r="R183" s="1"/>
      <x:c r="S183" s="1"/>
      <x:c r="T183" s="1"/>
      <x:c r="U183" s="1"/>
      <x:c r="V183" s="1"/>
      <x:c r="W183" s="1"/>
      <x:c r="X183" s="1"/>
      <x:c r="Y183" s="1"/>
      <x:c r="Z183" s="1"/>
    </x:row>
    <x:row r="184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  <x:c r="O184" s="1"/>
      <x:c r="P184" s="1"/>
      <x:c r="Q184" s="1"/>
      <x:c r="R184" s="1"/>
      <x:c r="S184" s="1"/>
      <x:c r="T184" s="1"/>
      <x:c r="U184" s="1"/>
      <x:c r="V184" s="1"/>
      <x:c r="W184" s="1"/>
      <x:c r="X184" s="1"/>
      <x:c r="Y184" s="1"/>
      <x:c r="Z184" s="1"/>
    </x:row>
    <x:row r="185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  <x:c r="O185" s="1"/>
      <x:c r="P185" s="1"/>
      <x:c r="Q185" s="1"/>
      <x:c r="R185" s="1"/>
      <x:c r="S185" s="1"/>
      <x:c r="T185" s="1"/>
      <x:c r="U185" s="1"/>
      <x:c r="V185" s="1"/>
      <x:c r="W185" s="1"/>
      <x:c r="X185" s="1"/>
      <x:c r="Y185" s="1"/>
      <x:c r="Z185" s="1"/>
    </x:row>
    <x:row r="186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  <x:c r="O186" s="1"/>
      <x:c r="P186" s="1"/>
      <x:c r="Q186" s="1"/>
      <x:c r="R186" s="1"/>
      <x:c r="S186" s="1"/>
      <x:c r="T186" s="1"/>
      <x:c r="U186" s="1"/>
      <x:c r="V186" s="1"/>
      <x:c r="W186" s="1"/>
      <x:c r="X186" s="1"/>
      <x:c r="Y186" s="1"/>
      <x:c r="Z186" s="1"/>
    </x:row>
    <x:row r="187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  <x:c r="O187" s="1"/>
      <x:c r="P187" s="1"/>
      <x:c r="Q187" s="1"/>
      <x:c r="R187" s="1"/>
      <x:c r="S187" s="1"/>
      <x:c r="T187" s="1"/>
      <x:c r="U187" s="1"/>
      <x:c r="V187" s="1"/>
      <x:c r="W187" s="1"/>
      <x:c r="X187" s="1"/>
      <x:c r="Y187" s="1"/>
      <x:c r="Z187" s="1"/>
    </x:row>
    <x:row r="188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  <x:c r="O188" s="1"/>
      <x:c r="P188" s="1"/>
      <x:c r="Q188" s="1"/>
      <x:c r="R188" s="1"/>
      <x:c r="S188" s="1"/>
      <x:c r="T188" s="1"/>
      <x:c r="U188" s="1"/>
      <x:c r="V188" s="1"/>
      <x:c r="W188" s="1"/>
      <x:c r="X188" s="1"/>
      <x:c r="Y188" s="1"/>
      <x:c r="Z188" s="1"/>
    </x:row>
    <x:row r="189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  <x:c r="O189" s="1"/>
      <x:c r="P189" s="1"/>
      <x:c r="Q189" s="1"/>
      <x:c r="R189" s="1"/>
      <x:c r="S189" s="1"/>
      <x:c r="T189" s="1"/>
      <x:c r="U189" s="1"/>
      <x:c r="V189" s="1"/>
      <x:c r="W189" s="1"/>
      <x:c r="X189" s="1"/>
      <x:c r="Y189" s="1"/>
      <x:c r="Z189" s="1"/>
    </x:row>
    <x:row r="190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  <x:c r="O190" s="1"/>
      <x:c r="P190" s="1"/>
      <x:c r="Q190" s="1"/>
      <x:c r="R190" s="1"/>
      <x:c r="S190" s="1"/>
      <x:c r="T190" s="1"/>
      <x:c r="U190" s="1"/>
      <x:c r="V190" s="1"/>
      <x:c r="W190" s="1"/>
      <x:c r="X190" s="1"/>
      <x:c r="Y190" s="1"/>
      <x:c r="Z190" s="1"/>
    </x:row>
    <x:row r="19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  <x:c r="O191" s="1"/>
      <x:c r="P191" s="1"/>
      <x:c r="Q191" s="1"/>
      <x:c r="R191" s="1"/>
      <x:c r="S191" s="1"/>
      <x:c r="T191" s="1"/>
      <x:c r="U191" s="1"/>
      <x:c r="V191" s="1"/>
      <x:c r="W191" s="1"/>
      <x:c r="X191" s="1"/>
      <x:c r="Y191" s="1"/>
      <x:c r="Z191" s="1"/>
    </x:row>
    <x:row r="192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  <x:c r="O192" s="1"/>
      <x:c r="P192" s="1"/>
      <x:c r="Q192" s="1"/>
      <x:c r="R192" s="1"/>
      <x:c r="S192" s="1"/>
      <x:c r="T192" s="1"/>
      <x:c r="U192" s="1"/>
      <x:c r="V192" s="1"/>
      <x:c r="W192" s="1"/>
      <x:c r="X192" s="1"/>
      <x:c r="Y192" s="1"/>
      <x:c r="Z192" s="1"/>
    </x:row>
    <x:row r="193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  <x:c r="O193" s="1"/>
      <x:c r="P193" s="1"/>
      <x:c r="Q193" s="1"/>
      <x:c r="R193" s="1"/>
      <x:c r="S193" s="1"/>
      <x:c r="T193" s="1"/>
      <x:c r="U193" s="1"/>
      <x:c r="V193" s="1"/>
      <x:c r="W193" s="1"/>
      <x:c r="X193" s="1"/>
      <x:c r="Y193" s="1"/>
      <x:c r="Z193" s="1"/>
    </x:row>
    <x:row r="194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  <x:c r="O194" s="1"/>
      <x:c r="P194" s="1"/>
      <x:c r="Q194" s="1"/>
      <x:c r="R194" s="1"/>
      <x:c r="S194" s="1"/>
      <x:c r="T194" s="1"/>
      <x:c r="U194" s="1"/>
      <x:c r="V194" s="1"/>
      <x:c r="W194" s="1"/>
      <x:c r="X194" s="1"/>
      <x:c r="Y194" s="1"/>
      <x:c r="Z194" s="1"/>
    </x:row>
    <x:row r="195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  <x:c r="O195" s="1"/>
      <x:c r="P195" s="1"/>
      <x:c r="Q195" s="1"/>
      <x:c r="R195" s="1"/>
      <x:c r="S195" s="1"/>
      <x:c r="T195" s="1"/>
      <x:c r="U195" s="1"/>
      <x:c r="V195" s="1"/>
      <x:c r="W195" s="1"/>
      <x:c r="X195" s="1"/>
      <x:c r="Y195" s="1"/>
      <x:c r="Z195" s="1"/>
    </x:row>
    <x:row r="196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  <x:c r="O196" s="1"/>
      <x:c r="P196" s="1"/>
      <x:c r="Q196" s="1"/>
      <x:c r="R196" s="1"/>
      <x:c r="S196" s="1"/>
      <x:c r="T196" s="1"/>
      <x:c r="U196" s="1"/>
      <x:c r="V196" s="1"/>
      <x:c r="W196" s="1"/>
      <x:c r="X196" s="1"/>
      <x:c r="Y196" s="1"/>
      <x:c r="Z196" s="1"/>
    </x:row>
    <x:row r="197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  <x:c r="O197" s="1"/>
      <x:c r="P197" s="1"/>
      <x:c r="Q197" s="1"/>
      <x:c r="R197" s="1"/>
      <x:c r="S197" s="1"/>
      <x:c r="T197" s="1"/>
      <x:c r="U197" s="1"/>
      <x:c r="V197" s="1"/>
      <x:c r="W197" s="1"/>
      <x:c r="X197" s="1"/>
      <x:c r="Y197" s="1"/>
      <x:c r="Z197" s="1"/>
    </x:row>
    <x:row r="198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  <x:c r="O198" s="1"/>
      <x:c r="P198" s="1"/>
      <x:c r="Q198" s="1"/>
      <x:c r="R198" s="1"/>
      <x:c r="S198" s="1"/>
      <x:c r="T198" s="1"/>
      <x:c r="U198" s="1"/>
      <x:c r="V198" s="1"/>
      <x:c r="W198" s="1"/>
      <x:c r="X198" s="1"/>
      <x:c r="Y198" s="1"/>
      <x:c r="Z198" s="1"/>
    </x:row>
    <x:row r="199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  <x:c r="O199" s="1"/>
      <x:c r="P199" s="1"/>
      <x:c r="Q199" s="1"/>
      <x:c r="R199" s="1"/>
      <x:c r="S199" s="1"/>
      <x:c r="T199" s="1"/>
      <x:c r="U199" s="1"/>
      <x:c r="V199" s="1"/>
      <x:c r="W199" s="1"/>
      <x:c r="X199" s="1"/>
      <x:c r="Y199" s="1"/>
      <x:c r="Z199" s="1"/>
    </x:row>
    <x:row r="200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  <x:c r="O200" s="1"/>
      <x:c r="P200" s="1"/>
      <x:c r="Q200" s="1"/>
      <x:c r="R200" s="1"/>
      <x:c r="S200" s="1"/>
      <x:c r="T200" s="1"/>
      <x:c r="U200" s="1"/>
      <x:c r="V200" s="1"/>
      <x:c r="W200" s="1"/>
      <x:c r="X200" s="1"/>
      <x:c r="Y200" s="1"/>
      <x:c r="Z200" s="1"/>
    </x:row>
    <x:row r="201">
      <x:c r="A201" s="1"/>
      <x:c r="B201" s="1"/>
      <x:c r="C201" s="1"/>
      <x:c r="D201" s="1"/>
      <x:c r="E201" s="1"/>
      <x:c r="F201" s="1"/>
      <x:c r="G201" s="1"/>
      <x:c r="H201" s="1"/>
      <x:c r="I201" s="1"/>
      <x:c r="J201" s="1"/>
      <x:c r="K201" s="1"/>
      <x:c r="L201" s="1"/>
      <x:c r="M201" s="1"/>
      <x:c r="N201" s="1"/>
      <x:c r="O201" s="1"/>
      <x:c r="P201" s="1"/>
      <x:c r="Q201" s="1"/>
      <x:c r="R201" s="1"/>
      <x:c r="S201" s="1"/>
      <x:c r="T201" s="1"/>
      <x:c r="U201" s="1"/>
      <x:c r="V201" s="1"/>
      <x:c r="W201" s="1"/>
      <x:c r="X201" s="1"/>
      <x:c r="Y201" s="1"/>
      <x:c r="Z201" s="1"/>
    </x:row>
    <x:row r="202">
      <x:c r="A202" s="1"/>
      <x:c r="B202" s="1"/>
      <x:c r="C202" s="1"/>
      <x:c r="D202" s="1"/>
      <x:c r="E202" s="1"/>
      <x:c r="F202" s="1"/>
      <x:c r="G202" s="1"/>
      <x:c r="H202" s="1"/>
      <x:c r="I202" s="1"/>
      <x:c r="J202" s="1"/>
      <x:c r="K202" s="1"/>
      <x:c r="L202" s="1"/>
      <x:c r="M202" s="1"/>
      <x:c r="N202" s="1"/>
      <x:c r="O202" s="1"/>
      <x:c r="P202" s="1"/>
      <x:c r="Q202" s="1"/>
      <x:c r="R202" s="1"/>
      <x:c r="S202" s="1"/>
      <x:c r="T202" s="1"/>
      <x:c r="U202" s="1"/>
      <x:c r="V202" s="1"/>
      <x:c r="W202" s="1"/>
      <x:c r="X202" s="1"/>
      <x:c r="Y202" s="1"/>
      <x:c r="Z202" s="1"/>
    </x:row>
    <x:row r="203">
      <x:c r="A203" s="1"/>
      <x:c r="B203" s="1"/>
      <x:c r="C203" s="1"/>
      <x:c r="D203" s="1"/>
      <x:c r="E203" s="1"/>
      <x:c r="F203" s="1"/>
      <x:c r="G203" s="1"/>
      <x:c r="H203" s="1"/>
      <x:c r="I203" s="1"/>
      <x:c r="J203" s="1"/>
      <x:c r="K203" s="1"/>
      <x:c r="L203" s="1"/>
      <x:c r="M203" s="1"/>
      <x:c r="N203" s="1"/>
      <x:c r="O203" s="1"/>
      <x:c r="P203" s="1"/>
      <x:c r="Q203" s="1"/>
      <x:c r="R203" s="1"/>
      <x:c r="S203" s="1"/>
      <x:c r="T203" s="1"/>
      <x:c r="U203" s="1"/>
      <x:c r="V203" s="1"/>
      <x:c r="W203" s="1"/>
      <x:c r="X203" s="1"/>
      <x:c r="Y203" s="1"/>
      <x:c r="Z203" s="1"/>
    </x:row>
    <x:row r="204">
      <x:c r="A204" s="1"/>
      <x:c r="B204" s="1"/>
      <x:c r="C204" s="1"/>
      <x:c r="D204" s="1"/>
      <x:c r="E204" s="1"/>
      <x:c r="F204" s="1"/>
      <x:c r="G204" s="1"/>
      <x:c r="H204" s="1"/>
      <x:c r="I204" s="1"/>
      <x:c r="J204" s="1"/>
      <x:c r="K204" s="1"/>
      <x:c r="L204" s="1"/>
      <x:c r="M204" s="1"/>
      <x:c r="N204" s="1"/>
      <x:c r="O204" s="1"/>
      <x:c r="P204" s="1"/>
      <x:c r="Q204" s="1"/>
      <x:c r="R204" s="1"/>
      <x:c r="S204" s="1"/>
      <x:c r="T204" s="1"/>
      <x:c r="U204" s="1"/>
      <x:c r="V204" s="1"/>
      <x:c r="W204" s="1"/>
      <x:c r="X204" s="1"/>
      <x:c r="Y204" s="1"/>
      <x:c r="Z204" s="1"/>
    </x:row>
    <x:row r="205">
      <x:c r="A205" s="1"/>
      <x:c r="B205" s="1"/>
      <x:c r="C205" s="1"/>
      <x:c r="D205" s="1"/>
      <x:c r="E205" s="1"/>
      <x:c r="F205" s="1"/>
      <x:c r="G205" s="1"/>
      <x:c r="H205" s="1"/>
      <x:c r="I205" s="1"/>
      <x:c r="J205" s="1"/>
      <x:c r="K205" s="1"/>
      <x:c r="L205" s="1"/>
      <x:c r="M205" s="1"/>
      <x:c r="N205" s="1"/>
      <x:c r="O205" s="1"/>
      <x:c r="P205" s="1"/>
      <x:c r="Q205" s="1"/>
      <x:c r="R205" s="1"/>
      <x:c r="S205" s="1"/>
      <x:c r="T205" s="1"/>
      <x:c r="U205" s="1"/>
      <x:c r="V205" s="1"/>
      <x:c r="W205" s="1"/>
      <x:c r="X205" s="1"/>
      <x:c r="Y205" s="1"/>
      <x:c r="Z205" s="1"/>
    </x:row>
    <x:row r="206">
      <x:c r="A206" s="1"/>
      <x:c r="B206" s="1"/>
      <x:c r="C206" s="1"/>
      <x:c r="D206" s="1"/>
      <x:c r="E206" s="1"/>
      <x:c r="F206" s="1"/>
      <x:c r="G206" s="1"/>
      <x:c r="H206" s="1"/>
      <x:c r="I206" s="1"/>
      <x:c r="J206" s="1"/>
      <x:c r="K206" s="1"/>
      <x:c r="L206" s="1"/>
      <x:c r="M206" s="1"/>
      <x:c r="N206" s="1"/>
      <x:c r="O206" s="1"/>
      <x:c r="P206" s="1"/>
      <x:c r="Q206" s="1"/>
      <x:c r="R206" s="1"/>
      <x:c r="S206" s="1"/>
      <x:c r="T206" s="1"/>
      <x:c r="U206" s="1"/>
      <x:c r="V206" s="1"/>
      <x:c r="W206" s="1"/>
      <x:c r="X206" s="1"/>
      <x:c r="Y206" s="1"/>
      <x:c r="Z206" s="1"/>
    </x:row>
    <x:row r="207">
      <x:c r="A207" s="1"/>
      <x:c r="B207" s="1"/>
      <x:c r="C207" s="1"/>
      <x:c r="D207" s="1"/>
      <x:c r="E207" s="1"/>
      <x:c r="F207" s="1"/>
      <x:c r="G207" s="1"/>
      <x:c r="H207" s="1"/>
      <x:c r="I207" s="1"/>
      <x:c r="J207" s="1"/>
      <x:c r="K207" s="1"/>
      <x:c r="L207" s="1"/>
      <x:c r="M207" s="1"/>
      <x:c r="N207" s="1"/>
      <x:c r="O207" s="1"/>
      <x:c r="P207" s="1"/>
      <x:c r="Q207" s="1"/>
      <x:c r="R207" s="1"/>
      <x:c r="S207" s="1"/>
      <x:c r="T207" s="1"/>
      <x:c r="U207" s="1"/>
      <x:c r="V207" s="1"/>
      <x:c r="W207" s="1"/>
      <x:c r="X207" s="1"/>
      <x:c r="Y207" s="1"/>
      <x:c r="Z207" s="1"/>
    </x:row>
    <x:row r="208">
      <x:c r="A208" s="1"/>
      <x:c r="B208" s="1"/>
      <x:c r="C208" s="1"/>
      <x:c r="D208" s="1"/>
      <x:c r="E208" s="1"/>
      <x:c r="F208" s="1"/>
      <x:c r="G208" s="1"/>
      <x:c r="H208" s="1"/>
      <x:c r="I208" s="1"/>
      <x:c r="J208" s="1"/>
      <x:c r="K208" s="1"/>
      <x:c r="L208" s="1"/>
      <x:c r="M208" s="1"/>
      <x:c r="N208" s="1"/>
      <x:c r="O208" s="1"/>
      <x:c r="P208" s="1"/>
      <x:c r="Q208" s="1"/>
      <x:c r="R208" s="1"/>
      <x:c r="S208" s="1"/>
      <x:c r="T208" s="1"/>
      <x:c r="U208" s="1"/>
      <x:c r="V208" s="1"/>
      <x:c r="W208" s="1"/>
      <x:c r="X208" s="1"/>
      <x:c r="Y208" s="1"/>
      <x:c r="Z208" s="1"/>
    </x:row>
    <x:row r="209">
      <x:c r="A209" s="1"/>
      <x:c r="B209" s="1"/>
      <x:c r="C209" s="1"/>
      <x:c r="D209" s="1"/>
      <x:c r="E209" s="1"/>
      <x:c r="F209" s="1"/>
      <x:c r="G209" s="1"/>
      <x:c r="H209" s="1"/>
      <x:c r="I209" s="1"/>
      <x:c r="J209" s="1"/>
      <x:c r="K209" s="1"/>
      <x:c r="L209" s="1"/>
      <x:c r="M209" s="1"/>
      <x:c r="N209" s="1"/>
      <x:c r="O209" s="1"/>
      <x:c r="P209" s="1"/>
      <x:c r="Q209" s="1"/>
      <x:c r="R209" s="1"/>
      <x:c r="S209" s="1"/>
      <x:c r="T209" s="1"/>
      <x:c r="U209" s="1"/>
      <x:c r="V209" s="1"/>
      <x:c r="W209" s="1"/>
      <x:c r="X209" s="1"/>
      <x:c r="Y209" s="1"/>
      <x:c r="Z209" s="1"/>
    </x:row>
    <x:row r="210">
      <x:c r="A210" s="1"/>
      <x:c r="B210" s="1"/>
      <x:c r="C210" s="1"/>
      <x:c r="D210" s="1"/>
      <x:c r="E210" s="1"/>
      <x:c r="F210" s="1"/>
      <x:c r="G210" s="1"/>
      <x:c r="H210" s="1"/>
      <x:c r="I210" s="1"/>
      <x:c r="J210" s="1"/>
      <x:c r="K210" s="1"/>
      <x:c r="L210" s="1"/>
      <x:c r="M210" s="1"/>
      <x:c r="N210" s="1"/>
      <x:c r="O210" s="1"/>
      <x:c r="P210" s="1"/>
      <x:c r="Q210" s="1"/>
      <x:c r="R210" s="1"/>
      <x:c r="S210" s="1"/>
      <x:c r="T210" s="1"/>
      <x:c r="U210" s="1"/>
      <x:c r="V210" s="1"/>
      <x:c r="W210" s="1"/>
      <x:c r="X210" s="1"/>
      <x:c r="Y210" s="1"/>
      <x:c r="Z210" s="1"/>
    </x:row>
    <x:row r="211">
      <x:c r="A211" s="1"/>
      <x:c r="B211" s="1"/>
      <x:c r="C211" s="1"/>
      <x:c r="D211" s="1"/>
      <x:c r="E211" s="1"/>
      <x:c r="F211" s="1"/>
      <x:c r="G211" s="1"/>
      <x:c r="H211" s="1"/>
      <x:c r="I211" s="1"/>
      <x:c r="J211" s="1"/>
      <x:c r="K211" s="1"/>
      <x:c r="L211" s="1"/>
      <x:c r="M211" s="1"/>
      <x:c r="N211" s="1"/>
      <x:c r="O211" s="1"/>
      <x:c r="P211" s="1"/>
      <x:c r="Q211" s="1"/>
      <x:c r="R211" s="1"/>
      <x:c r="S211" s="1"/>
      <x:c r="T211" s="1"/>
      <x:c r="U211" s="1"/>
      <x:c r="V211" s="1"/>
      <x:c r="W211" s="1"/>
      <x:c r="X211" s="1"/>
      <x:c r="Y211" s="1"/>
      <x:c r="Z211" s="1"/>
    </x:row>
    <x:row r="212">
      <x:c r="A212" s="1"/>
      <x:c r="B212" s="1"/>
      <x:c r="C212" s="1"/>
      <x:c r="D212" s="1"/>
      <x:c r="E212" s="1"/>
      <x:c r="F212" s="1"/>
      <x:c r="G212" s="1"/>
      <x:c r="H212" s="1"/>
      <x:c r="I212" s="1"/>
      <x:c r="J212" s="1"/>
      <x:c r="K212" s="1"/>
      <x:c r="L212" s="1"/>
      <x:c r="M212" s="1"/>
      <x:c r="N212" s="1"/>
      <x:c r="O212" s="1"/>
      <x:c r="P212" s="1"/>
      <x:c r="Q212" s="1"/>
      <x:c r="R212" s="1"/>
      <x:c r="S212" s="1"/>
      <x:c r="T212" s="1"/>
      <x:c r="U212" s="1"/>
      <x:c r="V212" s="1"/>
      <x:c r="W212" s="1"/>
      <x:c r="X212" s="1"/>
      <x:c r="Y212" s="1"/>
      <x:c r="Z212" s="1"/>
    </x:row>
    <x:row r="213">
      <x:c r="A213" s="1"/>
      <x:c r="B213" s="1"/>
      <x:c r="C213" s="1"/>
      <x:c r="D213" s="1"/>
      <x:c r="E213" s="1"/>
      <x:c r="F213" s="1"/>
      <x:c r="G213" s="1"/>
      <x:c r="H213" s="1"/>
      <x:c r="I213" s="1"/>
      <x:c r="J213" s="1"/>
      <x:c r="K213" s="1"/>
      <x:c r="L213" s="1"/>
      <x:c r="M213" s="1"/>
      <x:c r="N213" s="1"/>
      <x:c r="O213" s="1"/>
      <x:c r="P213" s="1"/>
      <x:c r="Q213" s="1"/>
      <x:c r="R213" s="1"/>
      <x:c r="S213" s="1"/>
      <x:c r="T213" s="1"/>
      <x:c r="U213" s="1"/>
      <x:c r="V213" s="1"/>
      <x:c r="W213" s="1"/>
      <x:c r="X213" s="1"/>
      <x:c r="Y213" s="1"/>
      <x:c r="Z213" s="1"/>
    </x:row>
    <x:row r="214">
      <x:c r="A214" s="1"/>
      <x:c r="B214" s="1"/>
      <x:c r="C214" s="1"/>
      <x:c r="D214" s="1"/>
      <x:c r="E214" s="1"/>
      <x:c r="F214" s="1"/>
      <x:c r="G214" s="1"/>
      <x:c r="H214" s="1"/>
      <x:c r="I214" s="1"/>
      <x:c r="J214" s="1"/>
      <x:c r="K214" s="1"/>
      <x:c r="L214" s="1"/>
      <x:c r="M214" s="1"/>
      <x:c r="N214" s="1"/>
      <x:c r="O214" s="1"/>
      <x:c r="P214" s="1"/>
      <x:c r="Q214" s="1"/>
      <x:c r="R214" s="1"/>
      <x:c r="S214" s="1"/>
      <x:c r="T214" s="1"/>
      <x:c r="U214" s="1"/>
      <x:c r="V214" s="1"/>
      <x:c r="W214" s="1"/>
      <x:c r="X214" s="1"/>
      <x:c r="Y214" s="1"/>
      <x:c r="Z214" s="1"/>
    </x:row>
    <x:row r="215">
      <x:c r="A215" s="1"/>
      <x:c r="B215" s="1"/>
      <x:c r="C215" s="1"/>
      <x:c r="D215" s="1"/>
      <x:c r="E215" s="1"/>
      <x:c r="F215" s="1"/>
      <x:c r="G215" s="1"/>
      <x:c r="H215" s="1"/>
      <x:c r="I215" s="1"/>
      <x:c r="J215" s="1"/>
      <x:c r="K215" s="1"/>
      <x:c r="L215" s="1"/>
      <x:c r="M215" s="1"/>
      <x:c r="N215" s="1"/>
      <x:c r="O215" s="1"/>
      <x:c r="P215" s="1"/>
      <x:c r="Q215" s="1"/>
      <x:c r="R215" s="1"/>
      <x:c r="S215" s="1"/>
      <x:c r="T215" s="1"/>
      <x:c r="U215" s="1"/>
      <x:c r="V215" s="1"/>
      <x:c r="W215" s="1"/>
      <x:c r="X215" s="1"/>
      <x:c r="Y215" s="1"/>
      <x:c r="Z215" s="1"/>
    </x:row>
    <x:row r="216">
      <x:c r="A216" s="1"/>
      <x:c r="B216" s="1"/>
      <x:c r="C216" s="1"/>
      <x:c r="D216" s="1"/>
      <x:c r="E216" s="1"/>
      <x:c r="F216" s="1"/>
      <x:c r="G216" s="1"/>
      <x:c r="H216" s="1"/>
      <x:c r="I216" s="1"/>
      <x:c r="J216" s="1"/>
      <x:c r="K216" s="1"/>
      <x:c r="L216" s="1"/>
      <x:c r="M216" s="1"/>
      <x:c r="N216" s="1"/>
      <x:c r="O216" s="1"/>
      <x:c r="P216" s="1"/>
      <x:c r="Q216" s="1"/>
      <x:c r="R216" s="1"/>
      <x:c r="S216" s="1"/>
      <x:c r="T216" s="1"/>
      <x:c r="U216" s="1"/>
      <x:c r="V216" s="1"/>
      <x:c r="W216" s="1"/>
      <x:c r="X216" s="1"/>
      <x:c r="Y216" s="1"/>
      <x:c r="Z216" s="1"/>
    </x:row>
    <x:row r="217">
      <x:c r="A217" s="1"/>
      <x:c r="B217" s="1"/>
      <x:c r="C217" s="1"/>
      <x:c r="D217" s="1"/>
      <x:c r="E217" s="1"/>
      <x:c r="F217" s="1"/>
      <x:c r="G217" s="1"/>
      <x:c r="H217" s="1"/>
      <x:c r="I217" s="1"/>
      <x:c r="J217" s="1"/>
      <x:c r="K217" s="1"/>
      <x:c r="L217" s="1"/>
      <x:c r="M217" s="1"/>
      <x:c r="N217" s="1"/>
      <x:c r="O217" s="1"/>
      <x:c r="P217" s="1"/>
      <x:c r="Q217" s="1"/>
      <x:c r="R217" s="1"/>
      <x:c r="S217" s="1"/>
      <x:c r="T217" s="1"/>
      <x:c r="U217" s="1"/>
      <x:c r="V217" s="1"/>
      <x:c r="W217" s="1"/>
      <x:c r="X217" s="1"/>
      <x:c r="Y217" s="1"/>
      <x:c r="Z217" s="1"/>
    </x:row>
    <x:row r="218">
      <x:c r="A218" s="1"/>
      <x:c r="B218" s="1"/>
      <x:c r="C218" s="1"/>
      <x:c r="D218" s="1"/>
      <x:c r="E218" s="1"/>
      <x:c r="F218" s="1"/>
      <x:c r="G218" s="1"/>
      <x:c r="H218" s="1"/>
      <x:c r="I218" s="1"/>
      <x:c r="J218" s="1"/>
      <x:c r="K218" s="1"/>
      <x:c r="L218" s="1"/>
      <x:c r="M218" s="1"/>
      <x:c r="N218" s="1"/>
      <x:c r="O218" s="1"/>
      <x:c r="P218" s="1"/>
      <x:c r="Q218" s="1"/>
      <x:c r="R218" s="1"/>
      <x:c r="S218" s="1"/>
      <x:c r="T218" s="1"/>
      <x:c r="U218" s="1"/>
      <x:c r="V218" s="1"/>
      <x:c r="W218" s="1"/>
      <x:c r="X218" s="1"/>
      <x:c r="Y218" s="1"/>
      <x:c r="Z218" s="1"/>
    </x:row>
    <x:row r="219">
      <x:c r="A219" s="1"/>
      <x:c r="B219" s="1"/>
      <x:c r="C219" s="1"/>
      <x:c r="D219" s="1"/>
      <x:c r="E219" s="1"/>
      <x:c r="F219" s="1"/>
      <x:c r="G219" s="1"/>
      <x:c r="H219" s="1"/>
      <x:c r="I219" s="1"/>
      <x:c r="J219" s="1"/>
      <x:c r="K219" s="1"/>
      <x:c r="L219" s="1"/>
      <x:c r="M219" s="1"/>
      <x:c r="N219" s="1"/>
      <x:c r="O219" s="1"/>
      <x:c r="P219" s="1"/>
      <x:c r="Q219" s="1"/>
      <x:c r="R219" s="1"/>
      <x:c r="S219" s="1"/>
      <x:c r="T219" s="1"/>
      <x:c r="U219" s="1"/>
      <x:c r="V219" s="1"/>
      <x:c r="W219" s="1"/>
      <x:c r="X219" s="1"/>
      <x:c r="Y219" s="1"/>
      <x:c r="Z219" s="1"/>
    </x:row>
    <x:row r="220">
      <x:c r="A220" s="1"/>
      <x:c r="B220" s="1"/>
      <x:c r="C220" s="1"/>
      <x:c r="D220" s="1"/>
      <x:c r="E220" s="1"/>
      <x:c r="F220" s="1"/>
      <x:c r="G220" s="1"/>
      <x:c r="H220" s="1"/>
      <x:c r="I220" s="1"/>
      <x:c r="J220" s="1"/>
      <x:c r="K220" s="1"/>
      <x:c r="L220" s="1"/>
      <x:c r="M220" s="1"/>
      <x:c r="N220" s="1"/>
      <x:c r="O220" s="1"/>
      <x:c r="P220" s="1"/>
      <x:c r="Q220" s="1"/>
      <x:c r="R220" s="1"/>
      <x:c r="S220" s="1"/>
      <x:c r="T220" s="1"/>
      <x:c r="U220" s="1"/>
      <x:c r="V220" s="1"/>
      <x:c r="W220" s="1"/>
      <x:c r="X220" s="1"/>
      <x:c r="Y220" s="1"/>
      <x:c r="Z220" s="1"/>
    </x:row>
    <x:row r="221">
      <x:c r="A221" s="1"/>
      <x:c r="B221" s="1"/>
      <x:c r="C221" s="1"/>
      <x:c r="D221" s="1"/>
      <x:c r="E221" s="1"/>
      <x:c r="F221" s="1"/>
      <x:c r="G221" s="1"/>
      <x:c r="H221" s="1"/>
      <x:c r="I221" s="1"/>
      <x:c r="J221" s="1"/>
      <x:c r="K221" s="1"/>
      <x:c r="L221" s="1"/>
      <x:c r="M221" s="1"/>
      <x:c r="N221" s="1"/>
      <x:c r="O221" s="1"/>
      <x:c r="P221" s="1"/>
      <x:c r="Q221" s="1"/>
      <x:c r="R221" s="1"/>
      <x:c r="S221" s="1"/>
      <x:c r="T221" s="1"/>
      <x:c r="U221" s="1"/>
      <x:c r="V221" s="1"/>
      <x:c r="W221" s="1"/>
      <x:c r="X221" s="1"/>
      <x:c r="Y221" s="1"/>
      <x:c r="Z221" s="1"/>
    </x:row>
    <x:row r="222">
      <x:c r="A222" s="1"/>
      <x:c r="B222" s="1"/>
      <x:c r="C222" s="1"/>
      <x:c r="D222" s="1"/>
      <x:c r="E222" s="1"/>
      <x:c r="F222" s="1"/>
      <x:c r="G222" s="1"/>
      <x:c r="H222" s="1"/>
      <x:c r="I222" s="1"/>
      <x:c r="J222" s="1"/>
      <x:c r="K222" s="1"/>
      <x:c r="L222" s="1"/>
      <x:c r="M222" s="1"/>
      <x:c r="N222" s="1"/>
      <x:c r="O222" s="1"/>
      <x:c r="P222" s="1"/>
      <x:c r="Q222" s="1"/>
      <x:c r="R222" s="1"/>
      <x:c r="S222" s="1"/>
      <x:c r="T222" s="1"/>
      <x:c r="U222" s="1"/>
      <x:c r="V222" s="1"/>
      <x:c r="W222" s="1"/>
      <x:c r="X222" s="1"/>
      <x:c r="Y222" s="1"/>
      <x:c r="Z222" s="1"/>
    </x:row>
    <x:row r="223">
      <x:c r="A223" s="1"/>
      <x:c r="B223" s="1"/>
      <x:c r="C223" s="1"/>
      <x:c r="D223" s="1"/>
      <x:c r="E223" s="1"/>
      <x:c r="F223" s="1"/>
      <x:c r="G223" s="1"/>
      <x:c r="H223" s="1"/>
      <x:c r="I223" s="1"/>
      <x:c r="J223" s="1"/>
      <x:c r="K223" s="1"/>
      <x:c r="L223" s="1"/>
      <x:c r="M223" s="1"/>
      <x:c r="N223" s="1"/>
      <x:c r="O223" s="1"/>
      <x:c r="P223" s="1"/>
      <x:c r="Q223" s="1"/>
      <x:c r="R223" s="1"/>
      <x:c r="S223" s="1"/>
      <x:c r="T223" s="1"/>
      <x:c r="U223" s="1"/>
      <x:c r="V223" s="1"/>
      <x:c r="W223" s="1"/>
      <x:c r="X223" s="1"/>
      <x:c r="Y223" s="1"/>
      <x:c r="Z223" s="1"/>
    </x:row>
    <x:row r="224">
      <x:c r="A224" s="1"/>
      <x:c r="B224" s="1"/>
      <x:c r="C224" s="1"/>
      <x:c r="D224" s="1"/>
      <x:c r="E224" s="1"/>
      <x:c r="F224" s="1"/>
      <x:c r="G224" s="1"/>
      <x:c r="H224" s="1"/>
      <x:c r="I224" s="1"/>
      <x:c r="J224" s="1"/>
      <x:c r="K224" s="1"/>
      <x:c r="L224" s="1"/>
      <x:c r="M224" s="1"/>
      <x:c r="N224" s="1"/>
      <x:c r="O224" s="1"/>
      <x:c r="P224" s="1"/>
      <x:c r="Q224" s="1"/>
      <x:c r="R224" s="1"/>
      <x:c r="S224" s="1"/>
      <x:c r="T224" s="1"/>
      <x:c r="U224" s="1"/>
      <x:c r="V224" s="1"/>
      <x:c r="W224" s="1"/>
      <x:c r="X224" s="1"/>
      <x:c r="Y224" s="1"/>
      <x:c r="Z224" s="1"/>
    </x:row>
    <x:row r="225">
      <x:c r="A225" s="1"/>
      <x:c r="B225" s="1"/>
      <x:c r="C225" s="1"/>
      <x:c r="D225" s="1"/>
      <x:c r="E225" s="1"/>
      <x:c r="F225" s="1"/>
      <x:c r="G225" s="1"/>
      <x:c r="H225" s="1"/>
      <x:c r="I225" s="1"/>
      <x:c r="J225" s="1"/>
      <x:c r="K225" s="1"/>
      <x:c r="L225" s="1"/>
      <x:c r="M225" s="1"/>
      <x:c r="N225" s="1"/>
      <x:c r="O225" s="1"/>
      <x:c r="P225" s="1"/>
      <x:c r="Q225" s="1"/>
      <x:c r="R225" s="1"/>
      <x:c r="S225" s="1"/>
      <x:c r="T225" s="1"/>
      <x:c r="U225" s="1"/>
      <x:c r="V225" s="1"/>
      <x:c r="W225" s="1"/>
      <x:c r="X225" s="1"/>
      <x:c r="Y225" s="1"/>
      <x:c r="Z225" s="1"/>
    </x:row>
    <x:row r="226">
      <x:c r="A226" s="1"/>
      <x:c r="B226" s="1"/>
      <x:c r="C226" s="1"/>
      <x:c r="D226" s="1"/>
      <x:c r="E226" s="1"/>
      <x:c r="F226" s="1"/>
      <x:c r="G226" s="1"/>
      <x:c r="H226" s="1"/>
      <x:c r="I226" s="1"/>
      <x:c r="J226" s="1"/>
      <x:c r="K226" s="1"/>
      <x:c r="L226" s="1"/>
      <x:c r="M226" s="1"/>
      <x:c r="N226" s="1"/>
      <x:c r="O226" s="1"/>
      <x:c r="P226" s="1"/>
      <x:c r="Q226" s="1"/>
      <x:c r="R226" s="1"/>
      <x:c r="S226" s="1"/>
      <x:c r="T226" s="1"/>
      <x:c r="U226" s="1"/>
      <x:c r="V226" s="1"/>
      <x:c r="W226" s="1"/>
      <x:c r="X226" s="1"/>
      <x:c r="Y226" s="1"/>
      <x:c r="Z226" s="1"/>
    </x:row>
    <x:row r="227">
      <x:c r="A227" s="1"/>
      <x:c r="B227" s="1"/>
      <x:c r="C227" s="1"/>
      <x:c r="D227" s="1"/>
      <x:c r="E227" s="1"/>
      <x:c r="F227" s="1"/>
      <x:c r="G227" s="1"/>
      <x:c r="H227" s="1"/>
      <x:c r="I227" s="1"/>
      <x:c r="J227" s="1"/>
      <x:c r="K227" s="1"/>
      <x:c r="L227" s="1"/>
      <x:c r="M227" s="1"/>
      <x:c r="N227" s="1"/>
      <x:c r="O227" s="1"/>
      <x:c r="P227" s="1"/>
      <x:c r="Q227" s="1"/>
      <x:c r="R227" s="1"/>
      <x:c r="S227" s="1"/>
      <x:c r="T227" s="1"/>
      <x:c r="U227" s="1"/>
      <x:c r="V227" s="1"/>
      <x:c r="W227" s="1"/>
      <x:c r="X227" s="1"/>
      <x:c r="Y227" s="1"/>
      <x:c r="Z227" s="1"/>
    </x:row>
    <x:row r="228">
      <x:c r="A228" s="1"/>
      <x:c r="B228" s="1"/>
      <x:c r="C228" s="1"/>
      <x:c r="D228" s="1"/>
      <x:c r="E228" s="1"/>
      <x:c r="F228" s="1"/>
      <x:c r="G228" s="1"/>
      <x:c r="H228" s="1"/>
      <x:c r="I228" s="1"/>
      <x:c r="J228" s="1"/>
      <x:c r="K228" s="1"/>
      <x:c r="L228" s="1"/>
      <x:c r="M228" s="1"/>
      <x:c r="N228" s="1"/>
      <x:c r="O228" s="1"/>
      <x:c r="P228" s="1"/>
      <x:c r="Q228" s="1"/>
      <x:c r="R228" s="1"/>
      <x:c r="S228" s="1"/>
      <x:c r="T228" s="1"/>
      <x:c r="U228" s="1"/>
      <x:c r="V228" s="1"/>
      <x:c r="W228" s="1"/>
      <x:c r="X228" s="1"/>
      <x:c r="Y228" s="1"/>
      <x:c r="Z228" s="1"/>
    </x:row>
    <x:row r="229">
      <x:c r="A229" s="1"/>
      <x:c r="B229" s="1"/>
      <x:c r="C229" s="1"/>
      <x:c r="D229" s="1"/>
      <x:c r="E229" s="1"/>
      <x:c r="F229" s="1"/>
      <x:c r="G229" s="1"/>
      <x:c r="H229" s="1"/>
      <x:c r="I229" s="1"/>
      <x:c r="J229" s="1"/>
      <x:c r="K229" s="1"/>
      <x:c r="L229" s="1"/>
      <x:c r="M229" s="1"/>
      <x:c r="N229" s="1"/>
      <x:c r="O229" s="1"/>
      <x:c r="P229" s="1"/>
      <x:c r="Q229" s="1"/>
      <x:c r="R229" s="1"/>
      <x:c r="S229" s="1"/>
      <x:c r="T229" s="1"/>
      <x:c r="U229" s="1"/>
      <x:c r="V229" s="1"/>
      <x:c r="W229" s="1"/>
      <x:c r="X229" s="1"/>
      <x:c r="Y229" s="1"/>
      <x:c r="Z229" s="1"/>
    </x:row>
    <x:row r="230">
      <x:c r="A230" s="1"/>
      <x:c r="B230" s="1"/>
      <x:c r="C230" s="1"/>
      <x:c r="D230" s="1"/>
      <x:c r="E230" s="1"/>
      <x:c r="F230" s="1"/>
      <x:c r="G230" s="1"/>
      <x:c r="H230" s="1"/>
      <x:c r="I230" s="1"/>
      <x:c r="J230" s="1"/>
      <x:c r="K230" s="1"/>
      <x:c r="L230" s="1"/>
      <x:c r="M230" s="1"/>
      <x:c r="N230" s="1"/>
      <x:c r="O230" s="1"/>
      <x:c r="P230" s="1"/>
      <x:c r="Q230" s="1"/>
      <x:c r="R230" s="1"/>
      <x:c r="S230" s="1"/>
      <x:c r="T230" s="1"/>
      <x:c r="U230" s="1"/>
      <x:c r="V230" s="1"/>
      <x:c r="W230" s="1"/>
      <x:c r="X230" s="1"/>
      <x:c r="Y230" s="1"/>
      <x:c r="Z230" s="1"/>
    </x:row>
    <x:row r="231">
      <x:c r="A231" s="1"/>
      <x:c r="B231" s="1"/>
      <x:c r="C231" s="1"/>
      <x:c r="D231" s="1"/>
      <x:c r="E231" s="1"/>
      <x:c r="F231" s="1"/>
      <x:c r="G231" s="1"/>
      <x:c r="H231" s="1"/>
      <x:c r="I231" s="1"/>
      <x:c r="J231" s="1"/>
      <x:c r="K231" s="1"/>
      <x:c r="L231" s="1"/>
      <x:c r="M231" s="1"/>
      <x:c r="N231" s="1"/>
      <x:c r="O231" s="1"/>
      <x:c r="P231" s="1"/>
      <x:c r="Q231" s="1"/>
      <x:c r="R231" s="1"/>
      <x:c r="S231" s="1"/>
      <x:c r="T231" s="1"/>
      <x:c r="U231" s="1"/>
      <x:c r="V231" s="1"/>
      <x:c r="W231" s="1"/>
      <x:c r="X231" s="1"/>
      <x:c r="Y231" s="1"/>
      <x:c r="Z231" s="1"/>
    </x:row>
    <x:row r="232">
      <x:c r="A232" s="1"/>
      <x:c r="B232" s="1"/>
      <x:c r="C232" s="1"/>
      <x:c r="D232" s="1"/>
      <x:c r="E232" s="1"/>
      <x:c r="F232" s="1"/>
      <x:c r="G232" s="1"/>
      <x:c r="H232" s="1"/>
      <x:c r="I232" s="1"/>
      <x:c r="J232" s="1"/>
      <x:c r="K232" s="1"/>
      <x:c r="L232" s="1"/>
      <x:c r="M232" s="1"/>
      <x:c r="N232" s="1"/>
      <x:c r="O232" s="1"/>
      <x:c r="P232" s="1"/>
      <x:c r="Q232" s="1"/>
      <x:c r="R232" s="1"/>
      <x:c r="S232" s="1"/>
      <x:c r="T232" s="1"/>
      <x:c r="U232" s="1"/>
      <x:c r="V232" s="1"/>
      <x:c r="W232" s="1"/>
      <x:c r="X232" s="1"/>
      <x:c r="Y232" s="1"/>
      <x:c r="Z232" s="1"/>
    </x:row>
    <x:row r="233">
      <x:c r="A233" s="1"/>
      <x:c r="B233" s="1"/>
      <x:c r="C233" s="1"/>
      <x:c r="D233" s="1"/>
      <x:c r="E233" s="1"/>
      <x:c r="F233" s="1"/>
      <x:c r="G233" s="1"/>
      <x:c r="H233" s="1"/>
      <x:c r="I233" s="1"/>
      <x:c r="J233" s="1"/>
      <x:c r="K233" s="1"/>
      <x:c r="L233" s="1"/>
      <x:c r="M233" s="1"/>
      <x:c r="N233" s="1"/>
      <x:c r="O233" s="1"/>
      <x:c r="P233" s="1"/>
      <x:c r="Q233" s="1"/>
      <x:c r="R233" s="1"/>
      <x:c r="S233" s="1"/>
      <x:c r="T233" s="1"/>
      <x:c r="U233" s="1"/>
      <x:c r="V233" s="1"/>
      <x:c r="W233" s="1"/>
      <x:c r="X233" s="1"/>
      <x:c r="Y233" s="1"/>
      <x:c r="Z233" s="1"/>
    </x:row>
    <x:row r="234">
      <x:c r="A234" s="1"/>
      <x:c r="B234" s="1"/>
      <x:c r="C234" s="1"/>
      <x:c r="D234" s="1"/>
      <x:c r="E234" s="1"/>
      <x:c r="F234" s="1"/>
      <x:c r="G234" s="1"/>
      <x:c r="H234" s="1"/>
      <x:c r="I234" s="1"/>
      <x:c r="J234" s="1"/>
      <x:c r="K234" s="1"/>
      <x:c r="L234" s="1"/>
      <x:c r="M234" s="1"/>
      <x:c r="N234" s="1"/>
      <x:c r="O234" s="1"/>
      <x:c r="P234" s="1"/>
      <x:c r="Q234" s="1"/>
      <x:c r="R234" s="1"/>
      <x:c r="S234" s="1"/>
      <x:c r="T234" s="1"/>
      <x:c r="U234" s="1"/>
      <x:c r="V234" s="1"/>
      <x:c r="W234" s="1"/>
      <x:c r="X234" s="1"/>
      <x:c r="Y234" s="1"/>
      <x:c r="Z234" s="1"/>
    </x:row>
    <x:row r="235">
      <x:c r="A235" s="1"/>
      <x:c r="B235" s="1"/>
      <x:c r="C235" s="1"/>
      <x:c r="D235" s="1"/>
      <x:c r="E235" s="1"/>
      <x:c r="F235" s="1"/>
      <x:c r="G235" s="1"/>
      <x:c r="H235" s="1"/>
      <x:c r="I235" s="1"/>
      <x:c r="J235" s="1"/>
      <x:c r="K235" s="1"/>
      <x:c r="L235" s="1"/>
      <x:c r="M235" s="1"/>
      <x:c r="N235" s="1"/>
      <x:c r="O235" s="1"/>
      <x:c r="P235" s="1"/>
      <x:c r="Q235" s="1"/>
      <x:c r="R235" s="1"/>
      <x:c r="S235" s="1"/>
      <x:c r="T235" s="1"/>
      <x:c r="U235" s="1"/>
      <x:c r="V235" s="1"/>
      <x:c r="W235" s="1"/>
      <x:c r="X235" s="1"/>
      <x:c r="Y235" s="1"/>
      <x:c r="Z235" s="1"/>
    </x:row>
    <x:row r="236">
      <x:c r="A236" s="1"/>
      <x:c r="B236" s="1"/>
      <x:c r="C236" s="1"/>
      <x:c r="D236" s="1"/>
      <x:c r="E236" s="1"/>
      <x:c r="F236" s="1"/>
      <x:c r="G236" s="1"/>
      <x:c r="H236" s="1"/>
      <x:c r="I236" s="1"/>
      <x:c r="J236" s="1"/>
      <x:c r="K236" s="1"/>
      <x:c r="L236" s="1"/>
      <x:c r="M236" s="1"/>
      <x:c r="N236" s="1"/>
      <x:c r="O236" s="1"/>
      <x:c r="P236" s="1"/>
      <x:c r="Q236" s="1"/>
      <x:c r="R236" s="1"/>
      <x:c r="S236" s="1"/>
      <x:c r="T236" s="1"/>
      <x:c r="U236" s="1"/>
      <x:c r="V236" s="1"/>
      <x:c r="W236" s="1"/>
      <x:c r="X236" s="1"/>
      <x:c r="Y236" s="1"/>
      <x:c r="Z236" s="1"/>
    </x:row>
    <x:row r="237">
      <x:c r="A237" s="1"/>
      <x:c r="B237" s="1"/>
      <x:c r="C237" s="1"/>
      <x:c r="D237" s="1"/>
      <x:c r="E237" s="1"/>
      <x:c r="F237" s="1"/>
      <x:c r="G237" s="1"/>
      <x:c r="H237" s="1"/>
      <x:c r="I237" s="1"/>
      <x:c r="J237" s="1"/>
      <x:c r="K237" s="1"/>
      <x:c r="L237" s="1"/>
      <x:c r="M237" s="1"/>
      <x:c r="N237" s="1"/>
      <x:c r="O237" s="1"/>
      <x:c r="P237" s="1"/>
      <x:c r="Q237" s="1"/>
      <x:c r="R237" s="1"/>
      <x:c r="S237" s="1"/>
      <x:c r="T237" s="1"/>
      <x:c r="U237" s="1"/>
      <x:c r="V237" s="1"/>
      <x:c r="W237" s="1"/>
      <x:c r="X237" s="1"/>
      <x:c r="Y237" s="1"/>
      <x:c r="Z237" s="1"/>
    </x:row>
    <x:row r="238">
      <x:c r="A238" s="1"/>
      <x:c r="B238" s="1"/>
      <x:c r="C238" s="1"/>
      <x:c r="D238" s="1"/>
      <x:c r="E238" s="1"/>
      <x:c r="F238" s="1"/>
      <x:c r="G238" s="1"/>
      <x:c r="H238" s="1"/>
      <x:c r="I238" s="1"/>
      <x:c r="J238" s="1"/>
      <x:c r="K238" s="1"/>
      <x:c r="L238" s="1"/>
      <x:c r="M238" s="1"/>
      <x:c r="N238" s="1"/>
      <x:c r="O238" s="1"/>
      <x:c r="P238" s="1"/>
      <x:c r="Q238" s="1"/>
      <x:c r="R238" s="1"/>
      <x:c r="S238" s="1"/>
      <x:c r="T238" s="1"/>
      <x:c r="U238" s="1"/>
      <x:c r="V238" s="1"/>
      <x:c r="W238" s="1"/>
      <x:c r="X238" s="1"/>
      <x:c r="Y238" s="1"/>
      <x:c r="Z238" s="1"/>
    </x:row>
    <x:row r="239">
      <x:c r="A239" s="1"/>
      <x:c r="B239" s="1"/>
      <x:c r="C239" s="1"/>
      <x:c r="D239" s="1"/>
      <x:c r="E239" s="1"/>
      <x:c r="F239" s="1"/>
      <x:c r="G239" s="1"/>
      <x:c r="H239" s="1"/>
      <x:c r="I239" s="1"/>
      <x:c r="J239" s="1"/>
      <x:c r="K239" s="1"/>
      <x:c r="L239" s="1"/>
      <x:c r="M239" s="1"/>
      <x:c r="N239" s="1"/>
      <x:c r="O239" s="1"/>
      <x:c r="P239" s="1"/>
      <x:c r="Q239" s="1"/>
      <x:c r="R239" s="1"/>
      <x:c r="S239" s="1"/>
      <x:c r="T239" s="1"/>
      <x:c r="U239" s="1"/>
      <x:c r="V239" s="1"/>
      <x:c r="W239" s="1"/>
      <x:c r="X239" s="1"/>
      <x:c r="Y239" s="1"/>
      <x:c r="Z239" s="1"/>
    </x:row>
    <x:row r="240">
      <x:c r="A240" s="1"/>
      <x:c r="B240" s="1"/>
      <x:c r="C240" s="1"/>
      <x:c r="D240" s="1"/>
      <x:c r="E240" s="1"/>
      <x:c r="F240" s="1"/>
      <x:c r="G240" s="1"/>
      <x:c r="H240" s="1"/>
      <x:c r="I240" s="1"/>
      <x:c r="J240" s="1"/>
      <x:c r="K240" s="1"/>
      <x:c r="L240" s="1"/>
      <x:c r="M240" s="1"/>
      <x:c r="N240" s="1"/>
      <x:c r="O240" s="1"/>
      <x:c r="P240" s="1"/>
      <x:c r="Q240" s="1"/>
      <x:c r="R240" s="1"/>
      <x:c r="S240" s="1"/>
      <x:c r="T240" s="1"/>
      <x:c r="U240" s="1"/>
      <x:c r="V240" s="1"/>
      <x:c r="W240" s="1"/>
      <x:c r="X240" s="1"/>
      <x:c r="Y240" s="1"/>
      <x:c r="Z240" s="1"/>
    </x:row>
    <x:row r="241">
      <x:c r="A241" s="1"/>
      <x:c r="B241" s="1"/>
      <x:c r="C241" s="1"/>
      <x:c r="D241" s="1"/>
      <x:c r="E241" s="1"/>
      <x:c r="F241" s="1"/>
      <x:c r="G241" s="1"/>
      <x:c r="H241" s="1"/>
      <x:c r="I241" s="1"/>
      <x:c r="J241" s="1"/>
      <x:c r="K241" s="1"/>
      <x:c r="L241" s="1"/>
      <x:c r="M241" s="1"/>
      <x:c r="N241" s="1"/>
      <x:c r="O241" s="1"/>
      <x:c r="P241" s="1"/>
      <x:c r="Q241" s="1"/>
      <x:c r="R241" s="1"/>
      <x:c r="S241" s="1"/>
      <x:c r="T241" s="1"/>
      <x:c r="U241" s="1"/>
      <x:c r="V241" s="1"/>
      <x:c r="W241" s="1"/>
      <x:c r="X241" s="1"/>
      <x:c r="Y241" s="1"/>
      <x:c r="Z241" s="1"/>
    </x:row>
    <x:row r="242">
      <x:c r="A242" s="1"/>
      <x:c r="B242" s="1"/>
      <x:c r="C242" s="1"/>
      <x:c r="D242" s="1"/>
      <x:c r="E242" s="1"/>
      <x:c r="F242" s="1"/>
      <x:c r="G242" s="1"/>
      <x:c r="H242" s="1"/>
      <x:c r="I242" s="1"/>
      <x:c r="J242" s="1"/>
      <x:c r="K242" s="1"/>
      <x:c r="L242" s="1"/>
      <x:c r="M242" s="1"/>
      <x:c r="N242" s="1"/>
      <x:c r="O242" s="1"/>
      <x:c r="P242" s="1"/>
      <x:c r="Q242" s="1"/>
      <x:c r="R242" s="1"/>
      <x:c r="S242" s="1"/>
      <x:c r="T242" s="1"/>
      <x:c r="U242" s="1"/>
      <x:c r="V242" s="1"/>
      <x:c r="W242" s="1"/>
      <x:c r="X242" s="1"/>
      <x:c r="Y242" s="1"/>
      <x:c r="Z242" s="1"/>
    </x:row>
    <x:row r="243">
      <x:c r="A243" s="1"/>
      <x:c r="B243" s="1"/>
      <x:c r="C243" s="1"/>
      <x:c r="D243" s="1"/>
      <x:c r="E243" s="1"/>
      <x:c r="F243" s="1"/>
      <x:c r="G243" s="1"/>
      <x:c r="H243" s="1"/>
      <x:c r="I243" s="1"/>
      <x:c r="J243" s="1"/>
      <x:c r="K243" s="1"/>
      <x:c r="L243" s="1"/>
      <x:c r="M243" s="1"/>
      <x:c r="N243" s="1"/>
      <x:c r="O243" s="1"/>
      <x:c r="P243" s="1"/>
      <x:c r="Q243" s="1"/>
      <x:c r="R243" s="1"/>
      <x:c r="S243" s="1"/>
      <x:c r="T243" s="1"/>
      <x:c r="U243" s="1"/>
      <x:c r="V243" s="1"/>
      <x:c r="W243" s="1"/>
      <x:c r="X243" s="1"/>
      <x:c r="Y243" s="1"/>
      <x:c r="Z243" s="1"/>
    </x:row>
    <x:row r="244">
      <x:c r="A244" s="1"/>
      <x:c r="B244" s="1"/>
      <x:c r="C244" s="1"/>
      <x:c r="D244" s="1"/>
      <x:c r="E244" s="1"/>
      <x:c r="F244" s="1"/>
      <x:c r="G244" s="1"/>
      <x:c r="H244" s="1"/>
      <x:c r="I244" s="1"/>
      <x:c r="J244" s="1"/>
      <x:c r="K244" s="1"/>
      <x:c r="L244" s="1"/>
      <x:c r="M244" s="1"/>
      <x:c r="N244" s="1"/>
      <x:c r="O244" s="1"/>
      <x:c r="P244" s="1"/>
      <x:c r="Q244" s="1"/>
      <x:c r="R244" s="1"/>
      <x:c r="S244" s="1"/>
      <x:c r="T244" s="1"/>
      <x:c r="U244" s="1"/>
      <x:c r="V244" s="1"/>
      <x:c r="W244" s="1"/>
      <x:c r="X244" s="1"/>
      <x:c r="Y244" s="1"/>
      <x:c r="Z244" s="1"/>
    </x:row>
    <x:row r="245">
      <x:c r="A245" s="1"/>
      <x:c r="B245" s="1"/>
      <x:c r="C245" s="1"/>
      <x:c r="D245" s="1"/>
      <x:c r="E245" s="1"/>
      <x:c r="F245" s="1"/>
      <x:c r="G245" s="1"/>
      <x:c r="H245" s="1"/>
      <x:c r="I245" s="1"/>
      <x:c r="J245" s="1"/>
      <x:c r="K245" s="1"/>
      <x:c r="L245" s="1"/>
      <x:c r="M245" s="1"/>
      <x:c r="N245" s="1"/>
      <x:c r="O245" s="1"/>
      <x:c r="P245" s="1"/>
      <x:c r="Q245" s="1"/>
      <x:c r="R245" s="1"/>
      <x:c r="S245" s="1"/>
      <x:c r="T245" s="1"/>
      <x:c r="U245" s="1"/>
      <x:c r="V245" s="1"/>
      <x:c r="W245" s="1"/>
      <x:c r="X245" s="1"/>
      <x:c r="Y245" s="1"/>
      <x:c r="Z245" s="1"/>
    </x:row>
    <x:row r="246">
      <x:c r="A246" s="1"/>
      <x:c r="B246" s="1"/>
      <x:c r="C246" s="1"/>
      <x:c r="D246" s="1"/>
      <x:c r="E246" s="1"/>
      <x:c r="F246" s="1"/>
      <x:c r="G246" s="1"/>
      <x:c r="H246" s="1"/>
      <x:c r="I246" s="1"/>
      <x:c r="J246" s="1"/>
      <x:c r="K246" s="1"/>
      <x:c r="L246" s="1"/>
      <x:c r="M246" s="1"/>
      <x:c r="N246" s="1"/>
      <x:c r="O246" s="1"/>
      <x:c r="P246" s="1"/>
      <x:c r="Q246" s="1"/>
      <x:c r="R246" s="1"/>
      <x:c r="S246" s="1"/>
      <x:c r="T246" s="1"/>
      <x:c r="U246" s="1"/>
      <x:c r="V246" s="1"/>
      <x:c r="W246" s="1"/>
      <x:c r="X246" s="1"/>
      <x:c r="Y246" s="1"/>
      <x:c r="Z246" s="1"/>
    </x:row>
    <x:row r="247">
      <x:c r="A247" s="1"/>
      <x:c r="B247" s="1"/>
      <x:c r="C247" s="1"/>
      <x:c r="D247" s="1"/>
      <x:c r="E247" s="1"/>
      <x:c r="F247" s="1"/>
      <x:c r="G247" s="1"/>
      <x:c r="H247" s="1"/>
      <x:c r="I247" s="1"/>
      <x:c r="J247" s="1"/>
      <x:c r="K247" s="1"/>
      <x:c r="L247" s="1"/>
      <x:c r="M247" s="1"/>
      <x:c r="N247" s="1"/>
      <x:c r="O247" s="1"/>
      <x:c r="P247" s="1"/>
      <x:c r="Q247" s="1"/>
      <x:c r="R247" s="1"/>
      <x:c r="S247" s="1"/>
      <x:c r="T247" s="1"/>
      <x:c r="U247" s="1"/>
      <x:c r="V247" s="1"/>
      <x:c r="W247" s="1"/>
      <x:c r="X247" s="1"/>
      <x:c r="Y247" s="1"/>
      <x:c r="Z247" s="1"/>
    </x:row>
    <x:row r="248">
      <x:c r="A248" s="1"/>
      <x:c r="B248" s="1"/>
      <x:c r="C248" s="1"/>
      <x:c r="D248" s="1"/>
      <x:c r="E248" s="1"/>
      <x:c r="F248" s="1"/>
      <x:c r="G248" s="1"/>
      <x:c r="H248" s="1"/>
      <x:c r="I248" s="1"/>
      <x:c r="J248" s="1"/>
      <x:c r="K248" s="1"/>
      <x:c r="L248" s="1"/>
      <x:c r="M248" s="1"/>
      <x:c r="N248" s="1"/>
      <x:c r="O248" s="1"/>
      <x:c r="P248" s="1"/>
      <x:c r="Q248" s="1"/>
      <x:c r="R248" s="1"/>
      <x:c r="S248" s="1"/>
      <x:c r="T248" s="1"/>
      <x:c r="U248" s="1"/>
      <x:c r="V248" s="1"/>
      <x:c r="W248" s="1"/>
      <x:c r="X248" s="1"/>
      <x:c r="Y248" s="1"/>
      <x:c r="Z248" s="1"/>
    </x:row>
    <x:row r="249">
      <x:c r="A249" s="1"/>
      <x:c r="B249" s="1"/>
      <x:c r="C249" s="1"/>
      <x:c r="D249" s="1"/>
      <x:c r="E249" s="1"/>
      <x:c r="F249" s="1"/>
      <x:c r="G249" s="1"/>
      <x:c r="H249" s="1"/>
      <x:c r="I249" s="1"/>
      <x:c r="J249" s="1"/>
      <x:c r="K249" s="1"/>
      <x:c r="L249" s="1"/>
      <x:c r="M249" s="1"/>
      <x:c r="N249" s="1"/>
      <x:c r="O249" s="1"/>
      <x:c r="P249" s="1"/>
      <x:c r="Q249" s="1"/>
      <x:c r="R249" s="1"/>
      <x:c r="S249" s="1"/>
      <x:c r="T249" s="1"/>
      <x:c r="U249" s="1"/>
      <x:c r="V249" s="1"/>
      <x:c r="W249" s="1"/>
      <x:c r="X249" s="1"/>
      <x:c r="Y249" s="1"/>
      <x:c r="Z249" s="1"/>
    </x:row>
    <x:row r="250">
      <x:c r="A250" s="1"/>
      <x:c r="B250" s="1"/>
      <x:c r="C250" s="1"/>
      <x:c r="D250" s="1"/>
      <x:c r="E250" s="1"/>
      <x:c r="F250" s="1"/>
      <x:c r="G250" s="1"/>
      <x:c r="H250" s="1"/>
      <x:c r="I250" s="1"/>
      <x:c r="J250" s="1"/>
      <x:c r="K250" s="1"/>
      <x:c r="L250" s="1"/>
      <x:c r="M250" s="1"/>
      <x:c r="N250" s="1"/>
      <x:c r="O250" s="1"/>
      <x:c r="P250" s="1"/>
      <x:c r="Q250" s="1"/>
      <x:c r="R250" s="1"/>
      <x:c r="S250" s="1"/>
      <x:c r="T250" s="1"/>
      <x:c r="U250" s="1"/>
      <x:c r="V250" s="1"/>
      <x:c r="W250" s="1"/>
      <x:c r="X250" s="1"/>
      <x:c r="Y250" s="1"/>
      <x:c r="Z250" s="1"/>
    </x:row>
    <x:row r="251">
      <x:c r="A251" s="1"/>
      <x:c r="B251" s="1"/>
      <x:c r="C251" s="1"/>
      <x:c r="D251" s="1"/>
      <x:c r="E251" s="1"/>
      <x:c r="F251" s="1"/>
      <x:c r="G251" s="1"/>
      <x:c r="H251" s="1"/>
      <x:c r="I251" s="1"/>
      <x:c r="J251" s="1"/>
      <x:c r="K251" s="1"/>
      <x:c r="L251" s="1"/>
      <x:c r="M251" s="1"/>
      <x:c r="N251" s="1"/>
      <x:c r="O251" s="1"/>
      <x:c r="P251" s="1"/>
      <x:c r="Q251" s="1"/>
      <x:c r="R251" s="1"/>
      <x:c r="S251" s="1"/>
      <x:c r="T251" s="1"/>
      <x:c r="U251" s="1"/>
      <x:c r="V251" s="1"/>
      <x:c r="W251" s="1"/>
      <x:c r="X251" s="1"/>
      <x:c r="Y251" s="1"/>
      <x:c r="Z251" s="1"/>
    </x:row>
    <x:row r="252">
      <x:c r="A252" s="1"/>
      <x:c r="B252" s="1"/>
      <x:c r="C252" s="1"/>
      <x:c r="D252" s="1"/>
      <x:c r="E252" s="1"/>
      <x:c r="F252" s="1"/>
      <x:c r="G252" s="1"/>
      <x:c r="H252" s="1"/>
      <x:c r="I252" s="1"/>
      <x:c r="J252" s="1"/>
      <x:c r="K252" s="1"/>
      <x:c r="L252" s="1"/>
      <x:c r="M252" s="1"/>
      <x:c r="N252" s="1"/>
      <x:c r="O252" s="1"/>
      <x:c r="P252" s="1"/>
      <x:c r="Q252" s="1"/>
      <x:c r="R252" s="1"/>
      <x:c r="S252" s="1"/>
      <x:c r="T252" s="1"/>
      <x:c r="U252" s="1"/>
      <x:c r="V252" s="1"/>
      <x:c r="W252" s="1"/>
      <x:c r="X252" s="1"/>
      <x:c r="Y252" s="1"/>
      <x:c r="Z252" s="1"/>
    </x:row>
    <x:row r="253">
      <x:c r="A253" s="1"/>
      <x:c r="B253" s="1"/>
      <x:c r="C253" s="1"/>
      <x:c r="D253" s="1"/>
      <x:c r="E253" s="1"/>
      <x:c r="F253" s="1"/>
      <x:c r="G253" s="1"/>
      <x:c r="H253" s="1"/>
      <x:c r="I253" s="1"/>
      <x:c r="J253" s="1"/>
      <x:c r="K253" s="1"/>
      <x:c r="L253" s="1"/>
      <x:c r="M253" s="1"/>
      <x:c r="N253" s="1"/>
      <x:c r="O253" s="1"/>
      <x:c r="P253" s="1"/>
      <x:c r="Q253" s="1"/>
      <x:c r="R253" s="1"/>
      <x:c r="S253" s="1"/>
      <x:c r="T253" s="1"/>
      <x:c r="U253" s="1"/>
      <x:c r="V253" s="1"/>
      <x:c r="W253" s="1"/>
      <x:c r="X253" s="1"/>
      <x:c r="Y253" s="1"/>
      <x:c r="Z253" s="1"/>
    </x:row>
    <x:row r="254">
      <x:c r="A254" s="1"/>
      <x:c r="B254" s="1"/>
      <x:c r="C254" s="1"/>
      <x:c r="D254" s="1"/>
      <x:c r="E254" s="1"/>
      <x:c r="F254" s="1"/>
      <x:c r="G254" s="1"/>
      <x:c r="H254" s="1"/>
      <x:c r="I254" s="1"/>
      <x:c r="J254" s="1"/>
      <x:c r="K254" s="1"/>
      <x:c r="L254" s="1"/>
      <x:c r="M254" s="1"/>
      <x:c r="N254" s="1"/>
      <x:c r="O254" s="1"/>
      <x:c r="P254" s="1"/>
      <x:c r="Q254" s="1"/>
      <x:c r="R254" s="1"/>
      <x:c r="S254" s="1"/>
      <x:c r="T254" s="1"/>
      <x:c r="U254" s="1"/>
      <x:c r="V254" s="1"/>
      <x:c r="W254" s="1"/>
      <x:c r="X254" s="1"/>
      <x:c r="Y254" s="1"/>
      <x:c r="Z254" s="1"/>
    </x:row>
    <x:row r="255">
      <x:c r="A255" s="1"/>
      <x:c r="B255" s="1"/>
      <x:c r="C255" s="1"/>
      <x:c r="D255" s="1"/>
      <x:c r="E255" s="1"/>
      <x:c r="F255" s="1"/>
      <x:c r="G255" s="1"/>
      <x:c r="H255" s="1"/>
      <x:c r="I255" s="1"/>
      <x:c r="J255" s="1"/>
      <x:c r="K255" s="1"/>
      <x:c r="L255" s="1"/>
      <x:c r="M255" s="1"/>
      <x:c r="N255" s="1"/>
      <x:c r="O255" s="1"/>
      <x:c r="P255" s="1"/>
      <x:c r="Q255" s="1"/>
      <x:c r="R255" s="1"/>
      <x:c r="S255" s="1"/>
      <x:c r="T255" s="1"/>
      <x:c r="U255" s="1"/>
      <x:c r="V255" s="1"/>
      <x:c r="W255" s="1"/>
      <x:c r="X255" s="1"/>
      <x:c r="Y255" s="1"/>
      <x:c r="Z255" s="1"/>
    </x:row>
    <x:row r="256">
      <x:c r="A256" s="1"/>
      <x:c r="B256" s="1"/>
      <x:c r="C256" s="1"/>
      <x:c r="D256" s="1"/>
      <x:c r="E256" s="1"/>
      <x:c r="F256" s="1"/>
      <x:c r="G256" s="1"/>
      <x:c r="H256" s="1"/>
      <x:c r="I256" s="1"/>
      <x:c r="J256" s="1"/>
      <x:c r="K256" s="1"/>
      <x:c r="L256" s="1"/>
      <x:c r="M256" s="1"/>
      <x:c r="N256" s="1"/>
      <x:c r="O256" s="1"/>
      <x:c r="P256" s="1"/>
      <x:c r="Q256" s="1"/>
      <x:c r="R256" s="1"/>
      <x:c r="S256" s="1"/>
      <x:c r="T256" s="1"/>
      <x:c r="U256" s="1"/>
      <x:c r="V256" s="1"/>
      <x:c r="W256" s="1"/>
      <x:c r="X256" s="1"/>
      <x:c r="Y256" s="1"/>
      <x:c r="Z256" s="1"/>
    </x:row>
    <x:row r="257">
      <x:c r="A257" s="1"/>
      <x:c r="B257" s="1"/>
      <x:c r="C257" s="1"/>
      <x:c r="D257" s="1"/>
      <x:c r="E257" s="1"/>
      <x:c r="F257" s="1"/>
      <x:c r="G257" s="1"/>
      <x:c r="H257" s="1"/>
      <x:c r="I257" s="1"/>
      <x:c r="J257" s="1"/>
      <x:c r="K257" s="1"/>
      <x:c r="L257" s="1"/>
      <x:c r="M257" s="1"/>
      <x:c r="N257" s="1"/>
      <x:c r="O257" s="1"/>
      <x:c r="P257" s="1"/>
      <x:c r="Q257" s="1"/>
      <x:c r="R257" s="1"/>
      <x:c r="S257" s="1"/>
      <x:c r="T257" s="1"/>
      <x:c r="U257" s="1"/>
      <x:c r="V257" s="1"/>
      <x:c r="W257" s="1"/>
      <x:c r="X257" s="1"/>
      <x:c r="Y257" s="1"/>
      <x:c r="Z257" s="1"/>
    </x:row>
    <x:row r="258">
      <x:c r="A258" s="1"/>
      <x:c r="B258" s="1"/>
      <x:c r="C258" s="1"/>
      <x:c r="D258" s="1"/>
      <x:c r="E258" s="1"/>
      <x:c r="F258" s="1"/>
      <x:c r="G258" s="1"/>
      <x:c r="H258" s="1"/>
      <x:c r="I258" s="1"/>
      <x:c r="J258" s="1"/>
      <x:c r="K258" s="1"/>
      <x:c r="L258" s="1"/>
      <x:c r="M258" s="1"/>
      <x:c r="N258" s="1"/>
      <x:c r="O258" s="1"/>
      <x:c r="P258" s="1"/>
      <x:c r="Q258" s="1"/>
      <x:c r="R258" s="1"/>
      <x:c r="S258" s="1"/>
      <x:c r="T258" s="1"/>
      <x:c r="U258" s="1"/>
      <x:c r="V258" s="1"/>
      <x:c r="W258" s="1"/>
      <x:c r="X258" s="1"/>
      <x:c r="Y258" s="1"/>
      <x:c r="Z258" s="1"/>
    </x:row>
    <x:row r="259">
      <x:c r="A259" s="1"/>
      <x:c r="B259" s="1"/>
      <x:c r="C259" s="1"/>
      <x:c r="D259" s="1"/>
      <x:c r="E259" s="1"/>
      <x:c r="F259" s="1"/>
      <x:c r="G259" s="1"/>
      <x:c r="H259" s="1"/>
      <x:c r="I259" s="1"/>
      <x:c r="J259" s="1"/>
      <x:c r="K259" s="1"/>
      <x:c r="L259" s="1"/>
      <x:c r="M259" s="1"/>
      <x:c r="N259" s="1"/>
      <x:c r="O259" s="1"/>
      <x:c r="P259" s="1"/>
      <x:c r="Q259" s="1"/>
      <x:c r="R259" s="1"/>
      <x:c r="S259" s="1"/>
      <x:c r="T259" s="1"/>
      <x:c r="U259" s="1"/>
      <x:c r="V259" s="1"/>
      <x:c r="W259" s="1"/>
      <x:c r="X259" s="1"/>
      <x:c r="Y259" s="1"/>
      <x:c r="Z259" s="1"/>
    </x:row>
    <x:row r="260">
      <x:c r="A260" s="1"/>
      <x:c r="B260" s="1"/>
      <x:c r="C260" s="1"/>
      <x:c r="D260" s="1"/>
      <x:c r="E260" s="1"/>
      <x:c r="F260" s="1"/>
      <x:c r="G260" s="1"/>
      <x:c r="H260" s="1"/>
      <x:c r="I260" s="1"/>
      <x:c r="J260" s="1"/>
      <x:c r="K260" s="1"/>
      <x:c r="L260" s="1"/>
      <x:c r="M260" s="1"/>
      <x:c r="N260" s="1"/>
      <x:c r="O260" s="1"/>
      <x:c r="P260" s="1"/>
      <x:c r="Q260" s="1"/>
      <x:c r="R260" s="1"/>
      <x:c r="S260" s="1"/>
      <x:c r="T260" s="1"/>
      <x:c r="U260" s="1"/>
      <x:c r="V260" s="1"/>
      <x:c r="W260" s="1"/>
      <x:c r="X260" s="1"/>
      <x:c r="Y260" s="1"/>
      <x:c r="Z260" s="1"/>
    </x:row>
    <x:row r="261">
      <x:c r="A261" s="1"/>
      <x:c r="B261" s="1"/>
      <x:c r="C261" s="1"/>
      <x:c r="D261" s="1"/>
      <x:c r="E261" s="1"/>
      <x:c r="F261" s="1"/>
      <x:c r="G261" s="1"/>
      <x:c r="H261" s="1"/>
      <x:c r="I261" s="1"/>
      <x:c r="J261" s="1"/>
      <x:c r="K261" s="1"/>
      <x:c r="L261" s="1"/>
      <x:c r="M261" s="1"/>
      <x:c r="N261" s="1"/>
      <x:c r="O261" s="1"/>
      <x:c r="P261" s="1"/>
      <x:c r="Q261" s="1"/>
      <x:c r="R261" s="1"/>
      <x:c r="S261" s="1"/>
      <x:c r="T261" s="1"/>
      <x:c r="U261" s="1"/>
      <x:c r="V261" s="1"/>
      <x:c r="W261" s="1"/>
      <x:c r="X261" s="1"/>
      <x:c r="Y261" s="1"/>
      <x:c r="Z261" s="1"/>
    </x:row>
    <x:row r="262">
      <x:c r="A262" s="1"/>
      <x:c r="B262" s="1"/>
      <x:c r="C262" s="1"/>
      <x:c r="D262" s="1"/>
      <x:c r="E262" s="1"/>
      <x:c r="F262" s="1"/>
      <x:c r="G262" s="1"/>
      <x:c r="H262" s="1"/>
      <x:c r="I262" s="1"/>
      <x:c r="J262" s="1"/>
      <x:c r="K262" s="1"/>
      <x:c r="L262" s="1"/>
      <x:c r="M262" s="1"/>
      <x:c r="N262" s="1"/>
      <x:c r="O262" s="1"/>
      <x:c r="P262" s="1"/>
      <x:c r="Q262" s="1"/>
      <x:c r="R262" s="1"/>
      <x:c r="S262" s="1"/>
      <x:c r="T262" s="1"/>
      <x:c r="U262" s="1"/>
      <x:c r="V262" s="1"/>
      <x:c r="W262" s="1"/>
      <x:c r="X262" s="1"/>
      <x:c r="Y262" s="1"/>
      <x:c r="Z262" s="1"/>
    </x:row>
    <x:row r="263">
      <x:c r="A263" s="1"/>
      <x:c r="B263" s="1"/>
      <x:c r="C263" s="1"/>
      <x:c r="D263" s="1"/>
      <x:c r="E263" s="1"/>
      <x:c r="F263" s="1"/>
      <x:c r="G263" s="1"/>
      <x:c r="H263" s="1"/>
      <x:c r="I263" s="1"/>
      <x:c r="J263" s="1"/>
      <x:c r="K263" s="1"/>
      <x:c r="L263" s="1"/>
      <x:c r="M263" s="1"/>
      <x:c r="N263" s="1"/>
      <x:c r="O263" s="1"/>
      <x:c r="P263" s="1"/>
      <x:c r="Q263" s="1"/>
      <x:c r="R263" s="1"/>
      <x:c r="S263" s="1"/>
      <x:c r="T263" s="1"/>
      <x:c r="U263" s="1"/>
      <x:c r="V263" s="1"/>
      <x:c r="W263" s="1"/>
      <x:c r="X263" s="1"/>
      <x:c r="Y263" s="1"/>
      <x:c r="Z263" s="1"/>
    </x:row>
    <x:row r="264">
      <x:c r="A264" s="1"/>
      <x:c r="B264" s="1"/>
      <x:c r="C264" s="1"/>
      <x:c r="D264" s="1"/>
      <x:c r="E264" s="1"/>
      <x:c r="F264" s="1"/>
      <x:c r="G264" s="1"/>
      <x:c r="H264" s="1"/>
      <x:c r="I264" s="1"/>
      <x:c r="J264" s="1"/>
      <x:c r="K264" s="1"/>
      <x:c r="L264" s="1"/>
      <x:c r="M264" s="1"/>
      <x:c r="N264" s="1"/>
      <x:c r="O264" s="1"/>
      <x:c r="P264" s="1"/>
      <x:c r="Q264" s="1"/>
      <x:c r="R264" s="1"/>
      <x:c r="S264" s="1"/>
      <x:c r="T264" s="1"/>
      <x:c r="U264" s="1"/>
      <x:c r="V264" s="1"/>
      <x:c r="W264" s="1"/>
      <x:c r="X264" s="1"/>
      <x:c r="Y264" s="1"/>
      <x:c r="Z264" s="1"/>
    </x:row>
    <x:row r="265">
      <x:c r="A265" s="1"/>
      <x:c r="B265" s="1"/>
      <x:c r="C265" s="1"/>
      <x:c r="D265" s="1"/>
      <x:c r="E265" s="1"/>
      <x:c r="F265" s="1"/>
      <x:c r="G265" s="1"/>
      <x:c r="H265" s="1"/>
      <x:c r="I265" s="1"/>
      <x:c r="J265" s="1"/>
      <x:c r="K265" s="1"/>
      <x:c r="L265" s="1"/>
      <x:c r="M265" s="1"/>
      <x:c r="N265" s="1"/>
      <x:c r="O265" s="1"/>
      <x:c r="P265" s="1"/>
      <x:c r="Q265" s="1"/>
      <x:c r="R265" s="1"/>
      <x:c r="S265" s="1"/>
      <x:c r="T265" s="1"/>
      <x:c r="U265" s="1"/>
      <x:c r="V265" s="1"/>
      <x:c r="W265" s="1"/>
      <x:c r="X265" s="1"/>
      <x:c r="Y265" s="1"/>
      <x:c r="Z265" s="1"/>
    </x:row>
    <x:row r="266">
      <x:c r="A266" s="1"/>
      <x:c r="B266" s="1"/>
      <x:c r="C266" s="1"/>
      <x:c r="D266" s="1"/>
      <x:c r="E266" s="1"/>
      <x:c r="F266" s="1"/>
      <x:c r="G266" s="1"/>
      <x:c r="H266" s="1"/>
      <x:c r="I266" s="1"/>
      <x:c r="J266" s="1"/>
      <x:c r="K266" s="1"/>
      <x:c r="L266" s="1"/>
      <x:c r="M266" s="1"/>
      <x:c r="N266" s="1"/>
      <x:c r="O266" s="1"/>
      <x:c r="P266" s="1"/>
      <x:c r="Q266" s="1"/>
      <x:c r="R266" s="1"/>
      <x:c r="S266" s="1"/>
      <x:c r="T266" s="1"/>
      <x:c r="U266" s="1"/>
      <x:c r="V266" s="1"/>
      <x:c r="W266" s="1"/>
      <x:c r="X266" s="1"/>
      <x:c r="Y266" s="1"/>
      <x:c r="Z266" s="1"/>
    </x:row>
    <x:row r="267">
      <x:c r="A267" s="1"/>
      <x:c r="B267" s="1"/>
      <x:c r="C267" s="1"/>
      <x:c r="D267" s="1"/>
      <x:c r="E267" s="1"/>
      <x:c r="F267" s="1"/>
      <x:c r="G267" s="1"/>
      <x:c r="H267" s="1"/>
      <x:c r="I267" s="1"/>
      <x:c r="J267" s="1"/>
      <x:c r="K267" s="1"/>
      <x:c r="L267" s="1"/>
      <x:c r="M267" s="1"/>
      <x:c r="N267" s="1"/>
      <x:c r="O267" s="1"/>
      <x:c r="P267" s="1"/>
      <x:c r="Q267" s="1"/>
      <x:c r="R267" s="1"/>
      <x:c r="S267" s="1"/>
      <x:c r="T267" s="1"/>
      <x:c r="U267" s="1"/>
      <x:c r="V267" s="1"/>
      <x:c r="W267" s="1"/>
      <x:c r="X267" s="1"/>
      <x:c r="Y267" s="1"/>
      <x:c r="Z267" s="1"/>
    </x:row>
    <x:row r="268">
      <x:c r="A268" s="1"/>
      <x:c r="B268" s="1"/>
      <x:c r="C268" s="1"/>
      <x:c r="D268" s="1"/>
      <x:c r="E268" s="1"/>
      <x:c r="F268" s="1"/>
      <x:c r="G268" s="1"/>
      <x:c r="H268" s="1"/>
      <x:c r="I268" s="1"/>
      <x:c r="J268" s="1"/>
      <x:c r="K268" s="1"/>
      <x:c r="L268" s="1"/>
      <x:c r="M268" s="1"/>
      <x:c r="N268" s="1"/>
      <x:c r="O268" s="1"/>
      <x:c r="P268" s="1"/>
      <x:c r="Q268" s="1"/>
      <x:c r="R268" s="1"/>
      <x:c r="S268" s="1"/>
      <x:c r="T268" s="1"/>
      <x:c r="U268" s="1"/>
      <x:c r="V268" s="1"/>
      <x:c r="W268" s="1"/>
      <x:c r="X268" s="1"/>
      <x:c r="Y268" s="1"/>
      <x:c r="Z268" s="1"/>
    </x:row>
    <x:row r="269">
      <x:c r="A269" s="1"/>
      <x:c r="B269" s="1"/>
      <x:c r="C269" s="1"/>
      <x:c r="D269" s="1"/>
      <x:c r="E269" s="1"/>
      <x:c r="F269" s="1"/>
      <x:c r="G269" s="1"/>
      <x:c r="H269" s="1"/>
      <x:c r="I269" s="1"/>
      <x:c r="J269" s="1"/>
      <x:c r="K269" s="1"/>
      <x:c r="L269" s="1"/>
      <x:c r="M269" s="1"/>
      <x:c r="N269" s="1"/>
      <x:c r="O269" s="1"/>
      <x:c r="P269" s="1"/>
      <x:c r="Q269" s="1"/>
      <x:c r="R269" s="1"/>
      <x:c r="S269" s="1"/>
      <x:c r="T269" s="1"/>
      <x:c r="U269" s="1"/>
      <x:c r="V269" s="1"/>
      <x:c r="W269" s="1"/>
      <x:c r="X269" s="1"/>
      <x:c r="Y269" s="1"/>
      <x:c r="Z269" s="1"/>
    </x:row>
    <x:row r="270">
      <x:c r="A270" s="1"/>
      <x:c r="B270" s="1"/>
      <x:c r="C270" s="1"/>
      <x:c r="D270" s="1"/>
      <x:c r="E270" s="1"/>
      <x:c r="F270" s="1"/>
      <x:c r="G270" s="1"/>
      <x:c r="H270" s="1"/>
      <x:c r="I270" s="1"/>
      <x:c r="J270" s="1"/>
      <x:c r="K270" s="1"/>
      <x:c r="L270" s="1"/>
      <x:c r="M270" s="1"/>
      <x:c r="N270" s="1"/>
      <x:c r="O270" s="1"/>
      <x:c r="P270" s="1"/>
      <x:c r="Q270" s="1"/>
      <x:c r="R270" s="1"/>
      <x:c r="S270" s="1"/>
      <x:c r="T270" s="1"/>
      <x:c r="U270" s="1"/>
      <x:c r="V270" s="1"/>
      <x:c r="W270" s="1"/>
      <x:c r="X270" s="1"/>
      <x:c r="Y270" s="1"/>
      <x:c r="Z270" s="1"/>
    </x:row>
    <x:row r="271">
      <x:c r="A271" s="1"/>
      <x:c r="B271" s="1"/>
      <x:c r="C271" s="1"/>
      <x:c r="D271" s="1"/>
      <x:c r="E271" s="1"/>
      <x:c r="F271" s="1"/>
      <x:c r="G271" s="1"/>
      <x:c r="H271" s="1"/>
      <x:c r="I271" s="1"/>
      <x:c r="J271" s="1"/>
      <x:c r="K271" s="1"/>
      <x:c r="L271" s="1"/>
      <x:c r="M271" s="1"/>
      <x:c r="N271" s="1"/>
      <x:c r="O271" s="1"/>
      <x:c r="P271" s="1"/>
      <x:c r="Q271" s="1"/>
      <x:c r="R271" s="1"/>
      <x:c r="S271" s="1"/>
      <x:c r="T271" s="1"/>
      <x:c r="U271" s="1"/>
      <x:c r="V271" s="1"/>
      <x:c r="W271" s="1"/>
      <x:c r="X271" s="1"/>
      <x:c r="Y271" s="1"/>
      <x:c r="Z271" s="1"/>
    </x:row>
    <x:row r="272">
      <x:c r="A272" s="1"/>
      <x:c r="B272" s="1"/>
      <x:c r="C272" s="1"/>
      <x:c r="D272" s="1"/>
      <x:c r="E272" s="1"/>
      <x:c r="F272" s="1"/>
      <x:c r="G272" s="1"/>
      <x:c r="H272" s="1"/>
      <x:c r="I272" s="1"/>
      <x:c r="J272" s="1"/>
      <x:c r="K272" s="1"/>
      <x:c r="L272" s="1"/>
      <x:c r="M272" s="1"/>
      <x:c r="N272" s="1"/>
      <x:c r="O272" s="1"/>
      <x:c r="P272" s="1"/>
      <x:c r="Q272" s="1"/>
      <x:c r="R272" s="1"/>
      <x:c r="S272" s="1"/>
      <x:c r="T272" s="1"/>
      <x:c r="U272" s="1"/>
      <x:c r="V272" s="1"/>
      <x:c r="W272" s="1"/>
      <x:c r="X272" s="1"/>
      <x:c r="Y272" s="1"/>
      <x:c r="Z272" s="1"/>
    </x:row>
    <x:row r="273">
      <x:c r="A273" s="1"/>
      <x:c r="B273" s="1"/>
      <x:c r="C273" s="1"/>
      <x:c r="D273" s="1"/>
      <x:c r="E273" s="1"/>
      <x:c r="F273" s="1"/>
      <x:c r="G273" s="1"/>
      <x:c r="H273" s="1"/>
      <x:c r="I273" s="1"/>
      <x:c r="J273" s="1"/>
      <x:c r="K273" s="1"/>
      <x:c r="L273" s="1"/>
      <x:c r="M273" s="1"/>
      <x:c r="N273" s="1"/>
      <x:c r="O273" s="1"/>
      <x:c r="P273" s="1"/>
      <x:c r="Q273" s="1"/>
      <x:c r="R273" s="1"/>
      <x:c r="S273" s="1"/>
      <x:c r="T273" s="1"/>
      <x:c r="U273" s="1"/>
      <x:c r="V273" s="1"/>
      <x:c r="W273" s="1"/>
      <x:c r="X273" s="1"/>
      <x:c r="Y273" s="1"/>
      <x:c r="Z273" s="1"/>
    </x:row>
    <x:row r="274">
      <x:c r="A274" s="1"/>
      <x:c r="B274" s="1"/>
      <x:c r="C274" s="1"/>
      <x:c r="D274" s="1"/>
      <x:c r="E274" s="1"/>
      <x:c r="F274" s="1"/>
      <x:c r="G274" s="1"/>
      <x:c r="H274" s="1"/>
      <x:c r="I274" s="1"/>
      <x:c r="J274" s="1"/>
      <x:c r="K274" s="1"/>
      <x:c r="L274" s="1"/>
      <x:c r="M274" s="1"/>
      <x:c r="N274" s="1"/>
      <x:c r="O274" s="1"/>
      <x:c r="P274" s="1"/>
      <x:c r="Q274" s="1"/>
      <x:c r="R274" s="1"/>
      <x:c r="S274" s="1"/>
      <x:c r="T274" s="1"/>
      <x:c r="U274" s="1"/>
      <x:c r="V274" s="1"/>
      <x:c r="W274" s="1"/>
      <x:c r="X274" s="1"/>
      <x:c r="Y274" s="1"/>
      <x:c r="Z274" s="1"/>
    </x:row>
    <x:row r="275">
      <x:c r="A275" s="1"/>
      <x:c r="B275" s="1"/>
      <x:c r="C275" s="1"/>
      <x:c r="D275" s="1"/>
      <x:c r="E275" s="1"/>
      <x:c r="F275" s="1"/>
      <x:c r="G275" s="1"/>
      <x:c r="H275" s="1"/>
      <x:c r="I275" s="1"/>
      <x:c r="J275" s="1"/>
      <x:c r="K275" s="1"/>
      <x:c r="L275" s="1"/>
      <x:c r="M275" s="1"/>
      <x:c r="N275" s="1"/>
      <x:c r="O275" s="1"/>
      <x:c r="P275" s="1"/>
      <x:c r="Q275" s="1"/>
      <x:c r="R275" s="1"/>
      <x:c r="S275" s="1"/>
      <x:c r="T275" s="1"/>
      <x:c r="U275" s="1"/>
      <x:c r="V275" s="1"/>
      <x:c r="W275" s="1"/>
      <x:c r="X275" s="1"/>
      <x:c r="Y275" s="1"/>
      <x:c r="Z275" s="1"/>
    </x:row>
    <x:row r="276">
      <x:c r="A276" s="1"/>
      <x:c r="B276" s="1"/>
      <x:c r="C276" s="1"/>
      <x:c r="D276" s="1"/>
      <x:c r="E276" s="1"/>
      <x:c r="F276" s="1"/>
      <x:c r="G276" s="1"/>
      <x:c r="H276" s="1"/>
      <x:c r="I276" s="1"/>
      <x:c r="J276" s="1"/>
      <x:c r="K276" s="1"/>
      <x:c r="L276" s="1"/>
      <x:c r="M276" s="1"/>
      <x:c r="N276" s="1"/>
      <x:c r="O276" s="1"/>
      <x:c r="P276" s="1"/>
      <x:c r="Q276" s="1"/>
      <x:c r="R276" s="1"/>
      <x:c r="S276" s="1"/>
      <x:c r="T276" s="1"/>
      <x:c r="U276" s="1"/>
      <x:c r="V276" s="1"/>
      <x:c r="W276" s="1"/>
      <x:c r="X276" s="1"/>
      <x:c r="Y276" s="1"/>
      <x:c r="Z276" s="1"/>
    </x:row>
    <x:row r="277">
      <x:c r="A277" s="1"/>
      <x:c r="B277" s="1"/>
      <x:c r="C277" s="1"/>
      <x:c r="D277" s="1"/>
      <x:c r="E277" s="1"/>
      <x:c r="F277" s="1"/>
      <x:c r="G277" s="1"/>
      <x:c r="H277" s="1"/>
      <x:c r="I277" s="1"/>
      <x:c r="J277" s="1"/>
      <x:c r="K277" s="1"/>
      <x:c r="L277" s="1"/>
      <x:c r="M277" s="1"/>
      <x:c r="N277" s="1"/>
      <x:c r="O277" s="1"/>
      <x:c r="P277" s="1"/>
      <x:c r="Q277" s="1"/>
      <x:c r="R277" s="1"/>
      <x:c r="S277" s="1"/>
      <x:c r="T277" s="1"/>
      <x:c r="U277" s="1"/>
      <x:c r="V277" s="1"/>
      <x:c r="W277" s="1"/>
      <x:c r="X277" s="1"/>
      <x:c r="Y277" s="1"/>
      <x:c r="Z277" s="1"/>
    </x:row>
    <x:row r="278">
      <x:c r="A278" s="1"/>
      <x:c r="B278" s="1"/>
      <x:c r="C278" s="1"/>
      <x:c r="D278" s="1"/>
      <x:c r="E278" s="1"/>
      <x:c r="F278" s="1"/>
      <x:c r="G278" s="1"/>
      <x:c r="H278" s="1"/>
      <x:c r="I278" s="1"/>
      <x:c r="J278" s="1"/>
      <x:c r="K278" s="1"/>
      <x:c r="L278" s="1"/>
      <x:c r="M278" s="1"/>
      <x:c r="N278" s="1"/>
      <x:c r="O278" s="1"/>
      <x:c r="P278" s="1"/>
      <x:c r="Q278" s="1"/>
      <x:c r="R278" s="1"/>
      <x:c r="S278" s="1"/>
      <x:c r="T278" s="1"/>
      <x:c r="U278" s="1"/>
      <x:c r="V278" s="1"/>
      <x:c r="W278" s="1"/>
      <x:c r="X278" s="1"/>
      <x:c r="Y278" s="1"/>
      <x:c r="Z278" s="1"/>
    </x:row>
    <x:row r="279">
      <x:c r="A279" s="1"/>
      <x:c r="B279" s="1"/>
      <x:c r="C279" s="1"/>
      <x:c r="D279" s="1"/>
      <x:c r="E279" s="1"/>
      <x:c r="F279" s="1"/>
      <x:c r="G279" s="1"/>
      <x:c r="H279" s="1"/>
      <x:c r="I279" s="1"/>
      <x:c r="J279" s="1"/>
      <x:c r="K279" s="1"/>
      <x:c r="L279" s="1"/>
      <x:c r="M279" s="1"/>
      <x:c r="N279" s="1"/>
      <x:c r="O279" s="1"/>
      <x:c r="P279" s="1"/>
      <x:c r="Q279" s="1"/>
      <x:c r="R279" s="1"/>
      <x:c r="S279" s="1"/>
      <x:c r="T279" s="1"/>
      <x:c r="U279" s="1"/>
      <x:c r="V279" s="1"/>
      <x:c r="W279" s="1"/>
      <x:c r="X279" s="1"/>
      <x:c r="Y279" s="1"/>
      <x:c r="Z279" s="1"/>
    </x:row>
    <x:row r="280">
      <x:c r="A280" s="1"/>
      <x:c r="B280" s="1"/>
      <x:c r="C280" s="1"/>
      <x:c r="D280" s="1"/>
      <x:c r="E280" s="1"/>
      <x:c r="F280" s="1"/>
      <x:c r="G280" s="1"/>
      <x:c r="H280" s="1"/>
      <x:c r="I280" s="1"/>
      <x:c r="J280" s="1"/>
      <x:c r="K280" s="1"/>
      <x:c r="L280" s="1"/>
      <x:c r="M280" s="1"/>
      <x:c r="N280" s="1"/>
      <x:c r="O280" s="1"/>
      <x:c r="P280" s="1"/>
      <x:c r="Q280" s="1"/>
      <x:c r="R280" s="1"/>
      <x:c r="S280" s="1"/>
      <x:c r="T280" s="1"/>
      <x:c r="U280" s="1"/>
      <x:c r="V280" s="1"/>
      <x:c r="W280" s="1"/>
      <x:c r="X280" s="1"/>
      <x:c r="Y280" s="1"/>
      <x:c r="Z280" s="1"/>
    </x:row>
    <x:row r="281">
      <x:c r="A281" s="1"/>
      <x:c r="B281" s="1"/>
      <x:c r="C281" s="1"/>
      <x:c r="D281" s="1"/>
      <x:c r="E281" s="1"/>
      <x:c r="F281" s="1"/>
      <x:c r="G281" s="1"/>
      <x:c r="H281" s="1"/>
      <x:c r="I281" s="1"/>
      <x:c r="J281" s="1"/>
      <x:c r="K281" s="1"/>
      <x:c r="L281" s="1"/>
      <x:c r="M281" s="1"/>
      <x:c r="N281" s="1"/>
      <x:c r="O281" s="1"/>
      <x:c r="P281" s="1"/>
      <x:c r="Q281" s="1"/>
      <x:c r="R281" s="1"/>
      <x:c r="S281" s="1"/>
      <x:c r="T281" s="1"/>
      <x:c r="U281" s="1"/>
      <x:c r="V281" s="1"/>
      <x:c r="W281" s="1"/>
      <x:c r="X281" s="1"/>
      <x:c r="Y281" s="1"/>
      <x:c r="Z281" s="1"/>
    </x:row>
    <x:row r="282">
      <x:c r="A282" s="1"/>
      <x:c r="B282" s="1"/>
      <x:c r="C282" s="1"/>
      <x:c r="D282" s="1"/>
      <x:c r="E282" s="1"/>
      <x:c r="F282" s="1"/>
      <x:c r="G282" s="1"/>
      <x:c r="H282" s="1"/>
      <x:c r="I282" s="1"/>
      <x:c r="J282" s="1"/>
      <x:c r="K282" s="1"/>
      <x:c r="L282" s="1"/>
      <x:c r="M282" s="1"/>
      <x:c r="N282" s="1"/>
      <x:c r="O282" s="1"/>
      <x:c r="P282" s="1"/>
      <x:c r="Q282" s="1"/>
      <x:c r="R282" s="1"/>
      <x:c r="S282" s="1"/>
      <x:c r="T282" s="1"/>
      <x:c r="U282" s="1"/>
      <x:c r="V282" s="1"/>
      <x:c r="W282" s="1"/>
      <x:c r="X282" s="1"/>
      <x:c r="Y282" s="1"/>
      <x:c r="Z282" s="1"/>
    </x:row>
    <x:row r="283">
      <x:c r="A283" s="1"/>
      <x:c r="B283" s="1"/>
      <x:c r="C283" s="1"/>
      <x:c r="D283" s="1"/>
      <x:c r="E283" s="1"/>
      <x:c r="F283" s="1"/>
      <x:c r="G283" s="1"/>
      <x:c r="H283" s="1"/>
      <x:c r="I283" s="1"/>
      <x:c r="J283" s="1"/>
      <x:c r="K283" s="1"/>
      <x:c r="L283" s="1"/>
      <x:c r="M283" s="1"/>
      <x:c r="N283" s="1"/>
      <x:c r="O283" s="1"/>
      <x:c r="P283" s="1"/>
      <x:c r="Q283" s="1"/>
      <x:c r="R283" s="1"/>
      <x:c r="S283" s="1"/>
      <x:c r="T283" s="1"/>
      <x:c r="U283" s="1"/>
      <x:c r="V283" s="1"/>
      <x:c r="W283" s="1"/>
      <x:c r="X283" s="1"/>
      <x:c r="Y283" s="1"/>
      <x:c r="Z283" s="1"/>
    </x:row>
    <x:row r="284">
      <x:c r="A284" s="1"/>
      <x:c r="B284" s="1"/>
      <x:c r="C284" s="1"/>
      <x:c r="D284" s="1"/>
      <x:c r="E284" s="1"/>
      <x:c r="F284" s="1"/>
      <x:c r="G284" s="1"/>
      <x:c r="H284" s="1"/>
      <x:c r="I284" s="1"/>
      <x:c r="J284" s="1"/>
      <x:c r="K284" s="1"/>
      <x:c r="L284" s="1"/>
      <x:c r="M284" s="1"/>
      <x:c r="N284" s="1"/>
      <x:c r="O284" s="1"/>
      <x:c r="P284" s="1"/>
      <x:c r="Q284" s="1"/>
      <x:c r="R284" s="1"/>
      <x:c r="S284" s="1"/>
      <x:c r="T284" s="1"/>
      <x:c r="U284" s="1"/>
      <x:c r="V284" s="1"/>
      <x:c r="W284" s="1"/>
      <x:c r="X284" s="1"/>
      <x:c r="Y284" s="1"/>
      <x:c r="Z284" s="1"/>
    </x:row>
    <x:row r="285">
      <x:c r="A285" s="1"/>
      <x:c r="B285" s="1"/>
      <x:c r="C285" s="1"/>
      <x:c r="D285" s="1"/>
      <x:c r="E285" s="1"/>
      <x:c r="F285" s="1"/>
      <x:c r="G285" s="1"/>
      <x:c r="H285" s="1"/>
      <x:c r="I285" s="1"/>
      <x:c r="J285" s="1"/>
      <x:c r="K285" s="1"/>
      <x:c r="L285" s="1"/>
      <x:c r="M285" s="1"/>
      <x:c r="N285" s="1"/>
      <x:c r="O285" s="1"/>
      <x:c r="P285" s="1"/>
      <x:c r="Q285" s="1"/>
      <x:c r="R285" s="1"/>
      <x:c r="S285" s="1"/>
      <x:c r="T285" s="1"/>
      <x:c r="U285" s="1"/>
      <x:c r="V285" s="1"/>
      <x:c r="W285" s="1"/>
      <x:c r="X285" s="1"/>
      <x:c r="Y285" s="1"/>
      <x:c r="Z285" s="1"/>
    </x:row>
    <x:row r="286">
      <x:c r="A286" s="1"/>
      <x:c r="B286" s="1"/>
      <x:c r="C286" s="1"/>
      <x:c r="D286" s="1"/>
      <x:c r="E286" s="1"/>
      <x:c r="F286" s="1"/>
      <x:c r="G286" s="1"/>
      <x:c r="H286" s="1"/>
      <x:c r="I286" s="1"/>
      <x:c r="J286" s="1"/>
      <x:c r="K286" s="1"/>
      <x:c r="L286" s="1"/>
      <x:c r="M286" s="1"/>
      <x:c r="N286" s="1"/>
      <x:c r="O286" s="1"/>
      <x:c r="P286" s="1"/>
      <x:c r="Q286" s="1"/>
      <x:c r="R286" s="1"/>
      <x:c r="S286" s="1"/>
      <x:c r="T286" s="1"/>
      <x:c r="U286" s="1"/>
      <x:c r="V286" s="1"/>
      <x:c r="W286" s="1"/>
      <x:c r="X286" s="1"/>
      <x:c r="Y286" s="1"/>
      <x:c r="Z286" s="1"/>
    </x:row>
    <x:row r="287">
      <x:c r="A287" s="1"/>
      <x:c r="B287" s="1"/>
      <x:c r="C287" s="1"/>
      <x:c r="D287" s="1"/>
      <x:c r="E287" s="1"/>
      <x:c r="F287" s="1"/>
      <x:c r="G287" s="1"/>
      <x:c r="H287" s="1"/>
      <x:c r="I287" s="1"/>
      <x:c r="J287" s="1"/>
      <x:c r="K287" s="1"/>
      <x:c r="L287" s="1"/>
      <x:c r="M287" s="1"/>
      <x:c r="N287" s="1"/>
      <x:c r="O287" s="1"/>
      <x:c r="P287" s="1"/>
      <x:c r="Q287" s="1"/>
      <x:c r="R287" s="1"/>
      <x:c r="S287" s="1"/>
      <x:c r="T287" s="1"/>
      <x:c r="U287" s="1"/>
      <x:c r="V287" s="1"/>
      <x:c r="W287" s="1"/>
      <x:c r="X287" s="1"/>
      <x:c r="Y287" s="1"/>
      <x:c r="Z287" s="1"/>
    </x:row>
    <x:row r="288">
      <x:c r="A288" s="1"/>
      <x:c r="B288" s="1"/>
      <x:c r="C288" s="1"/>
      <x:c r="D288" s="1"/>
      <x:c r="E288" s="1"/>
      <x:c r="F288" s="1"/>
      <x:c r="G288" s="1"/>
      <x:c r="H288" s="1"/>
      <x:c r="I288" s="1"/>
      <x:c r="J288" s="1"/>
      <x:c r="K288" s="1"/>
      <x:c r="L288" s="1"/>
      <x:c r="M288" s="1"/>
      <x:c r="N288" s="1"/>
      <x:c r="O288" s="1"/>
      <x:c r="P288" s="1"/>
      <x:c r="Q288" s="1"/>
      <x:c r="R288" s="1"/>
      <x:c r="S288" s="1"/>
      <x:c r="T288" s="1"/>
      <x:c r="U288" s="1"/>
      <x:c r="V288" s="1"/>
      <x:c r="W288" s="1"/>
      <x:c r="X288" s="1"/>
      <x:c r="Y288" s="1"/>
      <x:c r="Z288" s="1"/>
    </x:row>
    <x:row r="289">
      <x:c r="A289" s="1"/>
      <x:c r="B289" s="1"/>
      <x:c r="C289" s="1"/>
      <x:c r="D289" s="1"/>
      <x:c r="E289" s="1"/>
      <x:c r="F289" s="1"/>
      <x:c r="G289" s="1"/>
      <x:c r="H289" s="1"/>
      <x:c r="I289" s="1"/>
      <x:c r="J289" s="1"/>
      <x:c r="K289" s="1"/>
      <x:c r="L289" s="1"/>
      <x:c r="M289" s="1"/>
      <x:c r="N289" s="1"/>
      <x:c r="O289" s="1"/>
      <x:c r="P289" s="1"/>
      <x:c r="Q289" s="1"/>
      <x:c r="R289" s="1"/>
      <x:c r="S289" s="1"/>
      <x:c r="T289" s="1"/>
      <x:c r="U289" s="1"/>
      <x:c r="V289" s="1"/>
      <x:c r="W289" s="1"/>
      <x:c r="X289" s="1"/>
      <x:c r="Y289" s="1"/>
      <x:c r="Z289" s="1"/>
    </x:row>
    <x:row r="290">
      <x:c r="A290" s="1"/>
      <x:c r="B290" s="1"/>
      <x:c r="C290" s="1"/>
      <x:c r="D290" s="1"/>
      <x:c r="E290" s="1"/>
      <x:c r="F290" s="1"/>
      <x:c r="G290" s="1"/>
      <x:c r="H290" s="1"/>
      <x:c r="I290" s="1"/>
      <x:c r="J290" s="1"/>
      <x:c r="K290" s="1"/>
      <x:c r="L290" s="1"/>
      <x:c r="M290" s="1"/>
      <x:c r="N290" s="1"/>
      <x:c r="O290" s="1"/>
      <x:c r="P290" s="1"/>
      <x:c r="Q290" s="1"/>
      <x:c r="R290" s="1"/>
      <x:c r="S290" s="1"/>
      <x:c r="T290" s="1"/>
      <x:c r="U290" s="1"/>
      <x:c r="V290" s="1"/>
      <x:c r="W290" s="1"/>
      <x:c r="X290" s="1"/>
      <x:c r="Y290" s="1"/>
      <x:c r="Z290" s="1"/>
    </x:row>
    <x:row r="291">
      <x:c r="A291" s="1"/>
      <x:c r="B291" s="1"/>
      <x:c r="C291" s="1"/>
      <x:c r="D291" s="1"/>
      <x:c r="E291" s="1"/>
      <x:c r="F291" s="1"/>
      <x:c r="G291" s="1"/>
      <x:c r="H291" s="1"/>
      <x:c r="I291" s="1"/>
      <x:c r="J291" s="1"/>
      <x:c r="K291" s="1"/>
      <x:c r="L291" s="1"/>
      <x:c r="M291" s="1"/>
      <x:c r="N291" s="1"/>
      <x:c r="O291" s="1"/>
      <x:c r="P291" s="1"/>
      <x:c r="Q291" s="1"/>
      <x:c r="R291" s="1"/>
      <x:c r="S291" s="1"/>
      <x:c r="T291" s="1"/>
      <x:c r="U291" s="1"/>
      <x:c r="V291" s="1"/>
      <x:c r="W291" s="1"/>
      <x:c r="X291" s="1"/>
      <x:c r="Y291" s="1"/>
      <x:c r="Z291" s="1"/>
    </x:row>
    <x:row r="292">
      <x:c r="A292" s="1"/>
      <x:c r="B292" s="1"/>
      <x:c r="C292" s="1"/>
      <x:c r="D292" s="1"/>
      <x:c r="E292" s="1"/>
      <x:c r="F292" s="1"/>
      <x:c r="G292" s="1"/>
      <x:c r="H292" s="1"/>
      <x:c r="I292" s="1"/>
      <x:c r="J292" s="1"/>
      <x:c r="K292" s="1"/>
      <x:c r="L292" s="1"/>
      <x:c r="M292" s="1"/>
      <x:c r="N292" s="1"/>
      <x:c r="O292" s="1"/>
      <x:c r="P292" s="1"/>
      <x:c r="Q292" s="1"/>
      <x:c r="R292" s="1"/>
      <x:c r="S292" s="1"/>
      <x:c r="T292" s="1"/>
      <x:c r="U292" s="1"/>
      <x:c r="V292" s="1"/>
      <x:c r="W292" s="1"/>
      <x:c r="X292" s="1"/>
      <x:c r="Y292" s="1"/>
      <x:c r="Z292" s="1"/>
    </x:row>
    <x:row r="293">
      <x:c r="A293" s="1"/>
      <x:c r="B293" s="1"/>
      <x:c r="C293" s="1"/>
      <x:c r="D293" s="1"/>
      <x:c r="E293" s="1"/>
      <x:c r="F293" s="1"/>
      <x:c r="G293" s="1"/>
      <x:c r="H293" s="1"/>
      <x:c r="I293" s="1"/>
      <x:c r="J293" s="1"/>
      <x:c r="K293" s="1"/>
      <x:c r="L293" s="1"/>
      <x:c r="M293" s="1"/>
      <x:c r="N293" s="1"/>
      <x:c r="O293" s="1"/>
      <x:c r="P293" s="1"/>
      <x:c r="Q293" s="1"/>
      <x:c r="R293" s="1"/>
      <x:c r="S293" s="1"/>
      <x:c r="T293" s="1"/>
      <x:c r="U293" s="1"/>
      <x:c r="V293" s="1"/>
      <x:c r="W293" s="1"/>
      <x:c r="X293" s="1"/>
      <x:c r="Y293" s="1"/>
      <x:c r="Z293" s="1"/>
    </x:row>
    <x:row r="294">
      <x:c r="A294" s="1"/>
      <x:c r="B294" s="1"/>
      <x:c r="C294" s="1"/>
      <x:c r="D294" s="1"/>
      <x:c r="E294" s="1"/>
      <x:c r="F294" s="1"/>
      <x:c r="G294" s="1"/>
      <x:c r="H294" s="1"/>
      <x:c r="I294" s="1"/>
      <x:c r="J294" s="1"/>
      <x:c r="K294" s="1"/>
      <x:c r="L294" s="1"/>
      <x:c r="M294" s="1"/>
      <x:c r="N294" s="1"/>
      <x:c r="O294" s="1"/>
      <x:c r="P294" s="1"/>
      <x:c r="Q294" s="1"/>
      <x:c r="R294" s="1"/>
      <x:c r="S294" s="1"/>
      <x:c r="T294" s="1"/>
      <x:c r="U294" s="1"/>
      <x:c r="V294" s="1"/>
      <x:c r="W294" s="1"/>
      <x:c r="X294" s="1"/>
      <x:c r="Y294" s="1"/>
      <x:c r="Z294" s="1"/>
    </x:row>
    <x:row r="295">
      <x:c r="A295" s="1"/>
      <x:c r="B295" s="1"/>
      <x:c r="C295" s="1"/>
      <x:c r="D295" s="1"/>
      <x:c r="E295" s="1"/>
      <x:c r="F295" s="1"/>
      <x:c r="G295" s="1"/>
      <x:c r="H295" s="1"/>
      <x:c r="I295" s="1"/>
      <x:c r="J295" s="1"/>
      <x:c r="K295" s="1"/>
      <x:c r="L295" s="1"/>
      <x:c r="M295" s="1"/>
      <x:c r="N295" s="1"/>
      <x:c r="O295" s="1"/>
      <x:c r="P295" s="1"/>
      <x:c r="Q295" s="1"/>
      <x:c r="R295" s="1"/>
      <x:c r="S295" s="1"/>
      <x:c r="T295" s="1"/>
      <x:c r="U295" s="1"/>
      <x:c r="V295" s="1"/>
      <x:c r="W295" s="1"/>
      <x:c r="X295" s="1"/>
      <x:c r="Y295" s="1"/>
      <x:c r="Z295" s="1"/>
    </x:row>
    <x:row r="296">
      <x:c r="A296" s="1"/>
      <x:c r="B296" s="1"/>
      <x:c r="C296" s="1"/>
      <x:c r="D296" s="1"/>
      <x:c r="E296" s="1"/>
      <x:c r="F296" s="1"/>
      <x:c r="G296" s="1"/>
      <x:c r="H296" s="1"/>
      <x:c r="I296" s="1"/>
      <x:c r="J296" s="1"/>
      <x:c r="K296" s="1"/>
      <x:c r="L296" s="1"/>
      <x:c r="M296" s="1"/>
      <x:c r="N296" s="1"/>
      <x:c r="O296" s="1"/>
      <x:c r="P296" s="1"/>
      <x:c r="Q296" s="1"/>
      <x:c r="R296" s="1"/>
      <x:c r="S296" s="1"/>
      <x:c r="T296" s="1"/>
      <x:c r="U296" s="1"/>
      <x:c r="V296" s="1"/>
      <x:c r="W296" s="1"/>
      <x:c r="X296" s="1"/>
      <x:c r="Y296" s="1"/>
      <x:c r="Z296" s="1"/>
    </x:row>
    <x:row r="297">
      <x:c r="A297" s="1"/>
      <x:c r="B297" s="1"/>
      <x:c r="C297" s="1"/>
      <x:c r="D297" s="1"/>
      <x:c r="E297" s="1"/>
      <x:c r="F297" s="1"/>
      <x:c r="G297" s="1"/>
      <x:c r="H297" s="1"/>
      <x:c r="I297" s="1"/>
      <x:c r="J297" s="1"/>
      <x:c r="K297" s="1"/>
      <x:c r="L297" s="1"/>
      <x:c r="M297" s="1"/>
      <x:c r="N297" s="1"/>
      <x:c r="O297" s="1"/>
      <x:c r="P297" s="1"/>
      <x:c r="Q297" s="1"/>
      <x:c r="R297" s="1"/>
      <x:c r="S297" s="1"/>
      <x:c r="T297" s="1"/>
      <x:c r="U297" s="1"/>
      <x:c r="V297" s="1"/>
      <x:c r="W297" s="1"/>
      <x:c r="X297" s="1"/>
      <x:c r="Y297" s="1"/>
      <x:c r="Z297" s="1"/>
    </x:row>
    <x:row r="298">
      <x:c r="A298" s="1"/>
      <x:c r="B298" s="1"/>
      <x:c r="C298" s="1"/>
      <x:c r="D298" s="1"/>
      <x:c r="E298" s="1"/>
      <x:c r="F298" s="1"/>
      <x:c r="G298" s="1"/>
      <x:c r="H298" s="1"/>
      <x:c r="I298" s="1"/>
      <x:c r="J298" s="1"/>
      <x:c r="K298" s="1"/>
      <x:c r="L298" s="1"/>
      <x:c r="M298" s="1"/>
      <x:c r="N298" s="1"/>
      <x:c r="O298" s="1"/>
      <x:c r="P298" s="1"/>
      <x:c r="Q298" s="1"/>
      <x:c r="R298" s="1"/>
      <x:c r="S298" s="1"/>
      <x:c r="T298" s="1"/>
      <x:c r="U298" s="1"/>
      <x:c r="V298" s="1"/>
      <x:c r="W298" s="1"/>
      <x:c r="X298" s="1"/>
      <x:c r="Y298" s="1"/>
      <x:c r="Z298" s="1"/>
    </x:row>
    <x:row r="299">
      <x:c r="A299" s="1"/>
      <x:c r="B299" s="1"/>
      <x:c r="C299" s="1"/>
      <x:c r="D299" s="1"/>
      <x:c r="E299" s="1"/>
      <x:c r="F299" s="1"/>
      <x:c r="G299" s="1"/>
      <x:c r="H299" s="1"/>
      <x:c r="I299" s="1"/>
      <x:c r="J299" s="1"/>
      <x:c r="K299" s="1"/>
      <x:c r="L299" s="1"/>
      <x:c r="M299" s="1"/>
      <x:c r="N299" s="1"/>
      <x:c r="O299" s="1"/>
      <x:c r="P299" s="1"/>
      <x:c r="Q299" s="1"/>
      <x:c r="R299" s="1"/>
      <x:c r="S299" s="1"/>
      <x:c r="T299" s="1"/>
      <x:c r="U299" s="1"/>
      <x:c r="V299" s="1"/>
      <x:c r="W299" s="1"/>
      <x:c r="X299" s="1"/>
      <x:c r="Y299" s="1"/>
      <x:c r="Z299" s="1"/>
    </x:row>
    <x:row r="300">
      <x:c r="A300" s="1"/>
      <x:c r="B300" s="1"/>
      <x:c r="C300" s="1"/>
      <x:c r="D300" s="1"/>
      <x:c r="E300" s="1"/>
      <x:c r="F300" s="1"/>
      <x:c r="G300" s="1"/>
      <x:c r="H300" s="1"/>
      <x:c r="I300" s="1"/>
      <x:c r="J300" s="1"/>
      <x:c r="K300" s="1"/>
      <x:c r="L300" s="1"/>
      <x:c r="M300" s="1"/>
      <x:c r="N300" s="1"/>
      <x:c r="O300" s="1"/>
      <x:c r="P300" s="1"/>
      <x:c r="Q300" s="1"/>
      <x:c r="R300" s="1"/>
      <x:c r="S300" s="1"/>
      <x:c r="T300" s="1"/>
      <x:c r="U300" s="1"/>
      <x:c r="V300" s="1"/>
      <x:c r="W300" s="1"/>
      <x:c r="X300" s="1"/>
      <x:c r="Y300" s="1"/>
      <x:c r="Z300" s="1"/>
    </x:row>
  </x:sheetData>
  <x:mergeCells>
    <x:mergeCell ref="A1:R1"/>
    <x:mergeCell ref="A2:R3"/>
  </x:mergeCells>
  <x:pageMargins left="0.7" right="0.7" top="0.75" bottom="0.75" header="0.3" footer="0.3"/>
  <x:drawing xmlns:r="http://schemas.openxmlformats.org/officeDocument/2006/relationships" r:id="R4a854ee50682499f"/>
  <x:tableParts count="2">
    <x:tablePart xmlns:r="http://schemas.openxmlformats.org/officeDocument/2006/relationships" r:id="Ra270f123e00041a1"/>
    <x:tablePart xmlns:r="http://schemas.openxmlformats.org/officeDocument/2006/relationships" r:id="R579cae26d0ea4564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34" hidden="0" customWidth="1"/>
  </x:cols>
  <x:sheetData>
    <x:row r="1" ht="30" customHeight="1">
      <x:c r="A1" s="4" t="str">
        <x:v>ARDL–ECM exploratorio</x:v>
      </x:c>
      <x:c r="B1" s="4" t="str">
        <x:v>ARDL–ECM exploratorio</x:v>
      </x:c>
      <x:c r="C1" s="4" t="str">
        <x:v>ARDL–ECM exploratorio</x:v>
      </x:c>
      <x:c r="D1" s="4" t="str">
        <x:v>ARDL–ECM exploratorio</x:v>
      </x:c>
      <x:c r="E1" s="4" t="str">
        <x:v>ARDL–ECM exploratorio</x:v>
      </x:c>
      <x:c r="F1" s="4" t="str">
        <x:v>ARDL–ECM exploratorio</x:v>
      </x:c>
      <x:c r="G1" s="4" t="str">
        <x:v>ARDL–ECM exploratorio</x:v>
      </x:c>
      <x:c r="H1" s="4" t="str">
        <x:v>ARDL–ECM exploratorio</x:v>
      </x:c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 ht="36" customHeight="1">
      <x:c r="A2" s="96" t="str">
        <x:v>La prueba bounds no confirma cointegración al 5%: F = 3,414 está por debajo del límite superior de 3,627 y el p-valor I(1) es 7,31%. Los coeficientes de largo plazo se muestran como contraste y no deben interpretarse como un equilibrio estable.</x:v>
      </x:c>
      <x:c r="B2" s="96" t="str">
        <x:v>La prueba bounds no confirma cointegración al 5%: F = 3,414 está por debajo del límite superior de 3,627 y el p-valor I(1) es 7,31%. Los coeficientes de largo plazo se muestran como contraste y no deben interpretarse como un equilibrio estable.</x:v>
      </x:c>
      <x:c r="C2" s="96" t="str">
        <x:v>La prueba bounds no confirma cointegración al 5%: F = 3,414 está por debajo del límite superior de 3,627 y el p-valor I(1) es 7,31%. Los coeficientes de largo plazo se muestran como contraste y no deben interpretarse como un equilibrio estable.</x:v>
      </x:c>
      <x:c r="D2" s="96" t="str">
        <x:v>La prueba bounds no confirma cointegración al 5%: F = 3,414 está por debajo del límite superior de 3,627 y el p-valor I(1) es 7,31%. Los coeficientes de largo plazo se muestran como contraste y no deben interpretarse como un equilibrio estable.</x:v>
      </x:c>
      <x:c r="E2" s="96" t="str">
        <x:v>La prueba bounds no confirma cointegración al 5%: F = 3,414 está por debajo del límite superior de 3,627 y el p-valor I(1) es 7,31%. Los coeficientes de largo plazo se muestran como contraste y no deben interpretarse como un equilibrio estable.</x:v>
      </x:c>
      <x:c r="F2" s="96" t="str">
        <x:v>La prueba bounds no confirma cointegración al 5%: F = 3,414 está por debajo del límite superior de 3,627 y el p-valor I(1) es 7,31%. Los coeficientes de largo plazo se muestran como contraste y no deben interpretarse como un equilibrio estable.</x:v>
      </x:c>
      <x:c r="G2" s="96" t="str">
        <x:v>La prueba bounds no confirma cointegración al 5%: F = 3,414 está por debajo del límite superior de 3,627 y el p-valor I(1) es 7,31%. Los coeficientes de largo plazo se muestran como contraste y no deben interpretarse como un equilibrio estable.</x:v>
      </x:c>
      <x:c r="H2" s="96" t="str">
        <x:v>La prueba bounds no confirma cointegración al 5%: F = 3,414 está por debajo del límite superior de 3,627 y el p-valor I(1) es 7,31%. Los coeficientes de largo plazo se muestran como contraste y no deben interpretarse como un equilibrio estable.</x:v>
      </x:c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 ht="36" customHeight="1">
      <x:c r="A3" s="96" t="str">
        <x:v>La prueba bounds no confirma cointegración al 5%: F = 3,414 está por debajo del límite superior de 3,627 y el p-valor I(1) es 7,31%. Los coeficientes de largo plazo se muestran como contraste y no deben interpretarse como un equilibrio estable.</x:v>
      </x:c>
      <x:c r="B3" s="96" t="str">
        <x:v>La prueba bounds no confirma cointegración al 5%: F = 3,414 está por debajo del límite superior de 3,627 y el p-valor I(1) es 7,31%. Los coeficientes de largo plazo se muestran como contraste y no deben interpretarse como un equilibrio estable.</x:v>
      </x:c>
      <x:c r="C3" s="96" t="str">
        <x:v>La prueba bounds no confirma cointegración al 5%: F = 3,414 está por debajo del límite superior de 3,627 y el p-valor I(1) es 7,31%. Los coeficientes de largo plazo se muestran como contraste y no deben interpretarse como un equilibrio estable.</x:v>
      </x:c>
      <x:c r="D3" s="96" t="str">
        <x:v>La prueba bounds no confirma cointegración al 5%: F = 3,414 está por debajo del límite superior de 3,627 y el p-valor I(1) es 7,31%. Los coeficientes de largo plazo se muestran como contraste y no deben interpretarse como un equilibrio estable.</x:v>
      </x:c>
      <x:c r="E3" s="96" t="str">
        <x:v>La prueba bounds no confirma cointegración al 5%: F = 3,414 está por debajo del límite superior de 3,627 y el p-valor I(1) es 7,31%. Los coeficientes de largo plazo se muestran como contraste y no deben interpretarse como un equilibrio estable.</x:v>
      </x:c>
      <x:c r="F3" s="96" t="str">
        <x:v>La prueba bounds no confirma cointegración al 5%: F = 3,414 está por debajo del límite superior de 3,627 y el p-valor I(1) es 7,31%. Los coeficientes de largo plazo se muestran como contraste y no deben interpretarse como un equilibrio estable.</x:v>
      </x:c>
      <x:c r="G3" s="96" t="str">
        <x:v>La prueba bounds no confirma cointegración al 5%: F = 3,414 está por debajo del límite superior de 3,627 y el p-valor I(1) es 7,31%. Los coeficientes de largo plazo se muestran como contraste y no deben interpretarse como un equilibrio estable.</x:v>
      </x:c>
      <x:c r="H3" s="96" t="str">
        <x:v>La prueba bounds no confirma cointegración al 5%: F = 3,414 está por debajo del límite superior de 3,627 y el p-valor I(1) es 7,31%. Los coeficientes de largo plazo se muestran como contraste y no deben interpretarse como un equilibrio estable.</x:v>
      </x:c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 ht="22" customHeight="1">
      <x:c r="A5" s="47" t="str">
        <x:v>Prueba bounds</x:v>
      </x:c>
      <x:c r="B5" s="47" t="str">
        <x:v>Prueba bounds</x:v>
      </x:c>
      <x:c r="C5" s="47" t="str">
        <x:v>Prueba bounds</x:v>
      </x:c>
      <x:c r="D5" s="47" t="str">
        <x:v>Prueba bounds</x:v>
      </x:c>
      <x:c r="E5" s="1"/>
      <x:c r="F5" s="47" t="str">
        <x:v>Dinámica de ajuste</x:v>
      </x:c>
      <x:c r="G5" s="47" t="str">
        <x:v>Dinámica de ajuste</x:v>
      </x:c>
      <x:c r="H5" s="47" t="str">
        <x:v>Dinámica de ajuste</x:v>
      </x:c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>
      <x:c r="A6" s="58" t="str">
        <x:v>F</x:v>
      </x:c>
      <x:c r="B6" s="58" t="str">
        <x:v>p-valor I(0)</x:v>
      </x:c>
      <x:c r="C6" s="58" t="str">
        <x:v>p-valor I(1)</x:v>
      </x:c>
      <x:c r="D6" s="58" t="str">
        <x:v>Decisión al 5%</x:v>
      </x:c>
      <x:c r="E6" s="1"/>
      <x:c r="F6" s="58" t="str">
        <x:v>Parámetro</x:v>
      </x:c>
      <x:c r="G6" s="58" t="str">
        <x:v>Valor</x:v>
      </x:c>
      <x:c r="H6" s="58" t="str">
        <x:v>Lectura</x:v>
      </x:c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>
      <x:c r="A7" s="100" t="n">
        <x:v>3.4136952748726745</x:v>
      </x:c>
      <x:c r="B7" s="100" t="n">
        <x:v>0.005325689761964569</x:v>
      </x:c>
      <x:c r="C7" s="100" t="n">
        <x:v>0.07310834171939762</x:v>
      </x:c>
      <x:c r="D7" s="101" t="str">
        <x:v>No concluyente</x:v>
      </x:c>
      <x:c r="E7" s="1"/>
      <x:c r="F7" s="59" t="str">
        <x:v>Velocidad de ajuste</x:v>
      </x:c>
      <x:c r="G7" s="60" t="n">
        <x:v>-0.08956950478903522</x:v>
      </x:c>
      <x:c r="H7" s="59" t="str">
        <x:v>Negativa y significativa en la ecuación auxiliar</x:v>
      </x:c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>
      <x:c r="A8" s="1"/>
      <x:c r="B8" s="1"/>
      <x:c r="C8" s="1"/>
      <x:c r="D8" s="1"/>
      <x:c r="E8" s="1"/>
      <x:c r="F8" s="59" t="str">
        <x:v>ARDL seleccionado</x:v>
      </x:c>
      <x:c r="G8" s="59" t="str">
        <x:v>(1,1)</x:v>
      </x:c>
      <x:c r="H8" s="59" t="str">
        <x:v>Un rezago común</x:v>
      </x:c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>
      <x:c r="A9" s="1"/>
      <x:c r="B9" s="1"/>
      <x:c r="C9" s="1"/>
      <x:c r="D9" s="1"/>
      <x:c r="E9" s="1"/>
      <x:c r="F9" s="59" t="str">
        <x:v>Uso recomendado</x:v>
      </x:c>
      <x:c r="G9" s="59" t="str">
        <x:v>Robustez</x:v>
      </x:c>
      <x:c r="H9" s="59" t="str">
        <x:v>No usar sus coeficientes como elasticidades firmes</x:v>
      </x:c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 ht="22" customHeight="1">
      <x:c r="A10" s="47" t="str">
        <x:v>Valores críticos bounds</x:v>
      </x:c>
      <x:c r="B10" s="47" t="str">
        <x:v>Valores críticos bounds</x:v>
      </x:c>
      <x:c r="C10" s="47" t="str">
        <x:v>Valores críticos bounds</x:v>
      </x:c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>
      <x:c r="A11" s="54" t="str">
        <x:v>Percentil</x:v>
      </x:c>
      <x:c r="B11" s="54" t="str">
        <x:v>Límite inferior I(0)</x:v>
      </x:c>
      <x:c r="C11" s="54" t="str">
        <x:v>Límite superior I(1)</x:v>
      </x:c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>
      <x:c r="A12" s="97" t="n">
        <x:v>0.9</x:v>
      </x:c>
      <x:c r="B12" s="102" t="n">
        <x:v>2.1343676</x:v>
      </x:c>
      <x:c r="C12" s="102" t="n">
        <x:v>3.2311014</x:v>
      </x:c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>
      <x:c r="A13" s="97" t="n">
        <x:v>0.95</x:v>
      </x:c>
      <x:c r="B13" s="102" t="n">
        <x:v>2.4620175</x:v>
      </x:c>
      <x:c r="C13" s="102" t="n">
        <x:v>3.6271964</x:v>
      </x:c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>
      <x:c r="A14" s="97" t="n">
        <x:v>0.99</x:v>
      </x:c>
      <x:c r="B14" s="102" t="n">
        <x:v>3.1585901</x:v>
      </x:c>
      <x:c r="C14" s="102" t="n">
        <x:v>4.4502999</x:v>
      </x:c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>
      <x:c r="A15" s="97" t="n">
        <x:v>0.9990000000000001</x:v>
      </x:c>
      <x:c r="B15" s="102" t="n">
        <x:v>4.0720179</x:v>
      </x:c>
      <x:c r="C15" s="102" t="n">
        <x:v>5.5018575</x:v>
      </x:c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 ht="22" customHeight="1">
      <x:c r="A18" s="47" t="str">
        <x:v>Coeficientes de largo plazo (solo exploratorios)</x:v>
      </x:c>
      <x:c r="B18" s="47" t="str">
        <x:v>Coeficientes de largo plazo (solo exploratorios)</x:v>
      </x:c>
      <x:c r="C18" s="47" t="str">
        <x:v>Coeficientes de largo plazo (solo exploratorios)</x:v>
      </x:c>
      <x:c r="D18" s="47" t="str">
        <x:v>Coeficientes de largo plazo (solo exploratorios)</x:v>
      </x:c>
      <x:c r="E18" s="47" t="str">
        <x:v>Coeficientes de largo plazo (solo exploratorios)</x:v>
      </x:c>
      <x:c r="F18" s="47" t="str">
        <x:v>Coeficientes de largo plazo (solo exploratorios)</x:v>
      </x:c>
      <x:c r="G18" s="47" t="str">
        <x:v>Coeficientes de largo plazo (solo exploratorios)</x:v>
      </x:c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>
      <x:c r="A19" s="54" t="str">
        <x:v>Variable</x:v>
      </x:c>
      <x:c r="B19" s="54" t="str">
        <x:v>Coeficiente</x:v>
      </x:c>
      <x:c r="C19" s="54" t="str">
        <x:v>EE</x:v>
      </x:c>
      <x:c r="D19" s="54" t="str">
        <x:v>t</x:v>
      </x:c>
      <x:c r="E19" s="54" t="str">
        <x:v>p-valor</x:v>
      </x:c>
      <x:c r="F19" s="54" t="str">
        <x:v>IC 95% inferior</x:v>
      </x:c>
      <x:c r="G19" s="54" t="str">
        <x:v>IC 95% superior</x:v>
      </x:c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>
      <x:c r="A20" s="1" t="str">
        <x:v>const</x:v>
      </x:c>
      <x:c r="B20" s="87" t="n">
        <x:v>3.3631572912663406</x:v>
      </x:c>
      <x:c r="C20" s="87" t="n">
        <x:v>2.20861868664025</x:v>
      </x:c>
      <x:c r="D20" s="87" t="n">
        <x:v>1.5227423871806385</x:v>
      </x:c>
      <x:c r="E20" s="87" t="n">
        <x:v>0.127823168855554</x:v>
      </x:c>
      <x:c r="F20" s="87" t="n">
        <x:v>-0.988654796419254</x:v>
      </x:c>
      <x:c r="G20" s="87" t="n">
        <x:v>7.714969378951935</x:v>
      </x:c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>
      <x:c r="A21" s="1" t="str">
        <x:v>ln_trm</x:v>
      </x:c>
      <x:c r="B21" s="87" t="n">
        <x:v>1</x:v>
      </x:c>
      <x:c r="C21" s="87" t="n">
        <x:v>0</x:v>
      </x:c>
      <x:c r="D21" s="87"/>
      <x:c r="E21" s="87"/>
      <x:c r="F21" s="87" t="n">
        <x:v>1</x:v>
      </x:c>
      <x:c r="G21" s="87" t="n">
        <x:v>1</x:v>
      </x:c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>
      <x:c r="A22" s="1" t="str">
        <x:v>ln_brent</x:v>
      </x:c>
      <x:c r="B22" s="87" t="n">
        <x:v>-0.05129833308499665</x:v>
      </x:c>
      <x:c r="C22" s="87" t="n">
        <x:v>0.12374165013509583</x:v>
      </x:c>
      <x:c r="D22" s="87" t="n">
        <x:v>-0.4145599564010285</x:v>
      </x:c>
      <x:c r="E22" s="87" t="n">
        <x:v>0.6784640672858511</x:v>
      </x:c>
      <x:c r="F22" s="87" t="n">
        <x:v>-0.2951160695124822</x:v>
      </x:c>
      <x:c r="G22" s="87" t="n">
        <x:v>0.1925194033424889</x:v>
      </x:c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>
      <x:c r="A23" s="1" t="str">
        <x:v>ln_remesas_12m</x:v>
      </x:c>
      <x:c r="B23" s="87" t="n">
        <x:v>0.05864022201733626</x:v>
      </x:c>
      <x:c r="C23" s="87" t="n">
        <x:v>0.19828556064292568</x:v>
      </x:c>
      <x:c r="D23" s="87" t="n">
        <x:v>0.2957362191538297</x:v>
      </x:c>
      <x:c r="E23" s="87" t="n">
        <x:v>0.7674315348398528</x:v>
      </x:c>
      <x:c r="F23" s="87" t="n">
        <x:v>-0.33205714228507505</x:v>
      </x:c>
      <x:c r="G23" s="87" t="n">
        <x:v>0.4493375863197476</x:v>
      </x:c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>
      <x:c r="A24" s="1" t="str">
        <x:v>diferencial_tasas_pp</x:v>
      </x:c>
      <x:c r="B24" s="87" t="n">
        <x:v>-0.002656468918412148</x:v>
      </x:c>
      <x:c r="C24" s="87" t="n">
        <x:v>0.011554926422597993</x:v>
      </x:c>
      <x:c r="D24" s="87" t="n">
        <x:v>-0.2298992500044731</x:v>
      </x:c>
      <x:c r="E24" s="87" t="n">
        <x:v>0.8181700591293983</x:v>
      </x:c>
      <x:c r="F24" s="87" t="n">
        <x:v>-0.025424033452004377</x:v>
      </x:c>
      <x:c r="G24" s="87" t="n">
        <x:v>0.020111095615180083</x:v>
      </x:c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>
      <x:c r="A25" s="1" t="str">
        <x:v>deficit_fiscal_12m_pct_pib</x:v>
      </x:c>
      <x:c r="B25" s="87" t="n">
        <x:v>-0.02505878403862818</x:v>
      </x:c>
      <x:c r="C25" s="87" t="n">
        <x:v>0.016358908817771304</x:v>
      </x:c>
      <x:c r="D25" s="87" t="n">
        <x:v>-1.531812684927119</x:v>
      </x:c>
      <x:c r="E25" s="87" t="n">
        <x:v>0.12556866490665408</x:v>
      </x:c>
      <x:c r="F25" s="87" t="n">
        <x:v>-0.05729200635316867</x:v>
      </x:c>
      <x:c r="G25" s="87" t="n">
        <x:v>0.007174438275912309</x:v>
      </x:c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>
      <x:c r="A26" s="1" t="str">
        <x:v>ln_dolar_amplio</x:v>
      </x:c>
      <x:c r="B26" s="87" t="n">
        <x:v>-2.4493465140499677</x:v>
      </x:c>
      <x:c r="C26" s="87" t="n">
        <x:v>0.6896509566116877</x:v>
      </x:c>
      <x:c r="D26" s="87" t="n">
        <x:v>-3.551574155836468</x:v>
      </x:c>
      <x:c r="E26" s="87" t="n">
        <x:v>0.00038293406876954705</x:v>
      </x:c>
      <x:c r="F26" s="87" t="n">
        <x:v>-3.8082190923817887</x:v>
      </x:c>
      <x:c r="G26" s="87" t="n">
        <x:v>-1.090473935718147</x:v>
      </x:c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  <x:c r="P101" s="1"/>
      <x:c r="Q101" s="1"/>
      <x:c r="R101" s="1"/>
      <x:c r="S101" s="1"/>
      <x:c r="T101" s="1"/>
      <x:c r="U101" s="1"/>
      <x:c r="V101" s="1"/>
      <x:c r="W101" s="1"/>
      <x:c r="X101" s="1"/>
      <x:c r="Y101" s="1"/>
      <x:c r="Z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  <x:c r="P102" s="1"/>
      <x:c r="Q102" s="1"/>
      <x:c r="R102" s="1"/>
      <x:c r="S102" s="1"/>
      <x:c r="T102" s="1"/>
      <x:c r="U102" s="1"/>
      <x:c r="V102" s="1"/>
      <x:c r="W102" s="1"/>
      <x:c r="X102" s="1"/>
      <x:c r="Y102" s="1"/>
      <x:c r="Z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  <x:c r="P103" s="1"/>
      <x:c r="Q103" s="1"/>
      <x:c r="R103" s="1"/>
      <x:c r="S103" s="1"/>
      <x:c r="T103" s="1"/>
      <x:c r="U103" s="1"/>
      <x:c r="V103" s="1"/>
      <x:c r="W103" s="1"/>
      <x:c r="X103" s="1"/>
      <x:c r="Y103" s="1"/>
      <x:c r="Z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  <x:c r="P104" s="1"/>
      <x:c r="Q104" s="1"/>
      <x:c r="R104" s="1"/>
      <x:c r="S104" s="1"/>
      <x:c r="T104" s="1"/>
      <x:c r="U104" s="1"/>
      <x:c r="V104" s="1"/>
      <x:c r="W104" s="1"/>
      <x:c r="X104" s="1"/>
      <x:c r="Y104" s="1"/>
      <x:c r="Z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  <x:c r="P105" s="1"/>
      <x:c r="Q105" s="1"/>
      <x:c r="R105" s="1"/>
      <x:c r="S105" s="1"/>
      <x:c r="T105" s="1"/>
      <x:c r="U105" s="1"/>
      <x:c r="V105" s="1"/>
      <x:c r="W105" s="1"/>
      <x:c r="X105" s="1"/>
      <x:c r="Y105" s="1"/>
      <x:c r="Z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  <x:c r="P106" s="1"/>
      <x:c r="Q106" s="1"/>
      <x:c r="R106" s="1"/>
      <x:c r="S106" s="1"/>
      <x:c r="T106" s="1"/>
      <x:c r="U106" s="1"/>
      <x:c r="V106" s="1"/>
      <x:c r="W106" s="1"/>
      <x:c r="X106" s="1"/>
      <x:c r="Y106" s="1"/>
      <x:c r="Z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  <x:c r="P107" s="1"/>
      <x:c r="Q107" s="1"/>
      <x:c r="R107" s="1"/>
      <x:c r="S107" s="1"/>
      <x:c r="T107" s="1"/>
      <x:c r="U107" s="1"/>
      <x:c r="V107" s="1"/>
      <x:c r="W107" s="1"/>
      <x:c r="X107" s="1"/>
      <x:c r="Y107" s="1"/>
      <x:c r="Z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  <x:c r="P108" s="1"/>
      <x:c r="Q108" s="1"/>
      <x:c r="R108" s="1"/>
      <x:c r="S108" s="1"/>
      <x:c r="T108" s="1"/>
      <x:c r="U108" s="1"/>
      <x:c r="V108" s="1"/>
      <x:c r="W108" s="1"/>
      <x:c r="X108" s="1"/>
      <x:c r="Y108" s="1"/>
      <x:c r="Z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  <x:c r="P109" s="1"/>
      <x:c r="Q109" s="1"/>
      <x:c r="R109" s="1"/>
      <x:c r="S109" s="1"/>
      <x:c r="T109" s="1"/>
      <x:c r="U109" s="1"/>
      <x:c r="V109" s="1"/>
      <x:c r="W109" s="1"/>
      <x:c r="X109" s="1"/>
      <x:c r="Y109" s="1"/>
      <x:c r="Z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  <x:c r="P110" s="1"/>
      <x:c r="Q110" s="1"/>
      <x:c r="R110" s="1"/>
      <x:c r="S110" s="1"/>
      <x:c r="T110" s="1"/>
      <x:c r="U110" s="1"/>
      <x:c r="V110" s="1"/>
      <x:c r="W110" s="1"/>
      <x:c r="X110" s="1"/>
      <x:c r="Y110" s="1"/>
      <x:c r="Z110" s="1"/>
    </x:row>
    <x:row r="11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  <x:c r="P111" s="1"/>
      <x:c r="Q111" s="1"/>
      <x:c r="R111" s="1"/>
      <x:c r="S111" s="1"/>
      <x:c r="T111" s="1"/>
      <x:c r="U111" s="1"/>
      <x:c r="V111" s="1"/>
      <x:c r="W111" s="1"/>
      <x:c r="X111" s="1"/>
      <x:c r="Y111" s="1"/>
      <x:c r="Z111" s="1"/>
    </x:row>
    <x:row r="112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  <x:c r="P112" s="1"/>
      <x:c r="Q112" s="1"/>
      <x:c r="R112" s="1"/>
      <x:c r="S112" s="1"/>
      <x:c r="T112" s="1"/>
      <x:c r="U112" s="1"/>
      <x:c r="V112" s="1"/>
      <x:c r="W112" s="1"/>
      <x:c r="X112" s="1"/>
      <x:c r="Y112" s="1"/>
      <x:c r="Z112" s="1"/>
    </x:row>
    <x:row r="113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  <x:c r="P113" s="1"/>
      <x:c r="Q113" s="1"/>
      <x:c r="R113" s="1"/>
      <x:c r="S113" s="1"/>
      <x:c r="T113" s="1"/>
      <x:c r="U113" s="1"/>
      <x:c r="V113" s="1"/>
      <x:c r="W113" s="1"/>
      <x:c r="X113" s="1"/>
      <x:c r="Y113" s="1"/>
      <x:c r="Z113" s="1"/>
    </x:row>
    <x:row r="114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  <x:c r="P114" s="1"/>
      <x:c r="Q114" s="1"/>
      <x:c r="R114" s="1"/>
      <x:c r="S114" s="1"/>
      <x:c r="T114" s="1"/>
      <x:c r="U114" s="1"/>
      <x:c r="V114" s="1"/>
      <x:c r="W114" s="1"/>
      <x:c r="X114" s="1"/>
      <x:c r="Y114" s="1"/>
      <x:c r="Z114" s="1"/>
    </x:row>
    <x:row r="115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  <x:c r="P115" s="1"/>
      <x:c r="Q115" s="1"/>
      <x:c r="R115" s="1"/>
      <x:c r="S115" s="1"/>
      <x:c r="T115" s="1"/>
      <x:c r="U115" s="1"/>
      <x:c r="V115" s="1"/>
      <x:c r="W115" s="1"/>
      <x:c r="X115" s="1"/>
      <x:c r="Y115" s="1"/>
      <x:c r="Z115" s="1"/>
    </x:row>
    <x:row r="116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  <x:c r="P116" s="1"/>
      <x:c r="Q116" s="1"/>
      <x:c r="R116" s="1"/>
      <x:c r="S116" s="1"/>
      <x:c r="T116" s="1"/>
      <x:c r="U116" s="1"/>
      <x:c r="V116" s="1"/>
      <x:c r="W116" s="1"/>
      <x:c r="X116" s="1"/>
      <x:c r="Y116" s="1"/>
      <x:c r="Z116" s="1"/>
    </x:row>
    <x:row r="117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  <x:c r="P117" s="1"/>
      <x:c r="Q117" s="1"/>
      <x:c r="R117" s="1"/>
      <x:c r="S117" s="1"/>
      <x:c r="T117" s="1"/>
      <x:c r="U117" s="1"/>
      <x:c r="V117" s="1"/>
      <x:c r="W117" s="1"/>
      <x:c r="X117" s="1"/>
      <x:c r="Y117" s="1"/>
      <x:c r="Z117" s="1"/>
    </x:row>
    <x:row r="118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  <x:c r="P118" s="1"/>
      <x:c r="Q118" s="1"/>
      <x:c r="R118" s="1"/>
      <x:c r="S118" s="1"/>
      <x:c r="T118" s="1"/>
      <x:c r="U118" s="1"/>
      <x:c r="V118" s="1"/>
      <x:c r="W118" s="1"/>
      <x:c r="X118" s="1"/>
      <x:c r="Y118" s="1"/>
      <x:c r="Z118" s="1"/>
    </x:row>
    <x:row r="119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  <x:c r="P119" s="1"/>
      <x:c r="Q119" s="1"/>
      <x:c r="R119" s="1"/>
      <x:c r="S119" s="1"/>
      <x:c r="T119" s="1"/>
      <x:c r="U119" s="1"/>
      <x:c r="V119" s="1"/>
      <x:c r="W119" s="1"/>
      <x:c r="X119" s="1"/>
      <x:c r="Y119" s="1"/>
      <x:c r="Z119" s="1"/>
    </x:row>
    <x:row r="12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  <x:c r="P120" s="1"/>
      <x:c r="Q120" s="1"/>
      <x:c r="R120" s="1"/>
      <x:c r="S120" s="1"/>
      <x:c r="T120" s="1"/>
      <x:c r="U120" s="1"/>
      <x:c r="V120" s="1"/>
      <x:c r="W120" s="1"/>
      <x:c r="X120" s="1"/>
      <x:c r="Y120" s="1"/>
      <x:c r="Z120" s="1"/>
    </x:row>
    <x:row r="12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1"/>
      <x:c r="O121" s="1"/>
      <x:c r="P121" s="1"/>
      <x:c r="Q121" s="1"/>
      <x:c r="R121" s="1"/>
      <x:c r="S121" s="1"/>
      <x:c r="T121" s="1"/>
      <x:c r="U121" s="1"/>
      <x:c r="V121" s="1"/>
      <x:c r="W121" s="1"/>
      <x:c r="X121" s="1"/>
      <x:c r="Y121" s="1"/>
      <x:c r="Z121" s="1"/>
    </x:row>
    <x:row r="122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1"/>
      <x:c r="O122" s="1"/>
      <x:c r="P122" s="1"/>
      <x:c r="Q122" s="1"/>
      <x:c r="R122" s="1"/>
      <x:c r="S122" s="1"/>
      <x:c r="T122" s="1"/>
      <x:c r="U122" s="1"/>
      <x:c r="V122" s="1"/>
      <x:c r="W122" s="1"/>
      <x:c r="X122" s="1"/>
      <x:c r="Y122" s="1"/>
      <x:c r="Z122" s="1"/>
    </x:row>
    <x:row r="123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1"/>
      <x:c r="O123" s="1"/>
      <x:c r="P123" s="1"/>
      <x:c r="Q123" s="1"/>
      <x:c r="R123" s="1"/>
      <x:c r="S123" s="1"/>
      <x:c r="T123" s="1"/>
      <x:c r="U123" s="1"/>
      <x:c r="V123" s="1"/>
      <x:c r="W123" s="1"/>
      <x:c r="X123" s="1"/>
      <x:c r="Y123" s="1"/>
      <x:c r="Z123" s="1"/>
    </x:row>
    <x:row r="124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1"/>
      <x:c r="O124" s="1"/>
      <x:c r="P124" s="1"/>
      <x:c r="Q124" s="1"/>
      <x:c r="R124" s="1"/>
      <x:c r="S124" s="1"/>
      <x:c r="T124" s="1"/>
      <x:c r="U124" s="1"/>
      <x:c r="V124" s="1"/>
      <x:c r="W124" s="1"/>
      <x:c r="X124" s="1"/>
      <x:c r="Y124" s="1"/>
      <x:c r="Z124" s="1"/>
    </x:row>
    <x:row r="125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1"/>
      <x:c r="O125" s="1"/>
      <x:c r="P125" s="1"/>
      <x:c r="Q125" s="1"/>
      <x:c r="R125" s="1"/>
      <x:c r="S125" s="1"/>
      <x:c r="T125" s="1"/>
      <x:c r="U125" s="1"/>
      <x:c r="V125" s="1"/>
      <x:c r="W125" s="1"/>
      <x:c r="X125" s="1"/>
      <x:c r="Y125" s="1"/>
      <x:c r="Z125" s="1"/>
    </x:row>
    <x:row r="126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  <x:c r="O126" s="1"/>
      <x:c r="P126" s="1"/>
      <x:c r="Q126" s="1"/>
      <x:c r="R126" s="1"/>
      <x:c r="S126" s="1"/>
      <x:c r="T126" s="1"/>
      <x:c r="U126" s="1"/>
      <x:c r="V126" s="1"/>
      <x:c r="W126" s="1"/>
      <x:c r="X126" s="1"/>
      <x:c r="Y126" s="1"/>
      <x:c r="Z126" s="1"/>
    </x:row>
    <x:row r="127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  <x:c r="O127" s="1"/>
      <x:c r="P127" s="1"/>
      <x:c r="Q127" s="1"/>
      <x:c r="R127" s="1"/>
      <x:c r="S127" s="1"/>
      <x:c r="T127" s="1"/>
      <x:c r="U127" s="1"/>
      <x:c r="V127" s="1"/>
      <x:c r="W127" s="1"/>
      <x:c r="X127" s="1"/>
      <x:c r="Y127" s="1"/>
      <x:c r="Z127" s="1"/>
    </x:row>
    <x:row r="128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  <x:c r="O128" s="1"/>
      <x:c r="P128" s="1"/>
      <x:c r="Q128" s="1"/>
      <x:c r="R128" s="1"/>
      <x:c r="S128" s="1"/>
      <x:c r="T128" s="1"/>
      <x:c r="U128" s="1"/>
      <x:c r="V128" s="1"/>
      <x:c r="W128" s="1"/>
      <x:c r="X128" s="1"/>
      <x:c r="Y128" s="1"/>
      <x:c r="Z128" s="1"/>
    </x:row>
    <x:row r="129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1"/>
      <x:c r="O129" s="1"/>
      <x:c r="P129" s="1"/>
      <x:c r="Q129" s="1"/>
      <x:c r="R129" s="1"/>
      <x:c r="S129" s="1"/>
      <x:c r="T129" s="1"/>
      <x:c r="U129" s="1"/>
      <x:c r="V129" s="1"/>
      <x:c r="W129" s="1"/>
      <x:c r="X129" s="1"/>
      <x:c r="Y129" s="1"/>
      <x:c r="Z129" s="1"/>
    </x:row>
    <x:row r="130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1"/>
      <x:c r="O130" s="1"/>
      <x:c r="P130" s="1"/>
      <x:c r="Q130" s="1"/>
      <x:c r="R130" s="1"/>
      <x:c r="S130" s="1"/>
      <x:c r="T130" s="1"/>
      <x:c r="U130" s="1"/>
      <x:c r="V130" s="1"/>
      <x:c r="W130" s="1"/>
      <x:c r="X130" s="1"/>
      <x:c r="Y130" s="1"/>
      <x:c r="Z130" s="1"/>
    </x:row>
    <x:row r="13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1"/>
      <x:c r="O131" s="1"/>
      <x:c r="P131" s="1"/>
      <x:c r="Q131" s="1"/>
      <x:c r="R131" s="1"/>
      <x:c r="S131" s="1"/>
      <x:c r="T131" s="1"/>
      <x:c r="U131" s="1"/>
      <x:c r="V131" s="1"/>
      <x:c r="W131" s="1"/>
      <x:c r="X131" s="1"/>
      <x:c r="Y131" s="1"/>
      <x:c r="Z131" s="1"/>
    </x:row>
    <x:row r="132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1"/>
      <x:c r="O132" s="1"/>
      <x:c r="P132" s="1"/>
      <x:c r="Q132" s="1"/>
      <x:c r="R132" s="1"/>
      <x:c r="S132" s="1"/>
      <x:c r="T132" s="1"/>
      <x:c r="U132" s="1"/>
      <x:c r="V132" s="1"/>
      <x:c r="W132" s="1"/>
      <x:c r="X132" s="1"/>
      <x:c r="Y132" s="1"/>
      <x:c r="Z132" s="1"/>
    </x:row>
    <x:row r="133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  <x:c r="O133" s="1"/>
      <x:c r="P133" s="1"/>
      <x:c r="Q133" s="1"/>
      <x:c r="R133" s="1"/>
      <x:c r="S133" s="1"/>
      <x:c r="T133" s="1"/>
      <x:c r="U133" s="1"/>
      <x:c r="V133" s="1"/>
      <x:c r="W133" s="1"/>
      <x:c r="X133" s="1"/>
      <x:c r="Y133" s="1"/>
      <x:c r="Z133" s="1"/>
    </x:row>
    <x:row r="134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  <x:c r="O134" s="1"/>
      <x:c r="P134" s="1"/>
      <x:c r="Q134" s="1"/>
      <x:c r="R134" s="1"/>
      <x:c r="S134" s="1"/>
      <x:c r="T134" s="1"/>
      <x:c r="U134" s="1"/>
      <x:c r="V134" s="1"/>
      <x:c r="W134" s="1"/>
      <x:c r="X134" s="1"/>
      <x:c r="Y134" s="1"/>
      <x:c r="Z134" s="1"/>
    </x:row>
    <x:row r="135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  <x:c r="O135" s="1"/>
      <x:c r="P135" s="1"/>
      <x:c r="Q135" s="1"/>
      <x:c r="R135" s="1"/>
      <x:c r="S135" s="1"/>
      <x:c r="T135" s="1"/>
      <x:c r="U135" s="1"/>
      <x:c r="V135" s="1"/>
      <x:c r="W135" s="1"/>
      <x:c r="X135" s="1"/>
      <x:c r="Y135" s="1"/>
      <x:c r="Z135" s="1"/>
    </x:row>
    <x:row r="136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  <x:c r="O136" s="1"/>
      <x:c r="P136" s="1"/>
      <x:c r="Q136" s="1"/>
      <x:c r="R136" s="1"/>
      <x:c r="S136" s="1"/>
      <x:c r="T136" s="1"/>
      <x:c r="U136" s="1"/>
      <x:c r="V136" s="1"/>
      <x:c r="W136" s="1"/>
      <x:c r="X136" s="1"/>
      <x:c r="Y136" s="1"/>
      <x:c r="Z136" s="1"/>
    </x:row>
    <x:row r="137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  <x:c r="O137" s="1"/>
      <x:c r="P137" s="1"/>
      <x:c r="Q137" s="1"/>
      <x:c r="R137" s="1"/>
      <x:c r="S137" s="1"/>
      <x:c r="T137" s="1"/>
      <x:c r="U137" s="1"/>
      <x:c r="V137" s="1"/>
      <x:c r="W137" s="1"/>
      <x:c r="X137" s="1"/>
      <x:c r="Y137" s="1"/>
      <x:c r="Z137" s="1"/>
    </x:row>
    <x:row r="138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  <x:c r="O138" s="1"/>
      <x:c r="P138" s="1"/>
      <x:c r="Q138" s="1"/>
      <x:c r="R138" s="1"/>
      <x:c r="S138" s="1"/>
      <x:c r="T138" s="1"/>
      <x:c r="U138" s="1"/>
      <x:c r="V138" s="1"/>
      <x:c r="W138" s="1"/>
      <x:c r="X138" s="1"/>
      <x:c r="Y138" s="1"/>
      <x:c r="Z138" s="1"/>
    </x:row>
    <x:row r="139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  <x:c r="O139" s="1"/>
      <x:c r="P139" s="1"/>
      <x:c r="Q139" s="1"/>
      <x:c r="R139" s="1"/>
      <x:c r="S139" s="1"/>
      <x:c r="T139" s="1"/>
      <x:c r="U139" s="1"/>
      <x:c r="V139" s="1"/>
      <x:c r="W139" s="1"/>
      <x:c r="X139" s="1"/>
      <x:c r="Y139" s="1"/>
      <x:c r="Z139" s="1"/>
    </x:row>
    <x:row r="140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  <x:c r="O140" s="1"/>
      <x:c r="P140" s="1"/>
      <x:c r="Q140" s="1"/>
      <x:c r="R140" s="1"/>
      <x:c r="S140" s="1"/>
      <x:c r="T140" s="1"/>
      <x:c r="U140" s="1"/>
      <x:c r="V140" s="1"/>
      <x:c r="W140" s="1"/>
      <x:c r="X140" s="1"/>
      <x:c r="Y140" s="1"/>
      <x:c r="Z140" s="1"/>
    </x:row>
    <x:row r="14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  <x:c r="O141" s="1"/>
      <x:c r="P141" s="1"/>
      <x:c r="Q141" s="1"/>
      <x:c r="R141" s="1"/>
      <x:c r="S141" s="1"/>
      <x:c r="T141" s="1"/>
      <x:c r="U141" s="1"/>
      <x:c r="V141" s="1"/>
      <x:c r="W141" s="1"/>
      <x:c r="X141" s="1"/>
      <x:c r="Y141" s="1"/>
      <x:c r="Z141" s="1"/>
    </x:row>
    <x:row r="142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  <x:c r="O142" s="1"/>
      <x:c r="P142" s="1"/>
      <x:c r="Q142" s="1"/>
      <x:c r="R142" s="1"/>
      <x:c r="S142" s="1"/>
      <x:c r="T142" s="1"/>
      <x:c r="U142" s="1"/>
      <x:c r="V142" s="1"/>
      <x:c r="W142" s="1"/>
      <x:c r="X142" s="1"/>
      <x:c r="Y142" s="1"/>
      <x:c r="Z142" s="1"/>
    </x:row>
    <x:row r="143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  <x:c r="O143" s="1"/>
      <x:c r="P143" s="1"/>
      <x:c r="Q143" s="1"/>
      <x:c r="R143" s="1"/>
      <x:c r="S143" s="1"/>
      <x:c r="T143" s="1"/>
      <x:c r="U143" s="1"/>
      <x:c r="V143" s="1"/>
      <x:c r="W143" s="1"/>
      <x:c r="X143" s="1"/>
      <x:c r="Y143" s="1"/>
      <x:c r="Z143" s="1"/>
    </x:row>
    <x:row r="144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  <x:c r="O144" s="1"/>
      <x:c r="P144" s="1"/>
      <x:c r="Q144" s="1"/>
      <x:c r="R144" s="1"/>
      <x:c r="S144" s="1"/>
      <x:c r="T144" s="1"/>
      <x:c r="U144" s="1"/>
      <x:c r="V144" s="1"/>
      <x:c r="W144" s="1"/>
      <x:c r="X144" s="1"/>
      <x:c r="Y144" s="1"/>
      <x:c r="Z144" s="1"/>
    </x:row>
    <x:row r="145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  <x:c r="O145" s="1"/>
      <x:c r="P145" s="1"/>
      <x:c r="Q145" s="1"/>
      <x:c r="R145" s="1"/>
      <x:c r="S145" s="1"/>
      <x:c r="T145" s="1"/>
      <x:c r="U145" s="1"/>
      <x:c r="V145" s="1"/>
      <x:c r="W145" s="1"/>
      <x:c r="X145" s="1"/>
      <x:c r="Y145" s="1"/>
      <x:c r="Z145" s="1"/>
    </x:row>
    <x:row r="146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  <x:c r="O146" s="1"/>
      <x:c r="P146" s="1"/>
      <x:c r="Q146" s="1"/>
      <x:c r="R146" s="1"/>
      <x:c r="S146" s="1"/>
      <x:c r="T146" s="1"/>
      <x:c r="U146" s="1"/>
      <x:c r="V146" s="1"/>
      <x:c r="W146" s="1"/>
      <x:c r="X146" s="1"/>
      <x:c r="Y146" s="1"/>
      <x:c r="Z146" s="1"/>
    </x:row>
    <x:row r="147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  <x:c r="O147" s="1"/>
      <x:c r="P147" s="1"/>
      <x:c r="Q147" s="1"/>
      <x:c r="R147" s="1"/>
      <x:c r="S147" s="1"/>
      <x:c r="T147" s="1"/>
      <x:c r="U147" s="1"/>
      <x:c r="V147" s="1"/>
      <x:c r="W147" s="1"/>
      <x:c r="X147" s="1"/>
      <x:c r="Y147" s="1"/>
      <x:c r="Z147" s="1"/>
    </x:row>
    <x:row r="148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  <x:c r="O148" s="1"/>
      <x:c r="P148" s="1"/>
      <x:c r="Q148" s="1"/>
      <x:c r="R148" s="1"/>
      <x:c r="S148" s="1"/>
      <x:c r="T148" s="1"/>
      <x:c r="U148" s="1"/>
      <x:c r="V148" s="1"/>
      <x:c r="W148" s="1"/>
      <x:c r="X148" s="1"/>
      <x:c r="Y148" s="1"/>
      <x:c r="Z148" s="1"/>
    </x:row>
    <x:row r="149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  <x:c r="O149" s="1"/>
      <x:c r="P149" s="1"/>
      <x:c r="Q149" s="1"/>
      <x:c r="R149" s="1"/>
      <x:c r="S149" s="1"/>
      <x:c r="T149" s="1"/>
      <x:c r="U149" s="1"/>
      <x:c r="V149" s="1"/>
      <x:c r="W149" s="1"/>
      <x:c r="X149" s="1"/>
      <x:c r="Y149" s="1"/>
      <x:c r="Z149" s="1"/>
    </x:row>
    <x:row r="150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  <x:c r="O150" s="1"/>
      <x:c r="P150" s="1"/>
      <x:c r="Q150" s="1"/>
      <x:c r="R150" s="1"/>
      <x:c r="S150" s="1"/>
      <x:c r="T150" s="1"/>
      <x:c r="U150" s="1"/>
      <x:c r="V150" s="1"/>
      <x:c r="W150" s="1"/>
      <x:c r="X150" s="1"/>
      <x:c r="Y150" s="1"/>
      <x:c r="Z150" s="1"/>
    </x:row>
    <x:row r="15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  <x:c r="O151" s="1"/>
      <x:c r="P151" s="1"/>
      <x:c r="Q151" s="1"/>
      <x:c r="R151" s="1"/>
      <x:c r="S151" s="1"/>
      <x:c r="T151" s="1"/>
      <x:c r="U151" s="1"/>
      <x:c r="V151" s="1"/>
      <x:c r="W151" s="1"/>
      <x:c r="X151" s="1"/>
      <x:c r="Y151" s="1"/>
      <x:c r="Z151" s="1"/>
    </x:row>
    <x:row r="152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  <x:c r="O152" s="1"/>
      <x:c r="P152" s="1"/>
      <x:c r="Q152" s="1"/>
      <x:c r="R152" s="1"/>
      <x:c r="S152" s="1"/>
      <x:c r="T152" s="1"/>
      <x:c r="U152" s="1"/>
      <x:c r="V152" s="1"/>
      <x:c r="W152" s="1"/>
      <x:c r="X152" s="1"/>
      <x:c r="Y152" s="1"/>
      <x:c r="Z152" s="1"/>
    </x:row>
    <x:row r="153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  <x:c r="O153" s="1"/>
      <x:c r="P153" s="1"/>
      <x:c r="Q153" s="1"/>
      <x:c r="R153" s="1"/>
      <x:c r="S153" s="1"/>
      <x:c r="T153" s="1"/>
      <x:c r="U153" s="1"/>
      <x:c r="V153" s="1"/>
      <x:c r="W153" s="1"/>
      <x:c r="X153" s="1"/>
      <x:c r="Y153" s="1"/>
      <x:c r="Z153" s="1"/>
    </x:row>
    <x:row r="154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  <x:c r="O154" s="1"/>
      <x:c r="P154" s="1"/>
      <x:c r="Q154" s="1"/>
      <x:c r="R154" s="1"/>
      <x:c r="S154" s="1"/>
      <x:c r="T154" s="1"/>
      <x:c r="U154" s="1"/>
      <x:c r="V154" s="1"/>
      <x:c r="W154" s="1"/>
      <x:c r="X154" s="1"/>
      <x:c r="Y154" s="1"/>
      <x:c r="Z154" s="1"/>
    </x:row>
    <x:row r="155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  <x:c r="O155" s="1"/>
      <x:c r="P155" s="1"/>
      <x:c r="Q155" s="1"/>
      <x:c r="R155" s="1"/>
      <x:c r="S155" s="1"/>
      <x:c r="T155" s="1"/>
      <x:c r="U155" s="1"/>
      <x:c r="V155" s="1"/>
      <x:c r="W155" s="1"/>
      <x:c r="X155" s="1"/>
      <x:c r="Y155" s="1"/>
      <x:c r="Z155" s="1"/>
    </x:row>
    <x:row r="156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  <x:c r="O156" s="1"/>
      <x:c r="P156" s="1"/>
      <x:c r="Q156" s="1"/>
      <x:c r="R156" s="1"/>
      <x:c r="S156" s="1"/>
      <x:c r="T156" s="1"/>
      <x:c r="U156" s="1"/>
      <x:c r="V156" s="1"/>
      <x:c r="W156" s="1"/>
      <x:c r="X156" s="1"/>
      <x:c r="Y156" s="1"/>
      <x:c r="Z156" s="1"/>
    </x:row>
    <x:row r="157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  <x:c r="O157" s="1"/>
      <x:c r="P157" s="1"/>
      <x:c r="Q157" s="1"/>
      <x:c r="R157" s="1"/>
      <x:c r="S157" s="1"/>
      <x:c r="T157" s="1"/>
      <x:c r="U157" s="1"/>
      <x:c r="V157" s="1"/>
      <x:c r="W157" s="1"/>
      <x:c r="X157" s="1"/>
      <x:c r="Y157" s="1"/>
      <x:c r="Z157" s="1"/>
    </x:row>
    <x:row r="158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  <x:c r="O158" s="1"/>
      <x:c r="P158" s="1"/>
      <x:c r="Q158" s="1"/>
      <x:c r="R158" s="1"/>
      <x:c r="S158" s="1"/>
      <x:c r="T158" s="1"/>
      <x:c r="U158" s="1"/>
      <x:c r="V158" s="1"/>
      <x:c r="W158" s="1"/>
      <x:c r="X158" s="1"/>
      <x:c r="Y158" s="1"/>
      <x:c r="Z158" s="1"/>
    </x:row>
    <x:row r="159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  <x:c r="O159" s="1"/>
      <x:c r="P159" s="1"/>
      <x:c r="Q159" s="1"/>
      <x:c r="R159" s="1"/>
      <x:c r="S159" s="1"/>
      <x:c r="T159" s="1"/>
      <x:c r="U159" s="1"/>
      <x:c r="V159" s="1"/>
      <x:c r="W159" s="1"/>
      <x:c r="X159" s="1"/>
      <x:c r="Y159" s="1"/>
      <x:c r="Z159" s="1"/>
    </x:row>
    <x:row r="160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  <x:c r="O160" s="1"/>
      <x:c r="P160" s="1"/>
      <x:c r="Q160" s="1"/>
      <x:c r="R160" s="1"/>
      <x:c r="S160" s="1"/>
      <x:c r="T160" s="1"/>
      <x:c r="U160" s="1"/>
      <x:c r="V160" s="1"/>
      <x:c r="W160" s="1"/>
      <x:c r="X160" s="1"/>
      <x:c r="Y160" s="1"/>
      <x:c r="Z160" s="1"/>
    </x:row>
    <x:row r="16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  <x:c r="O161" s="1"/>
      <x:c r="P161" s="1"/>
      <x:c r="Q161" s="1"/>
      <x:c r="R161" s="1"/>
      <x:c r="S161" s="1"/>
      <x:c r="T161" s="1"/>
      <x:c r="U161" s="1"/>
      <x:c r="V161" s="1"/>
      <x:c r="W161" s="1"/>
      <x:c r="X161" s="1"/>
      <x:c r="Y161" s="1"/>
      <x:c r="Z161" s="1"/>
    </x:row>
    <x:row r="162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  <x:c r="O162" s="1"/>
      <x:c r="P162" s="1"/>
      <x:c r="Q162" s="1"/>
      <x:c r="R162" s="1"/>
      <x:c r="S162" s="1"/>
      <x:c r="T162" s="1"/>
      <x:c r="U162" s="1"/>
      <x:c r="V162" s="1"/>
      <x:c r="W162" s="1"/>
      <x:c r="X162" s="1"/>
      <x:c r="Y162" s="1"/>
      <x:c r="Z162" s="1"/>
    </x:row>
    <x:row r="163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  <x:c r="O163" s="1"/>
      <x:c r="P163" s="1"/>
      <x:c r="Q163" s="1"/>
      <x:c r="R163" s="1"/>
      <x:c r="S163" s="1"/>
      <x:c r="T163" s="1"/>
      <x:c r="U163" s="1"/>
      <x:c r="V163" s="1"/>
      <x:c r="W163" s="1"/>
      <x:c r="X163" s="1"/>
      <x:c r="Y163" s="1"/>
      <x:c r="Z163" s="1"/>
    </x:row>
    <x:row r="164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  <x:c r="O164" s="1"/>
      <x:c r="P164" s="1"/>
      <x:c r="Q164" s="1"/>
      <x:c r="R164" s="1"/>
      <x:c r="S164" s="1"/>
      <x:c r="T164" s="1"/>
      <x:c r="U164" s="1"/>
      <x:c r="V164" s="1"/>
      <x:c r="W164" s="1"/>
      <x:c r="X164" s="1"/>
      <x:c r="Y164" s="1"/>
      <x:c r="Z164" s="1"/>
    </x:row>
    <x:row r="165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  <x:c r="O165" s="1"/>
      <x:c r="P165" s="1"/>
      <x:c r="Q165" s="1"/>
      <x:c r="R165" s="1"/>
      <x:c r="S165" s="1"/>
      <x:c r="T165" s="1"/>
      <x:c r="U165" s="1"/>
      <x:c r="V165" s="1"/>
      <x:c r="W165" s="1"/>
      <x:c r="X165" s="1"/>
      <x:c r="Y165" s="1"/>
      <x:c r="Z165" s="1"/>
    </x:row>
    <x:row r="166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  <x:c r="O166" s="1"/>
      <x:c r="P166" s="1"/>
      <x:c r="Q166" s="1"/>
      <x:c r="R166" s="1"/>
      <x:c r="S166" s="1"/>
      <x:c r="T166" s="1"/>
      <x:c r="U166" s="1"/>
      <x:c r="V166" s="1"/>
      <x:c r="W166" s="1"/>
      <x:c r="X166" s="1"/>
      <x:c r="Y166" s="1"/>
      <x:c r="Z166" s="1"/>
    </x:row>
    <x:row r="167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  <x:c r="O167" s="1"/>
      <x:c r="P167" s="1"/>
      <x:c r="Q167" s="1"/>
      <x:c r="R167" s="1"/>
      <x:c r="S167" s="1"/>
      <x:c r="T167" s="1"/>
      <x:c r="U167" s="1"/>
      <x:c r="V167" s="1"/>
      <x:c r="W167" s="1"/>
      <x:c r="X167" s="1"/>
      <x:c r="Y167" s="1"/>
      <x:c r="Z167" s="1"/>
    </x:row>
    <x:row r="168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  <x:c r="O168" s="1"/>
      <x:c r="P168" s="1"/>
      <x:c r="Q168" s="1"/>
      <x:c r="R168" s="1"/>
      <x:c r="S168" s="1"/>
      <x:c r="T168" s="1"/>
      <x:c r="U168" s="1"/>
      <x:c r="V168" s="1"/>
      <x:c r="W168" s="1"/>
      <x:c r="X168" s="1"/>
      <x:c r="Y168" s="1"/>
      <x:c r="Z168" s="1"/>
    </x:row>
    <x:row r="169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  <x:c r="O169" s="1"/>
      <x:c r="P169" s="1"/>
      <x:c r="Q169" s="1"/>
      <x:c r="R169" s="1"/>
      <x:c r="S169" s="1"/>
      <x:c r="T169" s="1"/>
      <x:c r="U169" s="1"/>
      <x:c r="V169" s="1"/>
      <x:c r="W169" s="1"/>
      <x:c r="X169" s="1"/>
      <x:c r="Y169" s="1"/>
      <x:c r="Z169" s="1"/>
    </x:row>
    <x:row r="170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  <x:c r="O170" s="1"/>
      <x:c r="P170" s="1"/>
      <x:c r="Q170" s="1"/>
      <x:c r="R170" s="1"/>
      <x:c r="S170" s="1"/>
      <x:c r="T170" s="1"/>
      <x:c r="U170" s="1"/>
      <x:c r="V170" s="1"/>
      <x:c r="W170" s="1"/>
      <x:c r="X170" s="1"/>
      <x:c r="Y170" s="1"/>
      <x:c r="Z170" s="1"/>
    </x:row>
    <x:row r="17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  <x:c r="O171" s="1"/>
      <x:c r="P171" s="1"/>
      <x:c r="Q171" s="1"/>
      <x:c r="R171" s="1"/>
      <x:c r="S171" s="1"/>
      <x:c r="T171" s="1"/>
      <x:c r="U171" s="1"/>
      <x:c r="V171" s="1"/>
      <x:c r="W171" s="1"/>
      <x:c r="X171" s="1"/>
      <x:c r="Y171" s="1"/>
      <x:c r="Z171" s="1"/>
    </x:row>
    <x:row r="172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  <x:c r="O172" s="1"/>
      <x:c r="P172" s="1"/>
      <x:c r="Q172" s="1"/>
      <x:c r="R172" s="1"/>
      <x:c r="S172" s="1"/>
      <x:c r="T172" s="1"/>
      <x:c r="U172" s="1"/>
      <x:c r="V172" s="1"/>
      <x:c r="W172" s="1"/>
      <x:c r="X172" s="1"/>
      <x:c r="Y172" s="1"/>
      <x:c r="Z172" s="1"/>
    </x:row>
    <x:row r="173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  <x:c r="O173" s="1"/>
      <x:c r="P173" s="1"/>
      <x:c r="Q173" s="1"/>
      <x:c r="R173" s="1"/>
      <x:c r="S173" s="1"/>
      <x:c r="T173" s="1"/>
      <x:c r="U173" s="1"/>
      <x:c r="V173" s="1"/>
      <x:c r="W173" s="1"/>
      <x:c r="X173" s="1"/>
      <x:c r="Y173" s="1"/>
      <x:c r="Z173" s="1"/>
    </x:row>
    <x:row r="174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  <x:c r="O174" s="1"/>
      <x:c r="P174" s="1"/>
      <x:c r="Q174" s="1"/>
      <x:c r="R174" s="1"/>
      <x:c r="S174" s="1"/>
      <x:c r="T174" s="1"/>
      <x:c r="U174" s="1"/>
      <x:c r="V174" s="1"/>
      <x:c r="W174" s="1"/>
      <x:c r="X174" s="1"/>
      <x:c r="Y174" s="1"/>
      <x:c r="Z174" s="1"/>
    </x:row>
    <x:row r="175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  <x:c r="O175" s="1"/>
      <x:c r="P175" s="1"/>
      <x:c r="Q175" s="1"/>
      <x:c r="R175" s="1"/>
      <x:c r="S175" s="1"/>
      <x:c r="T175" s="1"/>
      <x:c r="U175" s="1"/>
      <x:c r="V175" s="1"/>
      <x:c r="W175" s="1"/>
      <x:c r="X175" s="1"/>
      <x:c r="Y175" s="1"/>
      <x:c r="Z175" s="1"/>
    </x:row>
    <x:row r="176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  <x:c r="O176" s="1"/>
      <x:c r="P176" s="1"/>
      <x:c r="Q176" s="1"/>
      <x:c r="R176" s="1"/>
      <x:c r="S176" s="1"/>
      <x:c r="T176" s="1"/>
      <x:c r="U176" s="1"/>
      <x:c r="V176" s="1"/>
      <x:c r="W176" s="1"/>
      <x:c r="X176" s="1"/>
      <x:c r="Y176" s="1"/>
      <x:c r="Z176" s="1"/>
    </x:row>
    <x:row r="177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  <x:c r="O177" s="1"/>
      <x:c r="P177" s="1"/>
      <x:c r="Q177" s="1"/>
      <x:c r="R177" s="1"/>
      <x:c r="S177" s="1"/>
      <x:c r="T177" s="1"/>
      <x:c r="U177" s="1"/>
      <x:c r="V177" s="1"/>
      <x:c r="W177" s="1"/>
      <x:c r="X177" s="1"/>
      <x:c r="Y177" s="1"/>
      <x:c r="Z177" s="1"/>
    </x:row>
    <x:row r="178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  <x:c r="O178" s="1"/>
      <x:c r="P178" s="1"/>
      <x:c r="Q178" s="1"/>
      <x:c r="R178" s="1"/>
      <x:c r="S178" s="1"/>
      <x:c r="T178" s="1"/>
      <x:c r="U178" s="1"/>
      <x:c r="V178" s="1"/>
      <x:c r="W178" s="1"/>
      <x:c r="X178" s="1"/>
      <x:c r="Y178" s="1"/>
      <x:c r="Z178" s="1"/>
    </x:row>
    <x:row r="179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  <x:c r="O179" s="1"/>
      <x:c r="P179" s="1"/>
      <x:c r="Q179" s="1"/>
      <x:c r="R179" s="1"/>
      <x:c r="S179" s="1"/>
      <x:c r="T179" s="1"/>
      <x:c r="U179" s="1"/>
      <x:c r="V179" s="1"/>
      <x:c r="W179" s="1"/>
      <x:c r="X179" s="1"/>
      <x:c r="Y179" s="1"/>
      <x:c r="Z179" s="1"/>
    </x:row>
    <x:row r="180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  <x:c r="O180" s="1"/>
      <x:c r="P180" s="1"/>
      <x:c r="Q180" s="1"/>
      <x:c r="R180" s="1"/>
      <x:c r="S180" s="1"/>
      <x:c r="T180" s="1"/>
      <x:c r="U180" s="1"/>
      <x:c r="V180" s="1"/>
      <x:c r="W180" s="1"/>
      <x:c r="X180" s="1"/>
      <x:c r="Y180" s="1"/>
      <x:c r="Z180" s="1"/>
    </x:row>
    <x:row r="18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  <x:c r="O181" s="1"/>
      <x:c r="P181" s="1"/>
      <x:c r="Q181" s="1"/>
      <x:c r="R181" s="1"/>
      <x:c r="S181" s="1"/>
      <x:c r="T181" s="1"/>
      <x:c r="U181" s="1"/>
      <x:c r="V181" s="1"/>
      <x:c r="W181" s="1"/>
      <x:c r="X181" s="1"/>
      <x:c r="Y181" s="1"/>
      <x:c r="Z181" s="1"/>
    </x:row>
    <x:row r="182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  <x:c r="O182" s="1"/>
      <x:c r="P182" s="1"/>
      <x:c r="Q182" s="1"/>
      <x:c r="R182" s="1"/>
      <x:c r="S182" s="1"/>
      <x:c r="T182" s="1"/>
      <x:c r="U182" s="1"/>
      <x:c r="V182" s="1"/>
      <x:c r="W182" s="1"/>
      <x:c r="X182" s="1"/>
      <x:c r="Y182" s="1"/>
      <x:c r="Z182" s="1"/>
    </x:row>
    <x:row r="183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  <x:c r="O183" s="1"/>
      <x:c r="P183" s="1"/>
      <x:c r="Q183" s="1"/>
      <x:c r="R183" s="1"/>
      <x:c r="S183" s="1"/>
      <x:c r="T183" s="1"/>
      <x:c r="U183" s="1"/>
      <x:c r="V183" s="1"/>
      <x:c r="W183" s="1"/>
      <x:c r="X183" s="1"/>
      <x:c r="Y183" s="1"/>
      <x:c r="Z183" s="1"/>
    </x:row>
    <x:row r="184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  <x:c r="O184" s="1"/>
      <x:c r="P184" s="1"/>
      <x:c r="Q184" s="1"/>
      <x:c r="R184" s="1"/>
      <x:c r="S184" s="1"/>
      <x:c r="T184" s="1"/>
      <x:c r="U184" s="1"/>
      <x:c r="V184" s="1"/>
      <x:c r="W184" s="1"/>
      <x:c r="X184" s="1"/>
      <x:c r="Y184" s="1"/>
      <x:c r="Z184" s="1"/>
    </x:row>
    <x:row r="185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  <x:c r="O185" s="1"/>
      <x:c r="P185" s="1"/>
      <x:c r="Q185" s="1"/>
      <x:c r="R185" s="1"/>
      <x:c r="S185" s="1"/>
      <x:c r="T185" s="1"/>
      <x:c r="U185" s="1"/>
      <x:c r="V185" s="1"/>
      <x:c r="W185" s="1"/>
      <x:c r="X185" s="1"/>
      <x:c r="Y185" s="1"/>
      <x:c r="Z185" s="1"/>
    </x:row>
    <x:row r="186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  <x:c r="O186" s="1"/>
      <x:c r="P186" s="1"/>
      <x:c r="Q186" s="1"/>
      <x:c r="R186" s="1"/>
      <x:c r="S186" s="1"/>
      <x:c r="T186" s="1"/>
      <x:c r="U186" s="1"/>
      <x:c r="V186" s="1"/>
      <x:c r="W186" s="1"/>
      <x:c r="X186" s="1"/>
      <x:c r="Y186" s="1"/>
      <x:c r="Z186" s="1"/>
    </x:row>
    <x:row r="187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  <x:c r="O187" s="1"/>
      <x:c r="P187" s="1"/>
      <x:c r="Q187" s="1"/>
      <x:c r="R187" s="1"/>
      <x:c r="S187" s="1"/>
      <x:c r="T187" s="1"/>
      <x:c r="U187" s="1"/>
      <x:c r="V187" s="1"/>
      <x:c r="W187" s="1"/>
      <x:c r="X187" s="1"/>
      <x:c r="Y187" s="1"/>
      <x:c r="Z187" s="1"/>
    </x:row>
    <x:row r="188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  <x:c r="O188" s="1"/>
      <x:c r="P188" s="1"/>
      <x:c r="Q188" s="1"/>
      <x:c r="R188" s="1"/>
      <x:c r="S188" s="1"/>
      <x:c r="T188" s="1"/>
      <x:c r="U188" s="1"/>
      <x:c r="V188" s="1"/>
      <x:c r="W188" s="1"/>
      <x:c r="X188" s="1"/>
      <x:c r="Y188" s="1"/>
      <x:c r="Z188" s="1"/>
    </x:row>
    <x:row r="189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  <x:c r="O189" s="1"/>
      <x:c r="P189" s="1"/>
      <x:c r="Q189" s="1"/>
      <x:c r="R189" s="1"/>
      <x:c r="S189" s="1"/>
      <x:c r="T189" s="1"/>
      <x:c r="U189" s="1"/>
      <x:c r="V189" s="1"/>
      <x:c r="W189" s="1"/>
      <x:c r="X189" s="1"/>
      <x:c r="Y189" s="1"/>
      <x:c r="Z189" s="1"/>
    </x:row>
    <x:row r="190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  <x:c r="O190" s="1"/>
      <x:c r="P190" s="1"/>
      <x:c r="Q190" s="1"/>
      <x:c r="R190" s="1"/>
      <x:c r="S190" s="1"/>
      <x:c r="T190" s="1"/>
      <x:c r="U190" s="1"/>
      <x:c r="V190" s="1"/>
      <x:c r="W190" s="1"/>
      <x:c r="X190" s="1"/>
      <x:c r="Y190" s="1"/>
      <x:c r="Z190" s="1"/>
    </x:row>
    <x:row r="19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  <x:c r="O191" s="1"/>
      <x:c r="P191" s="1"/>
      <x:c r="Q191" s="1"/>
      <x:c r="R191" s="1"/>
      <x:c r="S191" s="1"/>
      <x:c r="T191" s="1"/>
      <x:c r="U191" s="1"/>
      <x:c r="V191" s="1"/>
      <x:c r="W191" s="1"/>
      <x:c r="X191" s="1"/>
      <x:c r="Y191" s="1"/>
      <x:c r="Z191" s="1"/>
    </x:row>
    <x:row r="192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  <x:c r="O192" s="1"/>
      <x:c r="P192" s="1"/>
      <x:c r="Q192" s="1"/>
      <x:c r="R192" s="1"/>
      <x:c r="S192" s="1"/>
      <x:c r="T192" s="1"/>
      <x:c r="U192" s="1"/>
      <x:c r="V192" s="1"/>
      <x:c r="W192" s="1"/>
      <x:c r="X192" s="1"/>
      <x:c r="Y192" s="1"/>
      <x:c r="Z192" s="1"/>
    </x:row>
    <x:row r="193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  <x:c r="O193" s="1"/>
      <x:c r="P193" s="1"/>
      <x:c r="Q193" s="1"/>
      <x:c r="R193" s="1"/>
      <x:c r="S193" s="1"/>
      <x:c r="T193" s="1"/>
      <x:c r="U193" s="1"/>
      <x:c r="V193" s="1"/>
      <x:c r="W193" s="1"/>
      <x:c r="X193" s="1"/>
      <x:c r="Y193" s="1"/>
      <x:c r="Z193" s="1"/>
    </x:row>
    <x:row r="194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  <x:c r="O194" s="1"/>
      <x:c r="P194" s="1"/>
      <x:c r="Q194" s="1"/>
      <x:c r="R194" s="1"/>
      <x:c r="S194" s="1"/>
      <x:c r="T194" s="1"/>
      <x:c r="U194" s="1"/>
      <x:c r="V194" s="1"/>
      <x:c r="W194" s="1"/>
      <x:c r="X194" s="1"/>
      <x:c r="Y194" s="1"/>
      <x:c r="Z194" s="1"/>
    </x:row>
    <x:row r="195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  <x:c r="O195" s="1"/>
      <x:c r="P195" s="1"/>
      <x:c r="Q195" s="1"/>
      <x:c r="R195" s="1"/>
      <x:c r="S195" s="1"/>
      <x:c r="T195" s="1"/>
      <x:c r="U195" s="1"/>
      <x:c r="V195" s="1"/>
      <x:c r="W195" s="1"/>
      <x:c r="X195" s="1"/>
      <x:c r="Y195" s="1"/>
      <x:c r="Z195" s="1"/>
    </x:row>
    <x:row r="196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  <x:c r="O196" s="1"/>
      <x:c r="P196" s="1"/>
      <x:c r="Q196" s="1"/>
      <x:c r="R196" s="1"/>
      <x:c r="S196" s="1"/>
      <x:c r="T196" s="1"/>
      <x:c r="U196" s="1"/>
      <x:c r="V196" s="1"/>
      <x:c r="W196" s="1"/>
      <x:c r="X196" s="1"/>
      <x:c r="Y196" s="1"/>
      <x:c r="Z196" s="1"/>
    </x:row>
    <x:row r="197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  <x:c r="O197" s="1"/>
      <x:c r="P197" s="1"/>
      <x:c r="Q197" s="1"/>
      <x:c r="R197" s="1"/>
      <x:c r="S197" s="1"/>
      <x:c r="T197" s="1"/>
      <x:c r="U197" s="1"/>
      <x:c r="V197" s="1"/>
      <x:c r="W197" s="1"/>
      <x:c r="X197" s="1"/>
      <x:c r="Y197" s="1"/>
      <x:c r="Z197" s="1"/>
    </x:row>
    <x:row r="198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  <x:c r="O198" s="1"/>
      <x:c r="P198" s="1"/>
      <x:c r="Q198" s="1"/>
      <x:c r="R198" s="1"/>
      <x:c r="S198" s="1"/>
      <x:c r="T198" s="1"/>
      <x:c r="U198" s="1"/>
      <x:c r="V198" s="1"/>
      <x:c r="W198" s="1"/>
      <x:c r="X198" s="1"/>
      <x:c r="Y198" s="1"/>
      <x:c r="Z198" s="1"/>
    </x:row>
    <x:row r="199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  <x:c r="O199" s="1"/>
      <x:c r="P199" s="1"/>
      <x:c r="Q199" s="1"/>
      <x:c r="R199" s="1"/>
      <x:c r="S199" s="1"/>
      <x:c r="T199" s="1"/>
      <x:c r="U199" s="1"/>
      <x:c r="V199" s="1"/>
      <x:c r="W199" s="1"/>
      <x:c r="X199" s="1"/>
      <x:c r="Y199" s="1"/>
      <x:c r="Z199" s="1"/>
    </x:row>
    <x:row r="200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  <x:c r="O200" s="1"/>
      <x:c r="P200" s="1"/>
      <x:c r="Q200" s="1"/>
      <x:c r="R200" s="1"/>
      <x:c r="S200" s="1"/>
      <x:c r="T200" s="1"/>
      <x:c r="U200" s="1"/>
      <x:c r="V200" s="1"/>
      <x:c r="W200" s="1"/>
      <x:c r="X200" s="1"/>
      <x:c r="Y200" s="1"/>
      <x:c r="Z200" s="1"/>
    </x:row>
    <x:row r="201">
      <x:c r="A201" s="1"/>
      <x:c r="B201" s="1"/>
      <x:c r="C201" s="1"/>
      <x:c r="D201" s="1"/>
      <x:c r="E201" s="1"/>
      <x:c r="F201" s="1"/>
      <x:c r="G201" s="1"/>
      <x:c r="H201" s="1"/>
      <x:c r="I201" s="1"/>
      <x:c r="J201" s="1"/>
      <x:c r="K201" s="1"/>
      <x:c r="L201" s="1"/>
      <x:c r="M201" s="1"/>
      <x:c r="N201" s="1"/>
      <x:c r="O201" s="1"/>
      <x:c r="P201" s="1"/>
      <x:c r="Q201" s="1"/>
      <x:c r="R201" s="1"/>
      <x:c r="S201" s="1"/>
      <x:c r="T201" s="1"/>
      <x:c r="U201" s="1"/>
      <x:c r="V201" s="1"/>
      <x:c r="W201" s="1"/>
      <x:c r="X201" s="1"/>
      <x:c r="Y201" s="1"/>
      <x:c r="Z201" s="1"/>
    </x:row>
    <x:row r="202">
      <x:c r="A202" s="1"/>
      <x:c r="B202" s="1"/>
      <x:c r="C202" s="1"/>
      <x:c r="D202" s="1"/>
      <x:c r="E202" s="1"/>
      <x:c r="F202" s="1"/>
      <x:c r="G202" s="1"/>
      <x:c r="H202" s="1"/>
      <x:c r="I202" s="1"/>
      <x:c r="J202" s="1"/>
      <x:c r="K202" s="1"/>
      <x:c r="L202" s="1"/>
      <x:c r="M202" s="1"/>
      <x:c r="N202" s="1"/>
      <x:c r="O202" s="1"/>
      <x:c r="P202" s="1"/>
      <x:c r="Q202" s="1"/>
      <x:c r="R202" s="1"/>
      <x:c r="S202" s="1"/>
      <x:c r="T202" s="1"/>
      <x:c r="U202" s="1"/>
      <x:c r="V202" s="1"/>
      <x:c r="W202" s="1"/>
      <x:c r="X202" s="1"/>
      <x:c r="Y202" s="1"/>
      <x:c r="Z202" s="1"/>
    </x:row>
    <x:row r="203">
      <x:c r="A203" s="1"/>
      <x:c r="B203" s="1"/>
      <x:c r="C203" s="1"/>
      <x:c r="D203" s="1"/>
      <x:c r="E203" s="1"/>
      <x:c r="F203" s="1"/>
      <x:c r="G203" s="1"/>
      <x:c r="H203" s="1"/>
      <x:c r="I203" s="1"/>
      <x:c r="J203" s="1"/>
      <x:c r="K203" s="1"/>
      <x:c r="L203" s="1"/>
      <x:c r="M203" s="1"/>
      <x:c r="N203" s="1"/>
      <x:c r="O203" s="1"/>
      <x:c r="P203" s="1"/>
      <x:c r="Q203" s="1"/>
      <x:c r="R203" s="1"/>
      <x:c r="S203" s="1"/>
      <x:c r="T203" s="1"/>
      <x:c r="U203" s="1"/>
      <x:c r="V203" s="1"/>
      <x:c r="W203" s="1"/>
      <x:c r="X203" s="1"/>
      <x:c r="Y203" s="1"/>
      <x:c r="Z203" s="1"/>
    </x:row>
    <x:row r="204">
      <x:c r="A204" s="1"/>
      <x:c r="B204" s="1"/>
      <x:c r="C204" s="1"/>
      <x:c r="D204" s="1"/>
      <x:c r="E204" s="1"/>
      <x:c r="F204" s="1"/>
      <x:c r="G204" s="1"/>
      <x:c r="H204" s="1"/>
      <x:c r="I204" s="1"/>
      <x:c r="J204" s="1"/>
      <x:c r="K204" s="1"/>
      <x:c r="L204" s="1"/>
      <x:c r="M204" s="1"/>
      <x:c r="N204" s="1"/>
      <x:c r="O204" s="1"/>
      <x:c r="P204" s="1"/>
      <x:c r="Q204" s="1"/>
      <x:c r="R204" s="1"/>
      <x:c r="S204" s="1"/>
      <x:c r="T204" s="1"/>
      <x:c r="U204" s="1"/>
      <x:c r="V204" s="1"/>
      <x:c r="W204" s="1"/>
      <x:c r="X204" s="1"/>
      <x:c r="Y204" s="1"/>
      <x:c r="Z204" s="1"/>
    </x:row>
    <x:row r="205">
      <x:c r="A205" s="1"/>
      <x:c r="B205" s="1"/>
      <x:c r="C205" s="1"/>
      <x:c r="D205" s="1"/>
      <x:c r="E205" s="1"/>
      <x:c r="F205" s="1"/>
      <x:c r="G205" s="1"/>
      <x:c r="H205" s="1"/>
      <x:c r="I205" s="1"/>
      <x:c r="J205" s="1"/>
      <x:c r="K205" s="1"/>
      <x:c r="L205" s="1"/>
      <x:c r="M205" s="1"/>
      <x:c r="N205" s="1"/>
      <x:c r="O205" s="1"/>
      <x:c r="P205" s="1"/>
      <x:c r="Q205" s="1"/>
      <x:c r="R205" s="1"/>
      <x:c r="S205" s="1"/>
      <x:c r="T205" s="1"/>
      <x:c r="U205" s="1"/>
      <x:c r="V205" s="1"/>
      <x:c r="W205" s="1"/>
      <x:c r="X205" s="1"/>
      <x:c r="Y205" s="1"/>
      <x:c r="Z205" s="1"/>
    </x:row>
    <x:row r="206">
      <x:c r="A206" s="1"/>
      <x:c r="B206" s="1"/>
      <x:c r="C206" s="1"/>
      <x:c r="D206" s="1"/>
      <x:c r="E206" s="1"/>
      <x:c r="F206" s="1"/>
      <x:c r="G206" s="1"/>
      <x:c r="H206" s="1"/>
      <x:c r="I206" s="1"/>
      <x:c r="J206" s="1"/>
      <x:c r="K206" s="1"/>
      <x:c r="L206" s="1"/>
      <x:c r="M206" s="1"/>
      <x:c r="N206" s="1"/>
      <x:c r="O206" s="1"/>
      <x:c r="P206" s="1"/>
      <x:c r="Q206" s="1"/>
      <x:c r="R206" s="1"/>
      <x:c r="S206" s="1"/>
      <x:c r="T206" s="1"/>
      <x:c r="U206" s="1"/>
      <x:c r="V206" s="1"/>
      <x:c r="W206" s="1"/>
      <x:c r="X206" s="1"/>
      <x:c r="Y206" s="1"/>
      <x:c r="Z206" s="1"/>
    </x:row>
    <x:row r="207">
      <x:c r="A207" s="1"/>
      <x:c r="B207" s="1"/>
      <x:c r="C207" s="1"/>
      <x:c r="D207" s="1"/>
      <x:c r="E207" s="1"/>
      <x:c r="F207" s="1"/>
      <x:c r="G207" s="1"/>
      <x:c r="H207" s="1"/>
      <x:c r="I207" s="1"/>
      <x:c r="J207" s="1"/>
      <x:c r="K207" s="1"/>
      <x:c r="L207" s="1"/>
      <x:c r="M207" s="1"/>
      <x:c r="N207" s="1"/>
      <x:c r="O207" s="1"/>
      <x:c r="P207" s="1"/>
      <x:c r="Q207" s="1"/>
      <x:c r="R207" s="1"/>
      <x:c r="S207" s="1"/>
      <x:c r="T207" s="1"/>
      <x:c r="U207" s="1"/>
      <x:c r="V207" s="1"/>
      <x:c r="W207" s="1"/>
      <x:c r="X207" s="1"/>
      <x:c r="Y207" s="1"/>
      <x:c r="Z207" s="1"/>
    </x:row>
    <x:row r="208">
      <x:c r="A208" s="1"/>
      <x:c r="B208" s="1"/>
      <x:c r="C208" s="1"/>
      <x:c r="D208" s="1"/>
      <x:c r="E208" s="1"/>
      <x:c r="F208" s="1"/>
      <x:c r="G208" s="1"/>
      <x:c r="H208" s="1"/>
      <x:c r="I208" s="1"/>
      <x:c r="J208" s="1"/>
      <x:c r="K208" s="1"/>
      <x:c r="L208" s="1"/>
      <x:c r="M208" s="1"/>
      <x:c r="N208" s="1"/>
      <x:c r="O208" s="1"/>
      <x:c r="P208" s="1"/>
      <x:c r="Q208" s="1"/>
      <x:c r="R208" s="1"/>
      <x:c r="S208" s="1"/>
      <x:c r="T208" s="1"/>
      <x:c r="U208" s="1"/>
      <x:c r="V208" s="1"/>
      <x:c r="W208" s="1"/>
      <x:c r="X208" s="1"/>
      <x:c r="Y208" s="1"/>
      <x:c r="Z208" s="1"/>
    </x:row>
    <x:row r="209">
      <x:c r="A209" s="1"/>
      <x:c r="B209" s="1"/>
      <x:c r="C209" s="1"/>
      <x:c r="D209" s="1"/>
      <x:c r="E209" s="1"/>
      <x:c r="F209" s="1"/>
      <x:c r="G209" s="1"/>
      <x:c r="H209" s="1"/>
      <x:c r="I209" s="1"/>
      <x:c r="J209" s="1"/>
      <x:c r="K209" s="1"/>
      <x:c r="L209" s="1"/>
      <x:c r="M209" s="1"/>
      <x:c r="N209" s="1"/>
      <x:c r="O209" s="1"/>
      <x:c r="P209" s="1"/>
      <x:c r="Q209" s="1"/>
      <x:c r="R209" s="1"/>
      <x:c r="S209" s="1"/>
      <x:c r="T209" s="1"/>
      <x:c r="U209" s="1"/>
      <x:c r="V209" s="1"/>
      <x:c r="W209" s="1"/>
      <x:c r="X209" s="1"/>
      <x:c r="Y209" s="1"/>
      <x:c r="Z209" s="1"/>
    </x:row>
    <x:row r="210">
      <x:c r="A210" s="1"/>
      <x:c r="B210" s="1"/>
      <x:c r="C210" s="1"/>
      <x:c r="D210" s="1"/>
      <x:c r="E210" s="1"/>
      <x:c r="F210" s="1"/>
      <x:c r="G210" s="1"/>
      <x:c r="H210" s="1"/>
      <x:c r="I210" s="1"/>
      <x:c r="J210" s="1"/>
      <x:c r="K210" s="1"/>
      <x:c r="L210" s="1"/>
      <x:c r="M210" s="1"/>
      <x:c r="N210" s="1"/>
      <x:c r="O210" s="1"/>
      <x:c r="P210" s="1"/>
      <x:c r="Q210" s="1"/>
      <x:c r="R210" s="1"/>
      <x:c r="S210" s="1"/>
      <x:c r="T210" s="1"/>
      <x:c r="U210" s="1"/>
      <x:c r="V210" s="1"/>
      <x:c r="W210" s="1"/>
      <x:c r="X210" s="1"/>
      <x:c r="Y210" s="1"/>
      <x:c r="Z210" s="1"/>
    </x:row>
    <x:row r="211">
      <x:c r="A211" s="1"/>
      <x:c r="B211" s="1"/>
      <x:c r="C211" s="1"/>
      <x:c r="D211" s="1"/>
      <x:c r="E211" s="1"/>
      <x:c r="F211" s="1"/>
      <x:c r="G211" s="1"/>
      <x:c r="H211" s="1"/>
      <x:c r="I211" s="1"/>
      <x:c r="J211" s="1"/>
      <x:c r="K211" s="1"/>
      <x:c r="L211" s="1"/>
      <x:c r="M211" s="1"/>
      <x:c r="N211" s="1"/>
      <x:c r="O211" s="1"/>
      <x:c r="P211" s="1"/>
      <x:c r="Q211" s="1"/>
      <x:c r="R211" s="1"/>
      <x:c r="S211" s="1"/>
      <x:c r="T211" s="1"/>
      <x:c r="U211" s="1"/>
      <x:c r="V211" s="1"/>
      <x:c r="W211" s="1"/>
      <x:c r="X211" s="1"/>
      <x:c r="Y211" s="1"/>
      <x:c r="Z211" s="1"/>
    </x:row>
    <x:row r="212">
      <x:c r="A212" s="1"/>
      <x:c r="B212" s="1"/>
      <x:c r="C212" s="1"/>
      <x:c r="D212" s="1"/>
      <x:c r="E212" s="1"/>
      <x:c r="F212" s="1"/>
      <x:c r="G212" s="1"/>
      <x:c r="H212" s="1"/>
      <x:c r="I212" s="1"/>
      <x:c r="J212" s="1"/>
      <x:c r="K212" s="1"/>
      <x:c r="L212" s="1"/>
      <x:c r="M212" s="1"/>
      <x:c r="N212" s="1"/>
      <x:c r="O212" s="1"/>
      <x:c r="P212" s="1"/>
      <x:c r="Q212" s="1"/>
      <x:c r="R212" s="1"/>
      <x:c r="S212" s="1"/>
      <x:c r="T212" s="1"/>
      <x:c r="U212" s="1"/>
      <x:c r="V212" s="1"/>
      <x:c r="W212" s="1"/>
      <x:c r="X212" s="1"/>
      <x:c r="Y212" s="1"/>
      <x:c r="Z212" s="1"/>
    </x:row>
    <x:row r="213">
      <x:c r="A213" s="1"/>
      <x:c r="B213" s="1"/>
      <x:c r="C213" s="1"/>
      <x:c r="D213" s="1"/>
      <x:c r="E213" s="1"/>
      <x:c r="F213" s="1"/>
      <x:c r="G213" s="1"/>
      <x:c r="H213" s="1"/>
      <x:c r="I213" s="1"/>
      <x:c r="J213" s="1"/>
      <x:c r="K213" s="1"/>
      <x:c r="L213" s="1"/>
      <x:c r="M213" s="1"/>
      <x:c r="N213" s="1"/>
      <x:c r="O213" s="1"/>
      <x:c r="P213" s="1"/>
      <x:c r="Q213" s="1"/>
      <x:c r="R213" s="1"/>
      <x:c r="S213" s="1"/>
      <x:c r="T213" s="1"/>
      <x:c r="U213" s="1"/>
      <x:c r="V213" s="1"/>
      <x:c r="W213" s="1"/>
      <x:c r="X213" s="1"/>
      <x:c r="Y213" s="1"/>
      <x:c r="Z213" s="1"/>
    </x:row>
    <x:row r="214">
      <x:c r="A214" s="1"/>
      <x:c r="B214" s="1"/>
      <x:c r="C214" s="1"/>
      <x:c r="D214" s="1"/>
      <x:c r="E214" s="1"/>
      <x:c r="F214" s="1"/>
      <x:c r="G214" s="1"/>
      <x:c r="H214" s="1"/>
      <x:c r="I214" s="1"/>
      <x:c r="J214" s="1"/>
      <x:c r="K214" s="1"/>
      <x:c r="L214" s="1"/>
      <x:c r="M214" s="1"/>
      <x:c r="N214" s="1"/>
      <x:c r="O214" s="1"/>
      <x:c r="P214" s="1"/>
      <x:c r="Q214" s="1"/>
      <x:c r="R214" s="1"/>
      <x:c r="S214" s="1"/>
      <x:c r="T214" s="1"/>
      <x:c r="U214" s="1"/>
      <x:c r="V214" s="1"/>
      <x:c r="W214" s="1"/>
      <x:c r="X214" s="1"/>
      <x:c r="Y214" s="1"/>
      <x:c r="Z214" s="1"/>
    </x:row>
    <x:row r="215">
      <x:c r="A215" s="1"/>
      <x:c r="B215" s="1"/>
      <x:c r="C215" s="1"/>
      <x:c r="D215" s="1"/>
      <x:c r="E215" s="1"/>
      <x:c r="F215" s="1"/>
      <x:c r="G215" s="1"/>
      <x:c r="H215" s="1"/>
      <x:c r="I215" s="1"/>
      <x:c r="J215" s="1"/>
      <x:c r="K215" s="1"/>
      <x:c r="L215" s="1"/>
      <x:c r="M215" s="1"/>
      <x:c r="N215" s="1"/>
      <x:c r="O215" s="1"/>
      <x:c r="P215" s="1"/>
      <x:c r="Q215" s="1"/>
      <x:c r="R215" s="1"/>
      <x:c r="S215" s="1"/>
      <x:c r="T215" s="1"/>
      <x:c r="U215" s="1"/>
      <x:c r="V215" s="1"/>
      <x:c r="W215" s="1"/>
      <x:c r="X215" s="1"/>
      <x:c r="Y215" s="1"/>
      <x:c r="Z215" s="1"/>
    </x:row>
    <x:row r="216">
      <x:c r="A216" s="1"/>
      <x:c r="B216" s="1"/>
      <x:c r="C216" s="1"/>
      <x:c r="D216" s="1"/>
      <x:c r="E216" s="1"/>
      <x:c r="F216" s="1"/>
      <x:c r="G216" s="1"/>
      <x:c r="H216" s="1"/>
      <x:c r="I216" s="1"/>
      <x:c r="J216" s="1"/>
      <x:c r="K216" s="1"/>
      <x:c r="L216" s="1"/>
      <x:c r="M216" s="1"/>
      <x:c r="N216" s="1"/>
      <x:c r="O216" s="1"/>
      <x:c r="P216" s="1"/>
      <x:c r="Q216" s="1"/>
      <x:c r="R216" s="1"/>
      <x:c r="S216" s="1"/>
      <x:c r="T216" s="1"/>
      <x:c r="U216" s="1"/>
      <x:c r="V216" s="1"/>
      <x:c r="W216" s="1"/>
      <x:c r="X216" s="1"/>
      <x:c r="Y216" s="1"/>
      <x:c r="Z216" s="1"/>
    </x:row>
    <x:row r="217">
      <x:c r="A217" s="1"/>
      <x:c r="B217" s="1"/>
      <x:c r="C217" s="1"/>
      <x:c r="D217" s="1"/>
      <x:c r="E217" s="1"/>
      <x:c r="F217" s="1"/>
      <x:c r="G217" s="1"/>
      <x:c r="H217" s="1"/>
      <x:c r="I217" s="1"/>
      <x:c r="J217" s="1"/>
      <x:c r="K217" s="1"/>
      <x:c r="L217" s="1"/>
      <x:c r="M217" s="1"/>
      <x:c r="N217" s="1"/>
      <x:c r="O217" s="1"/>
      <x:c r="P217" s="1"/>
      <x:c r="Q217" s="1"/>
      <x:c r="R217" s="1"/>
      <x:c r="S217" s="1"/>
      <x:c r="T217" s="1"/>
      <x:c r="U217" s="1"/>
      <x:c r="V217" s="1"/>
      <x:c r="W217" s="1"/>
      <x:c r="X217" s="1"/>
      <x:c r="Y217" s="1"/>
      <x:c r="Z217" s="1"/>
    </x:row>
    <x:row r="218">
      <x:c r="A218" s="1"/>
      <x:c r="B218" s="1"/>
      <x:c r="C218" s="1"/>
      <x:c r="D218" s="1"/>
      <x:c r="E218" s="1"/>
      <x:c r="F218" s="1"/>
      <x:c r="G218" s="1"/>
      <x:c r="H218" s="1"/>
      <x:c r="I218" s="1"/>
      <x:c r="J218" s="1"/>
      <x:c r="K218" s="1"/>
      <x:c r="L218" s="1"/>
      <x:c r="M218" s="1"/>
      <x:c r="N218" s="1"/>
      <x:c r="O218" s="1"/>
      <x:c r="P218" s="1"/>
      <x:c r="Q218" s="1"/>
      <x:c r="R218" s="1"/>
      <x:c r="S218" s="1"/>
      <x:c r="T218" s="1"/>
      <x:c r="U218" s="1"/>
      <x:c r="V218" s="1"/>
      <x:c r="W218" s="1"/>
      <x:c r="X218" s="1"/>
      <x:c r="Y218" s="1"/>
      <x:c r="Z218" s="1"/>
    </x:row>
    <x:row r="219">
      <x:c r="A219" s="1"/>
      <x:c r="B219" s="1"/>
      <x:c r="C219" s="1"/>
      <x:c r="D219" s="1"/>
      <x:c r="E219" s="1"/>
      <x:c r="F219" s="1"/>
      <x:c r="G219" s="1"/>
      <x:c r="H219" s="1"/>
      <x:c r="I219" s="1"/>
      <x:c r="J219" s="1"/>
      <x:c r="K219" s="1"/>
      <x:c r="L219" s="1"/>
      <x:c r="M219" s="1"/>
      <x:c r="N219" s="1"/>
      <x:c r="O219" s="1"/>
      <x:c r="P219" s="1"/>
      <x:c r="Q219" s="1"/>
      <x:c r="R219" s="1"/>
      <x:c r="S219" s="1"/>
      <x:c r="T219" s="1"/>
      <x:c r="U219" s="1"/>
      <x:c r="V219" s="1"/>
      <x:c r="W219" s="1"/>
      <x:c r="X219" s="1"/>
      <x:c r="Y219" s="1"/>
      <x:c r="Z219" s="1"/>
    </x:row>
    <x:row r="220">
      <x:c r="A220" s="1"/>
      <x:c r="B220" s="1"/>
      <x:c r="C220" s="1"/>
      <x:c r="D220" s="1"/>
      <x:c r="E220" s="1"/>
      <x:c r="F220" s="1"/>
      <x:c r="G220" s="1"/>
      <x:c r="H220" s="1"/>
      <x:c r="I220" s="1"/>
      <x:c r="J220" s="1"/>
      <x:c r="K220" s="1"/>
      <x:c r="L220" s="1"/>
      <x:c r="M220" s="1"/>
      <x:c r="N220" s="1"/>
      <x:c r="O220" s="1"/>
      <x:c r="P220" s="1"/>
      <x:c r="Q220" s="1"/>
      <x:c r="R220" s="1"/>
      <x:c r="S220" s="1"/>
      <x:c r="T220" s="1"/>
      <x:c r="U220" s="1"/>
      <x:c r="V220" s="1"/>
      <x:c r="W220" s="1"/>
      <x:c r="X220" s="1"/>
      <x:c r="Y220" s="1"/>
      <x:c r="Z220" s="1"/>
    </x:row>
    <x:row r="221">
      <x:c r="A221" s="1"/>
      <x:c r="B221" s="1"/>
      <x:c r="C221" s="1"/>
      <x:c r="D221" s="1"/>
      <x:c r="E221" s="1"/>
      <x:c r="F221" s="1"/>
      <x:c r="G221" s="1"/>
      <x:c r="H221" s="1"/>
      <x:c r="I221" s="1"/>
      <x:c r="J221" s="1"/>
      <x:c r="K221" s="1"/>
      <x:c r="L221" s="1"/>
      <x:c r="M221" s="1"/>
      <x:c r="N221" s="1"/>
      <x:c r="O221" s="1"/>
      <x:c r="P221" s="1"/>
      <x:c r="Q221" s="1"/>
      <x:c r="R221" s="1"/>
      <x:c r="S221" s="1"/>
      <x:c r="T221" s="1"/>
      <x:c r="U221" s="1"/>
      <x:c r="V221" s="1"/>
      <x:c r="W221" s="1"/>
      <x:c r="X221" s="1"/>
      <x:c r="Y221" s="1"/>
      <x:c r="Z221" s="1"/>
    </x:row>
    <x:row r="222">
      <x:c r="A222" s="1"/>
      <x:c r="B222" s="1"/>
      <x:c r="C222" s="1"/>
      <x:c r="D222" s="1"/>
      <x:c r="E222" s="1"/>
      <x:c r="F222" s="1"/>
      <x:c r="G222" s="1"/>
      <x:c r="H222" s="1"/>
      <x:c r="I222" s="1"/>
      <x:c r="J222" s="1"/>
      <x:c r="K222" s="1"/>
      <x:c r="L222" s="1"/>
      <x:c r="M222" s="1"/>
      <x:c r="N222" s="1"/>
      <x:c r="O222" s="1"/>
      <x:c r="P222" s="1"/>
      <x:c r="Q222" s="1"/>
      <x:c r="R222" s="1"/>
      <x:c r="S222" s="1"/>
      <x:c r="T222" s="1"/>
      <x:c r="U222" s="1"/>
      <x:c r="V222" s="1"/>
      <x:c r="W222" s="1"/>
      <x:c r="X222" s="1"/>
      <x:c r="Y222" s="1"/>
      <x:c r="Z222" s="1"/>
    </x:row>
    <x:row r="223">
      <x:c r="A223" s="1"/>
      <x:c r="B223" s="1"/>
      <x:c r="C223" s="1"/>
      <x:c r="D223" s="1"/>
      <x:c r="E223" s="1"/>
      <x:c r="F223" s="1"/>
      <x:c r="G223" s="1"/>
      <x:c r="H223" s="1"/>
      <x:c r="I223" s="1"/>
      <x:c r="J223" s="1"/>
      <x:c r="K223" s="1"/>
      <x:c r="L223" s="1"/>
      <x:c r="M223" s="1"/>
      <x:c r="N223" s="1"/>
      <x:c r="O223" s="1"/>
      <x:c r="P223" s="1"/>
      <x:c r="Q223" s="1"/>
      <x:c r="R223" s="1"/>
      <x:c r="S223" s="1"/>
      <x:c r="T223" s="1"/>
      <x:c r="U223" s="1"/>
      <x:c r="V223" s="1"/>
      <x:c r="W223" s="1"/>
      <x:c r="X223" s="1"/>
      <x:c r="Y223" s="1"/>
      <x:c r="Z223" s="1"/>
    </x:row>
    <x:row r="224">
      <x:c r="A224" s="1"/>
      <x:c r="B224" s="1"/>
      <x:c r="C224" s="1"/>
      <x:c r="D224" s="1"/>
      <x:c r="E224" s="1"/>
      <x:c r="F224" s="1"/>
      <x:c r="G224" s="1"/>
      <x:c r="H224" s="1"/>
      <x:c r="I224" s="1"/>
      <x:c r="J224" s="1"/>
      <x:c r="K224" s="1"/>
      <x:c r="L224" s="1"/>
      <x:c r="M224" s="1"/>
      <x:c r="N224" s="1"/>
      <x:c r="O224" s="1"/>
      <x:c r="P224" s="1"/>
      <x:c r="Q224" s="1"/>
      <x:c r="R224" s="1"/>
      <x:c r="S224" s="1"/>
      <x:c r="T224" s="1"/>
      <x:c r="U224" s="1"/>
      <x:c r="V224" s="1"/>
      <x:c r="W224" s="1"/>
      <x:c r="X224" s="1"/>
      <x:c r="Y224" s="1"/>
      <x:c r="Z224" s="1"/>
    </x:row>
    <x:row r="225">
      <x:c r="A225" s="1"/>
      <x:c r="B225" s="1"/>
      <x:c r="C225" s="1"/>
      <x:c r="D225" s="1"/>
      <x:c r="E225" s="1"/>
      <x:c r="F225" s="1"/>
      <x:c r="G225" s="1"/>
      <x:c r="H225" s="1"/>
      <x:c r="I225" s="1"/>
      <x:c r="J225" s="1"/>
      <x:c r="K225" s="1"/>
      <x:c r="L225" s="1"/>
      <x:c r="M225" s="1"/>
      <x:c r="N225" s="1"/>
      <x:c r="O225" s="1"/>
      <x:c r="P225" s="1"/>
      <x:c r="Q225" s="1"/>
      <x:c r="R225" s="1"/>
      <x:c r="S225" s="1"/>
      <x:c r="T225" s="1"/>
      <x:c r="U225" s="1"/>
      <x:c r="V225" s="1"/>
      <x:c r="W225" s="1"/>
      <x:c r="X225" s="1"/>
      <x:c r="Y225" s="1"/>
      <x:c r="Z225" s="1"/>
    </x:row>
    <x:row r="226">
      <x:c r="A226" s="1"/>
      <x:c r="B226" s="1"/>
      <x:c r="C226" s="1"/>
      <x:c r="D226" s="1"/>
      <x:c r="E226" s="1"/>
      <x:c r="F226" s="1"/>
      <x:c r="G226" s="1"/>
      <x:c r="H226" s="1"/>
      <x:c r="I226" s="1"/>
      <x:c r="J226" s="1"/>
      <x:c r="K226" s="1"/>
      <x:c r="L226" s="1"/>
      <x:c r="M226" s="1"/>
      <x:c r="N226" s="1"/>
      <x:c r="O226" s="1"/>
      <x:c r="P226" s="1"/>
      <x:c r="Q226" s="1"/>
      <x:c r="R226" s="1"/>
      <x:c r="S226" s="1"/>
      <x:c r="T226" s="1"/>
      <x:c r="U226" s="1"/>
      <x:c r="V226" s="1"/>
      <x:c r="W226" s="1"/>
      <x:c r="X226" s="1"/>
      <x:c r="Y226" s="1"/>
      <x:c r="Z226" s="1"/>
    </x:row>
    <x:row r="227">
      <x:c r="A227" s="1"/>
      <x:c r="B227" s="1"/>
      <x:c r="C227" s="1"/>
      <x:c r="D227" s="1"/>
      <x:c r="E227" s="1"/>
      <x:c r="F227" s="1"/>
      <x:c r="G227" s="1"/>
      <x:c r="H227" s="1"/>
      <x:c r="I227" s="1"/>
      <x:c r="J227" s="1"/>
      <x:c r="K227" s="1"/>
      <x:c r="L227" s="1"/>
      <x:c r="M227" s="1"/>
      <x:c r="N227" s="1"/>
      <x:c r="O227" s="1"/>
      <x:c r="P227" s="1"/>
      <x:c r="Q227" s="1"/>
      <x:c r="R227" s="1"/>
      <x:c r="S227" s="1"/>
      <x:c r="T227" s="1"/>
      <x:c r="U227" s="1"/>
      <x:c r="V227" s="1"/>
      <x:c r="W227" s="1"/>
      <x:c r="X227" s="1"/>
      <x:c r="Y227" s="1"/>
      <x:c r="Z227" s="1"/>
    </x:row>
    <x:row r="228">
      <x:c r="A228" s="1"/>
      <x:c r="B228" s="1"/>
      <x:c r="C228" s="1"/>
      <x:c r="D228" s="1"/>
      <x:c r="E228" s="1"/>
      <x:c r="F228" s="1"/>
      <x:c r="G228" s="1"/>
      <x:c r="H228" s="1"/>
      <x:c r="I228" s="1"/>
      <x:c r="J228" s="1"/>
      <x:c r="K228" s="1"/>
      <x:c r="L228" s="1"/>
      <x:c r="M228" s="1"/>
      <x:c r="N228" s="1"/>
      <x:c r="O228" s="1"/>
      <x:c r="P228" s="1"/>
      <x:c r="Q228" s="1"/>
      <x:c r="R228" s="1"/>
      <x:c r="S228" s="1"/>
      <x:c r="T228" s="1"/>
      <x:c r="U228" s="1"/>
      <x:c r="V228" s="1"/>
      <x:c r="W228" s="1"/>
      <x:c r="X228" s="1"/>
      <x:c r="Y228" s="1"/>
      <x:c r="Z228" s="1"/>
    </x:row>
    <x:row r="229">
      <x:c r="A229" s="1"/>
      <x:c r="B229" s="1"/>
      <x:c r="C229" s="1"/>
      <x:c r="D229" s="1"/>
      <x:c r="E229" s="1"/>
      <x:c r="F229" s="1"/>
      <x:c r="G229" s="1"/>
      <x:c r="H229" s="1"/>
      <x:c r="I229" s="1"/>
      <x:c r="J229" s="1"/>
      <x:c r="K229" s="1"/>
      <x:c r="L229" s="1"/>
      <x:c r="M229" s="1"/>
      <x:c r="N229" s="1"/>
      <x:c r="O229" s="1"/>
      <x:c r="P229" s="1"/>
      <x:c r="Q229" s="1"/>
      <x:c r="R229" s="1"/>
      <x:c r="S229" s="1"/>
      <x:c r="T229" s="1"/>
      <x:c r="U229" s="1"/>
      <x:c r="V229" s="1"/>
      <x:c r="W229" s="1"/>
      <x:c r="X229" s="1"/>
      <x:c r="Y229" s="1"/>
      <x:c r="Z229" s="1"/>
    </x:row>
    <x:row r="230">
      <x:c r="A230" s="1"/>
      <x:c r="B230" s="1"/>
      <x:c r="C230" s="1"/>
      <x:c r="D230" s="1"/>
      <x:c r="E230" s="1"/>
      <x:c r="F230" s="1"/>
      <x:c r="G230" s="1"/>
      <x:c r="H230" s="1"/>
      <x:c r="I230" s="1"/>
      <x:c r="J230" s="1"/>
      <x:c r="K230" s="1"/>
      <x:c r="L230" s="1"/>
      <x:c r="M230" s="1"/>
      <x:c r="N230" s="1"/>
      <x:c r="O230" s="1"/>
      <x:c r="P230" s="1"/>
      <x:c r="Q230" s="1"/>
      <x:c r="R230" s="1"/>
      <x:c r="S230" s="1"/>
      <x:c r="T230" s="1"/>
      <x:c r="U230" s="1"/>
      <x:c r="V230" s="1"/>
      <x:c r="W230" s="1"/>
      <x:c r="X230" s="1"/>
      <x:c r="Y230" s="1"/>
      <x:c r="Z230" s="1"/>
    </x:row>
    <x:row r="231">
      <x:c r="A231" s="1"/>
      <x:c r="B231" s="1"/>
      <x:c r="C231" s="1"/>
      <x:c r="D231" s="1"/>
      <x:c r="E231" s="1"/>
      <x:c r="F231" s="1"/>
      <x:c r="G231" s="1"/>
      <x:c r="H231" s="1"/>
      <x:c r="I231" s="1"/>
      <x:c r="J231" s="1"/>
      <x:c r="K231" s="1"/>
      <x:c r="L231" s="1"/>
      <x:c r="M231" s="1"/>
      <x:c r="N231" s="1"/>
      <x:c r="O231" s="1"/>
      <x:c r="P231" s="1"/>
      <x:c r="Q231" s="1"/>
      <x:c r="R231" s="1"/>
      <x:c r="S231" s="1"/>
      <x:c r="T231" s="1"/>
      <x:c r="U231" s="1"/>
      <x:c r="V231" s="1"/>
      <x:c r="W231" s="1"/>
      <x:c r="X231" s="1"/>
      <x:c r="Y231" s="1"/>
      <x:c r="Z231" s="1"/>
    </x:row>
    <x:row r="232">
      <x:c r="A232" s="1"/>
      <x:c r="B232" s="1"/>
      <x:c r="C232" s="1"/>
      <x:c r="D232" s="1"/>
      <x:c r="E232" s="1"/>
      <x:c r="F232" s="1"/>
      <x:c r="G232" s="1"/>
      <x:c r="H232" s="1"/>
      <x:c r="I232" s="1"/>
      <x:c r="J232" s="1"/>
      <x:c r="K232" s="1"/>
      <x:c r="L232" s="1"/>
      <x:c r="M232" s="1"/>
      <x:c r="N232" s="1"/>
      <x:c r="O232" s="1"/>
      <x:c r="P232" s="1"/>
      <x:c r="Q232" s="1"/>
      <x:c r="R232" s="1"/>
      <x:c r="S232" s="1"/>
      <x:c r="T232" s="1"/>
      <x:c r="U232" s="1"/>
      <x:c r="V232" s="1"/>
      <x:c r="W232" s="1"/>
      <x:c r="X232" s="1"/>
      <x:c r="Y232" s="1"/>
      <x:c r="Z232" s="1"/>
    </x:row>
    <x:row r="233">
      <x:c r="A233" s="1"/>
      <x:c r="B233" s="1"/>
      <x:c r="C233" s="1"/>
      <x:c r="D233" s="1"/>
      <x:c r="E233" s="1"/>
      <x:c r="F233" s="1"/>
      <x:c r="G233" s="1"/>
      <x:c r="H233" s="1"/>
      <x:c r="I233" s="1"/>
      <x:c r="J233" s="1"/>
      <x:c r="K233" s="1"/>
      <x:c r="L233" s="1"/>
      <x:c r="M233" s="1"/>
      <x:c r="N233" s="1"/>
      <x:c r="O233" s="1"/>
      <x:c r="P233" s="1"/>
      <x:c r="Q233" s="1"/>
      <x:c r="R233" s="1"/>
      <x:c r="S233" s="1"/>
      <x:c r="T233" s="1"/>
      <x:c r="U233" s="1"/>
      <x:c r="V233" s="1"/>
      <x:c r="W233" s="1"/>
      <x:c r="X233" s="1"/>
      <x:c r="Y233" s="1"/>
      <x:c r="Z233" s="1"/>
    </x:row>
    <x:row r="234">
      <x:c r="A234" s="1"/>
      <x:c r="B234" s="1"/>
      <x:c r="C234" s="1"/>
      <x:c r="D234" s="1"/>
      <x:c r="E234" s="1"/>
      <x:c r="F234" s="1"/>
      <x:c r="G234" s="1"/>
      <x:c r="H234" s="1"/>
      <x:c r="I234" s="1"/>
      <x:c r="J234" s="1"/>
      <x:c r="K234" s="1"/>
      <x:c r="L234" s="1"/>
      <x:c r="M234" s="1"/>
      <x:c r="N234" s="1"/>
      <x:c r="O234" s="1"/>
      <x:c r="P234" s="1"/>
      <x:c r="Q234" s="1"/>
      <x:c r="R234" s="1"/>
      <x:c r="S234" s="1"/>
      <x:c r="T234" s="1"/>
      <x:c r="U234" s="1"/>
      <x:c r="V234" s="1"/>
      <x:c r="W234" s="1"/>
      <x:c r="X234" s="1"/>
      <x:c r="Y234" s="1"/>
      <x:c r="Z234" s="1"/>
    </x:row>
    <x:row r="235">
      <x:c r="A235" s="1"/>
      <x:c r="B235" s="1"/>
      <x:c r="C235" s="1"/>
      <x:c r="D235" s="1"/>
      <x:c r="E235" s="1"/>
      <x:c r="F235" s="1"/>
      <x:c r="G235" s="1"/>
      <x:c r="H235" s="1"/>
      <x:c r="I235" s="1"/>
      <x:c r="J235" s="1"/>
      <x:c r="K235" s="1"/>
      <x:c r="L235" s="1"/>
      <x:c r="M235" s="1"/>
      <x:c r="N235" s="1"/>
      <x:c r="O235" s="1"/>
      <x:c r="P235" s="1"/>
      <x:c r="Q235" s="1"/>
      <x:c r="R235" s="1"/>
      <x:c r="S235" s="1"/>
      <x:c r="T235" s="1"/>
      <x:c r="U235" s="1"/>
      <x:c r="V235" s="1"/>
      <x:c r="W235" s="1"/>
      <x:c r="X235" s="1"/>
      <x:c r="Y235" s="1"/>
      <x:c r="Z235" s="1"/>
    </x:row>
    <x:row r="236">
      <x:c r="A236" s="1"/>
      <x:c r="B236" s="1"/>
      <x:c r="C236" s="1"/>
      <x:c r="D236" s="1"/>
      <x:c r="E236" s="1"/>
      <x:c r="F236" s="1"/>
      <x:c r="G236" s="1"/>
      <x:c r="H236" s="1"/>
      <x:c r="I236" s="1"/>
      <x:c r="J236" s="1"/>
      <x:c r="K236" s="1"/>
      <x:c r="L236" s="1"/>
      <x:c r="M236" s="1"/>
      <x:c r="N236" s="1"/>
      <x:c r="O236" s="1"/>
      <x:c r="P236" s="1"/>
      <x:c r="Q236" s="1"/>
      <x:c r="R236" s="1"/>
      <x:c r="S236" s="1"/>
      <x:c r="T236" s="1"/>
      <x:c r="U236" s="1"/>
      <x:c r="V236" s="1"/>
      <x:c r="W236" s="1"/>
      <x:c r="X236" s="1"/>
      <x:c r="Y236" s="1"/>
      <x:c r="Z236" s="1"/>
    </x:row>
    <x:row r="237">
      <x:c r="A237" s="1"/>
      <x:c r="B237" s="1"/>
      <x:c r="C237" s="1"/>
      <x:c r="D237" s="1"/>
      <x:c r="E237" s="1"/>
      <x:c r="F237" s="1"/>
      <x:c r="G237" s="1"/>
      <x:c r="H237" s="1"/>
      <x:c r="I237" s="1"/>
      <x:c r="J237" s="1"/>
      <x:c r="K237" s="1"/>
      <x:c r="L237" s="1"/>
      <x:c r="M237" s="1"/>
      <x:c r="N237" s="1"/>
      <x:c r="O237" s="1"/>
      <x:c r="P237" s="1"/>
      <x:c r="Q237" s="1"/>
      <x:c r="R237" s="1"/>
      <x:c r="S237" s="1"/>
      <x:c r="T237" s="1"/>
      <x:c r="U237" s="1"/>
      <x:c r="V237" s="1"/>
      <x:c r="W237" s="1"/>
      <x:c r="X237" s="1"/>
      <x:c r="Y237" s="1"/>
      <x:c r="Z237" s="1"/>
    </x:row>
    <x:row r="238">
      <x:c r="A238" s="1"/>
      <x:c r="B238" s="1"/>
      <x:c r="C238" s="1"/>
      <x:c r="D238" s="1"/>
      <x:c r="E238" s="1"/>
      <x:c r="F238" s="1"/>
      <x:c r="G238" s="1"/>
      <x:c r="H238" s="1"/>
      <x:c r="I238" s="1"/>
      <x:c r="J238" s="1"/>
      <x:c r="K238" s="1"/>
      <x:c r="L238" s="1"/>
      <x:c r="M238" s="1"/>
      <x:c r="N238" s="1"/>
      <x:c r="O238" s="1"/>
      <x:c r="P238" s="1"/>
      <x:c r="Q238" s="1"/>
      <x:c r="R238" s="1"/>
      <x:c r="S238" s="1"/>
      <x:c r="T238" s="1"/>
      <x:c r="U238" s="1"/>
      <x:c r="V238" s="1"/>
      <x:c r="W238" s="1"/>
      <x:c r="X238" s="1"/>
      <x:c r="Y238" s="1"/>
      <x:c r="Z238" s="1"/>
    </x:row>
    <x:row r="239">
      <x:c r="A239" s="1"/>
      <x:c r="B239" s="1"/>
      <x:c r="C239" s="1"/>
      <x:c r="D239" s="1"/>
      <x:c r="E239" s="1"/>
      <x:c r="F239" s="1"/>
      <x:c r="G239" s="1"/>
      <x:c r="H239" s="1"/>
      <x:c r="I239" s="1"/>
      <x:c r="J239" s="1"/>
      <x:c r="K239" s="1"/>
      <x:c r="L239" s="1"/>
      <x:c r="M239" s="1"/>
      <x:c r="N239" s="1"/>
      <x:c r="O239" s="1"/>
      <x:c r="P239" s="1"/>
      <x:c r="Q239" s="1"/>
      <x:c r="R239" s="1"/>
      <x:c r="S239" s="1"/>
      <x:c r="T239" s="1"/>
      <x:c r="U239" s="1"/>
      <x:c r="V239" s="1"/>
      <x:c r="W239" s="1"/>
      <x:c r="X239" s="1"/>
      <x:c r="Y239" s="1"/>
      <x:c r="Z239" s="1"/>
    </x:row>
    <x:row r="240">
      <x:c r="A240" s="1"/>
      <x:c r="B240" s="1"/>
      <x:c r="C240" s="1"/>
      <x:c r="D240" s="1"/>
      <x:c r="E240" s="1"/>
      <x:c r="F240" s="1"/>
      <x:c r="G240" s="1"/>
      <x:c r="H240" s="1"/>
      <x:c r="I240" s="1"/>
      <x:c r="J240" s="1"/>
      <x:c r="K240" s="1"/>
      <x:c r="L240" s="1"/>
      <x:c r="M240" s="1"/>
      <x:c r="N240" s="1"/>
      <x:c r="O240" s="1"/>
      <x:c r="P240" s="1"/>
      <x:c r="Q240" s="1"/>
      <x:c r="R240" s="1"/>
      <x:c r="S240" s="1"/>
      <x:c r="T240" s="1"/>
      <x:c r="U240" s="1"/>
      <x:c r="V240" s="1"/>
      <x:c r="W240" s="1"/>
      <x:c r="X240" s="1"/>
      <x:c r="Y240" s="1"/>
      <x:c r="Z240" s="1"/>
    </x:row>
    <x:row r="241">
      <x:c r="A241" s="1"/>
      <x:c r="B241" s="1"/>
      <x:c r="C241" s="1"/>
      <x:c r="D241" s="1"/>
      <x:c r="E241" s="1"/>
      <x:c r="F241" s="1"/>
      <x:c r="G241" s="1"/>
      <x:c r="H241" s="1"/>
      <x:c r="I241" s="1"/>
      <x:c r="J241" s="1"/>
      <x:c r="K241" s="1"/>
      <x:c r="L241" s="1"/>
      <x:c r="M241" s="1"/>
      <x:c r="N241" s="1"/>
      <x:c r="O241" s="1"/>
      <x:c r="P241" s="1"/>
      <x:c r="Q241" s="1"/>
      <x:c r="R241" s="1"/>
      <x:c r="S241" s="1"/>
      <x:c r="T241" s="1"/>
      <x:c r="U241" s="1"/>
      <x:c r="V241" s="1"/>
      <x:c r="W241" s="1"/>
      <x:c r="X241" s="1"/>
      <x:c r="Y241" s="1"/>
      <x:c r="Z241" s="1"/>
    </x:row>
    <x:row r="242">
      <x:c r="A242" s="1"/>
      <x:c r="B242" s="1"/>
      <x:c r="C242" s="1"/>
      <x:c r="D242" s="1"/>
      <x:c r="E242" s="1"/>
      <x:c r="F242" s="1"/>
      <x:c r="G242" s="1"/>
      <x:c r="H242" s="1"/>
      <x:c r="I242" s="1"/>
      <x:c r="J242" s="1"/>
      <x:c r="K242" s="1"/>
      <x:c r="L242" s="1"/>
      <x:c r="M242" s="1"/>
      <x:c r="N242" s="1"/>
      <x:c r="O242" s="1"/>
      <x:c r="P242" s="1"/>
      <x:c r="Q242" s="1"/>
      <x:c r="R242" s="1"/>
      <x:c r="S242" s="1"/>
      <x:c r="T242" s="1"/>
      <x:c r="U242" s="1"/>
      <x:c r="V242" s="1"/>
      <x:c r="W242" s="1"/>
      <x:c r="X242" s="1"/>
      <x:c r="Y242" s="1"/>
      <x:c r="Z242" s="1"/>
    </x:row>
    <x:row r="243">
      <x:c r="A243" s="1"/>
      <x:c r="B243" s="1"/>
      <x:c r="C243" s="1"/>
      <x:c r="D243" s="1"/>
      <x:c r="E243" s="1"/>
      <x:c r="F243" s="1"/>
      <x:c r="G243" s="1"/>
      <x:c r="H243" s="1"/>
      <x:c r="I243" s="1"/>
      <x:c r="J243" s="1"/>
      <x:c r="K243" s="1"/>
      <x:c r="L243" s="1"/>
      <x:c r="M243" s="1"/>
      <x:c r="N243" s="1"/>
      <x:c r="O243" s="1"/>
      <x:c r="P243" s="1"/>
      <x:c r="Q243" s="1"/>
      <x:c r="R243" s="1"/>
      <x:c r="S243" s="1"/>
      <x:c r="T243" s="1"/>
      <x:c r="U243" s="1"/>
      <x:c r="V243" s="1"/>
      <x:c r="W243" s="1"/>
      <x:c r="X243" s="1"/>
      <x:c r="Y243" s="1"/>
      <x:c r="Z243" s="1"/>
    </x:row>
    <x:row r="244">
      <x:c r="A244" s="1"/>
      <x:c r="B244" s="1"/>
      <x:c r="C244" s="1"/>
      <x:c r="D244" s="1"/>
      <x:c r="E244" s="1"/>
      <x:c r="F244" s="1"/>
      <x:c r="G244" s="1"/>
      <x:c r="H244" s="1"/>
      <x:c r="I244" s="1"/>
      <x:c r="J244" s="1"/>
      <x:c r="K244" s="1"/>
      <x:c r="L244" s="1"/>
      <x:c r="M244" s="1"/>
      <x:c r="N244" s="1"/>
      <x:c r="O244" s="1"/>
      <x:c r="P244" s="1"/>
      <x:c r="Q244" s="1"/>
      <x:c r="R244" s="1"/>
      <x:c r="S244" s="1"/>
      <x:c r="T244" s="1"/>
      <x:c r="U244" s="1"/>
      <x:c r="V244" s="1"/>
      <x:c r="W244" s="1"/>
      <x:c r="X244" s="1"/>
      <x:c r="Y244" s="1"/>
      <x:c r="Z244" s="1"/>
    </x:row>
    <x:row r="245">
      <x:c r="A245" s="1"/>
      <x:c r="B245" s="1"/>
      <x:c r="C245" s="1"/>
      <x:c r="D245" s="1"/>
      <x:c r="E245" s="1"/>
      <x:c r="F245" s="1"/>
      <x:c r="G245" s="1"/>
      <x:c r="H245" s="1"/>
      <x:c r="I245" s="1"/>
      <x:c r="J245" s="1"/>
      <x:c r="K245" s="1"/>
      <x:c r="L245" s="1"/>
      <x:c r="M245" s="1"/>
      <x:c r="N245" s="1"/>
      <x:c r="O245" s="1"/>
      <x:c r="P245" s="1"/>
      <x:c r="Q245" s="1"/>
      <x:c r="R245" s="1"/>
      <x:c r="S245" s="1"/>
      <x:c r="T245" s="1"/>
      <x:c r="U245" s="1"/>
      <x:c r="V245" s="1"/>
      <x:c r="W245" s="1"/>
      <x:c r="X245" s="1"/>
      <x:c r="Y245" s="1"/>
      <x:c r="Z245" s="1"/>
    </x:row>
    <x:row r="246">
      <x:c r="A246" s="1"/>
      <x:c r="B246" s="1"/>
      <x:c r="C246" s="1"/>
      <x:c r="D246" s="1"/>
      <x:c r="E246" s="1"/>
      <x:c r="F246" s="1"/>
      <x:c r="G246" s="1"/>
      <x:c r="H246" s="1"/>
      <x:c r="I246" s="1"/>
      <x:c r="J246" s="1"/>
      <x:c r="K246" s="1"/>
      <x:c r="L246" s="1"/>
      <x:c r="M246" s="1"/>
      <x:c r="N246" s="1"/>
      <x:c r="O246" s="1"/>
      <x:c r="P246" s="1"/>
      <x:c r="Q246" s="1"/>
      <x:c r="R246" s="1"/>
      <x:c r="S246" s="1"/>
      <x:c r="T246" s="1"/>
      <x:c r="U246" s="1"/>
      <x:c r="V246" s="1"/>
      <x:c r="W246" s="1"/>
      <x:c r="X246" s="1"/>
      <x:c r="Y246" s="1"/>
      <x:c r="Z246" s="1"/>
    </x:row>
    <x:row r="247">
      <x:c r="A247" s="1"/>
      <x:c r="B247" s="1"/>
      <x:c r="C247" s="1"/>
      <x:c r="D247" s="1"/>
      <x:c r="E247" s="1"/>
      <x:c r="F247" s="1"/>
      <x:c r="G247" s="1"/>
      <x:c r="H247" s="1"/>
      <x:c r="I247" s="1"/>
      <x:c r="J247" s="1"/>
      <x:c r="K247" s="1"/>
      <x:c r="L247" s="1"/>
      <x:c r="M247" s="1"/>
      <x:c r="N247" s="1"/>
      <x:c r="O247" s="1"/>
      <x:c r="P247" s="1"/>
      <x:c r="Q247" s="1"/>
      <x:c r="R247" s="1"/>
      <x:c r="S247" s="1"/>
      <x:c r="T247" s="1"/>
      <x:c r="U247" s="1"/>
      <x:c r="V247" s="1"/>
      <x:c r="W247" s="1"/>
      <x:c r="X247" s="1"/>
      <x:c r="Y247" s="1"/>
      <x:c r="Z247" s="1"/>
    </x:row>
    <x:row r="248">
      <x:c r="A248" s="1"/>
      <x:c r="B248" s="1"/>
      <x:c r="C248" s="1"/>
      <x:c r="D248" s="1"/>
      <x:c r="E248" s="1"/>
      <x:c r="F248" s="1"/>
      <x:c r="G248" s="1"/>
      <x:c r="H248" s="1"/>
      <x:c r="I248" s="1"/>
      <x:c r="J248" s="1"/>
      <x:c r="K248" s="1"/>
      <x:c r="L248" s="1"/>
      <x:c r="M248" s="1"/>
      <x:c r="N248" s="1"/>
      <x:c r="O248" s="1"/>
      <x:c r="P248" s="1"/>
      <x:c r="Q248" s="1"/>
      <x:c r="R248" s="1"/>
      <x:c r="S248" s="1"/>
      <x:c r="T248" s="1"/>
      <x:c r="U248" s="1"/>
      <x:c r="V248" s="1"/>
      <x:c r="W248" s="1"/>
      <x:c r="X248" s="1"/>
      <x:c r="Y248" s="1"/>
      <x:c r="Z248" s="1"/>
    </x:row>
    <x:row r="249">
      <x:c r="A249" s="1"/>
      <x:c r="B249" s="1"/>
      <x:c r="C249" s="1"/>
      <x:c r="D249" s="1"/>
      <x:c r="E249" s="1"/>
      <x:c r="F249" s="1"/>
      <x:c r="G249" s="1"/>
      <x:c r="H249" s="1"/>
      <x:c r="I249" s="1"/>
      <x:c r="J249" s="1"/>
      <x:c r="K249" s="1"/>
      <x:c r="L249" s="1"/>
      <x:c r="M249" s="1"/>
      <x:c r="N249" s="1"/>
      <x:c r="O249" s="1"/>
      <x:c r="P249" s="1"/>
      <x:c r="Q249" s="1"/>
      <x:c r="R249" s="1"/>
      <x:c r="S249" s="1"/>
      <x:c r="T249" s="1"/>
      <x:c r="U249" s="1"/>
      <x:c r="V249" s="1"/>
      <x:c r="W249" s="1"/>
      <x:c r="X249" s="1"/>
      <x:c r="Y249" s="1"/>
      <x:c r="Z249" s="1"/>
    </x:row>
    <x:row r="250">
      <x:c r="A250" s="1"/>
      <x:c r="B250" s="1"/>
      <x:c r="C250" s="1"/>
      <x:c r="D250" s="1"/>
      <x:c r="E250" s="1"/>
      <x:c r="F250" s="1"/>
      <x:c r="G250" s="1"/>
      <x:c r="H250" s="1"/>
      <x:c r="I250" s="1"/>
      <x:c r="J250" s="1"/>
      <x:c r="K250" s="1"/>
      <x:c r="L250" s="1"/>
      <x:c r="M250" s="1"/>
      <x:c r="N250" s="1"/>
      <x:c r="O250" s="1"/>
      <x:c r="P250" s="1"/>
      <x:c r="Q250" s="1"/>
      <x:c r="R250" s="1"/>
      <x:c r="S250" s="1"/>
      <x:c r="T250" s="1"/>
      <x:c r="U250" s="1"/>
      <x:c r="V250" s="1"/>
      <x:c r="W250" s="1"/>
      <x:c r="X250" s="1"/>
      <x:c r="Y250" s="1"/>
      <x:c r="Z250" s="1"/>
    </x:row>
    <x:row r="251">
      <x:c r="A251" s="1"/>
      <x:c r="B251" s="1"/>
      <x:c r="C251" s="1"/>
      <x:c r="D251" s="1"/>
      <x:c r="E251" s="1"/>
      <x:c r="F251" s="1"/>
      <x:c r="G251" s="1"/>
      <x:c r="H251" s="1"/>
      <x:c r="I251" s="1"/>
      <x:c r="J251" s="1"/>
      <x:c r="K251" s="1"/>
      <x:c r="L251" s="1"/>
      <x:c r="M251" s="1"/>
      <x:c r="N251" s="1"/>
      <x:c r="O251" s="1"/>
      <x:c r="P251" s="1"/>
      <x:c r="Q251" s="1"/>
      <x:c r="R251" s="1"/>
      <x:c r="S251" s="1"/>
      <x:c r="T251" s="1"/>
      <x:c r="U251" s="1"/>
      <x:c r="V251" s="1"/>
      <x:c r="W251" s="1"/>
      <x:c r="X251" s="1"/>
      <x:c r="Y251" s="1"/>
      <x:c r="Z251" s="1"/>
    </x:row>
    <x:row r="252">
      <x:c r="A252" s="1"/>
      <x:c r="B252" s="1"/>
      <x:c r="C252" s="1"/>
      <x:c r="D252" s="1"/>
      <x:c r="E252" s="1"/>
      <x:c r="F252" s="1"/>
      <x:c r="G252" s="1"/>
      <x:c r="H252" s="1"/>
      <x:c r="I252" s="1"/>
      <x:c r="J252" s="1"/>
      <x:c r="K252" s="1"/>
      <x:c r="L252" s="1"/>
      <x:c r="M252" s="1"/>
      <x:c r="N252" s="1"/>
      <x:c r="O252" s="1"/>
      <x:c r="P252" s="1"/>
      <x:c r="Q252" s="1"/>
      <x:c r="R252" s="1"/>
      <x:c r="S252" s="1"/>
      <x:c r="T252" s="1"/>
      <x:c r="U252" s="1"/>
      <x:c r="V252" s="1"/>
      <x:c r="W252" s="1"/>
      <x:c r="X252" s="1"/>
      <x:c r="Y252" s="1"/>
      <x:c r="Z252" s="1"/>
    </x:row>
    <x:row r="253">
      <x:c r="A253" s="1"/>
      <x:c r="B253" s="1"/>
      <x:c r="C253" s="1"/>
      <x:c r="D253" s="1"/>
      <x:c r="E253" s="1"/>
      <x:c r="F253" s="1"/>
      <x:c r="G253" s="1"/>
      <x:c r="H253" s="1"/>
      <x:c r="I253" s="1"/>
      <x:c r="J253" s="1"/>
      <x:c r="K253" s="1"/>
      <x:c r="L253" s="1"/>
      <x:c r="M253" s="1"/>
      <x:c r="N253" s="1"/>
      <x:c r="O253" s="1"/>
      <x:c r="P253" s="1"/>
      <x:c r="Q253" s="1"/>
      <x:c r="R253" s="1"/>
      <x:c r="S253" s="1"/>
      <x:c r="T253" s="1"/>
      <x:c r="U253" s="1"/>
      <x:c r="V253" s="1"/>
      <x:c r="W253" s="1"/>
      <x:c r="X253" s="1"/>
      <x:c r="Y253" s="1"/>
      <x:c r="Z253" s="1"/>
    </x:row>
    <x:row r="254">
      <x:c r="A254" s="1"/>
      <x:c r="B254" s="1"/>
      <x:c r="C254" s="1"/>
      <x:c r="D254" s="1"/>
      <x:c r="E254" s="1"/>
      <x:c r="F254" s="1"/>
      <x:c r="G254" s="1"/>
      <x:c r="H254" s="1"/>
      <x:c r="I254" s="1"/>
      <x:c r="J254" s="1"/>
      <x:c r="K254" s="1"/>
      <x:c r="L254" s="1"/>
      <x:c r="M254" s="1"/>
      <x:c r="N254" s="1"/>
      <x:c r="O254" s="1"/>
      <x:c r="P254" s="1"/>
      <x:c r="Q254" s="1"/>
      <x:c r="R254" s="1"/>
      <x:c r="S254" s="1"/>
      <x:c r="T254" s="1"/>
      <x:c r="U254" s="1"/>
      <x:c r="V254" s="1"/>
      <x:c r="W254" s="1"/>
      <x:c r="X254" s="1"/>
      <x:c r="Y254" s="1"/>
      <x:c r="Z254" s="1"/>
    </x:row>
    <x:row r="255">
      <x:c r="A255" s="1"/>
      <x:c r="B255" s="1"/>
      <x:c r="C255" s="1"/>
      <x:c r="D255" s="1"/>
      <x:c r="E255" s="1"/>
      <x:c r="F255" s="1"/>
      <x:c r="G255" s="1"/>
      <x:c r="H255" s="1"/>
      <x:c r="I255" s="1"/>
      <x:c r="J255" s="1"/>
      <x:c r="K255" s="1"/>
      <x:c r="L255" s="1"/>
      <x:c r="M255" s="1"/>
      <x:c r="N255" s="1"/>
      <x:c r="O255" s="1"/>
      <x:c r="P255" s="1"/>
      <x:c r="Q255" s="1"/>
      <x:c r="R255" s="1"/>
      <x:c r="S255" s="1"/>
      <x:c r="T255" s="1"/>
      <x:c r="U255" s="1"/>
      <x:c r="V255" s="1"/>
      <x:c r="W255" s="1"/>
      <x:c r="X255" s="1"/>
      <x:c r="Y255" s="1"/>
      <x:c r="Z255" s="1"/>
    </x:row>
    <x:row r="256">
      <x:c r="A256" s="1"/>
      <x:c r="B256" s="1"/>
      <x:c r="C256" s="1"/>
      <x:c r="D256" s="1"/>
      <x:c r="E256" s="1"/>
      <x:c r="F256" s="1"/>
      <x:c r="G256" s="1"/>
      <x:c r="H256" s="1"/>
      <x:c r="I256" s="1"/>
      <x:c r="J256" s="1"/>
      <x:c r="K256" s="1"/>
      <x:c r="L256" s="1"/>
      <x:c r="M256" s="1"/>
      <x:c r="N256" s="1"/>
      <x:c r="O256" s="1"/>
      <x:c r="P256" s="1"/>
      <x:c r="Q256" s="1"/>
      <x:c r="R256" s="1"/>
      <x:c r="S256" s="1"/>
      <x:c r="T256" s="1"/>
      <x:c r="U256" s="1"/>
      <x:c r="V256" s="1"/>
      <x:c r="W256" s="1"/>
      <x:c r="X256" s="1"/>
      <x:c r="Y256" s="1"/>
      <x:c r="Z256" s="1"/>
    </x:row>
    <x:row r="257">
      <x:c r="A257" s="1"/>
      <x:c r="B257" s="1"/>
      <x:c r="C257" s="1"/>
      <x:c r="D257" s="1"/>
      <x:c r="E257" s="1"/>
      <x:c r="F257" s="1"/>
      <x:c r="G257" s="1"/>
      <x:c r="H257" s="1"/>
      <x:c r="I257" s="1"/>
      <x:c r="J257" s="1"/>
      <x:c r="K257" s="1"/>
      <x:c r="L257" s="1"/>
      <x:c r="M257" s="1"/>
      <x:c r="N257" s="1"/>
      <x:c r="O257" s="1"/>
      <x:c r="P257" s="1"/>
      <x:c r="Q257" s="1"/>
      <x:c r="R257" s="1"/>
      <x:c r="S257" s="1"/>
      <x:c r="T257" s="1"/>
      <x:c r="U257" s="1"/>
      <x:c r="V257" s="1"/>
      <x:c r="W257" s="1"/>
      <x:c r="X257" s="1"/>
      <x:c r="Y257" s="1"/>
      <x:c r="Z257" s="1"/>
    </x:row>
    <x:row r="258">
      <x:c r="A258" s="1"/>
      <x:c r="B258" s="1"/>
      <x:c r="C258" s="1"/>
      <x:c r="D258" s="1"/>
      <x:c r="E258" s="1"/>
      <x:c r="F258" s="1"/>
      <x:c r="G258" s="1"/>
      <x:c r="H258" s="1"/>
      <x:c r="I258" s="1"/>
      <x:c r="J258" s="1"/>
      <x:c r="K258" s="1"/>
      <x:c r="L258" s="1"/>
      <x:c r="M258" s="1"/>
      <x:c r="N258" s="1"/>
      <x:c r="O258" s="1"/>
      <x:c r="P258" s="1"/>
      <x:c r="Q258" s="1"/>
      <x:c r="R258" s="1"/>
      <x:c r="S258" s="1"/>
      <x:c r="T258" s="1"/>
      <x:c r="U258" s="1"/>
      <x:c r="V258" s="1"/>
      <x:c r="W258" s="1"/>
      <x:c r="X258" s="1"/>
      <x:c r="Y258" s="1"/>
      <x:c r="Z258" s="1"/>
    </x:row>
    <x:row r="259">
      <x:c r="A259" s="1"/>
      <x:c r="B259" s="1"/>
      <x:c r="C259" s="1"/>
      <x:c r="D259" s="1"/>
      <x:c r="E259" s="1"/>
      <x:c r="F259" s="1"/>
      <x:c r="G259" s="1"/>
      <x:c r="H259" s="1"/>
      <x:c r="I259" s="1"/>
      <x:c r="J259" s="1"/>
      <x:c r="K259" s="1"/>
      <x:c r="L259" s="1"/>
      <x:c r="M259" s="1"/>
      <x:c r="N259" s="1"/>
      <x:c r="O259" s="1"/>
      <x:c r="P259" s="1"/>
      <x:c r="Q259" s="1"/>
      <x:c r="R259" s="1"/>
      <x:c r="S259" s="1"/>
      <x:c r="T259" s="1"/>
      <x:c r="U259" s="1"/>
      <x:c r="V259" s="1"/>
      <x:c r="W259" s="1"/>
      <x:c r="X259" s="1"/>
      <x:c r="Y259" s="1"/>
      <x:c r="Z259" s="1"/>
    </x:row>
    <x:row r="260">
      <x:c r="A260" s="1"/>
      <x:c r="B260" s="1"/>
      <x:c r="C260" s="1"/>
      <x:c r="D260" s="1"/>
      <x:c r="E260" s="1"/>
      <x:c r="F260" s="1"/>
      <x:c r="G260" s="1"/>
      <x:c r="H260" s="1"/>
      <x:c r="I260" s="1"/>
      <x:c r="J260" s="1"/>
      <x:c r="K260" s="1"/>
      <x:c r="L260" s="1"/>
      <x:c r="M260" s="1"/>
      <x:c r="N260" s="1"/>
      <x:c r="O260" s="1"/>
      <x:c r="P260" s="1"/>
      <x:c r="Q260" s="1"/>
      <x:c r="R260" s="1"/>
      <x:c r="S260" s="1"/>
      <x:c r="T260" s="1"/>
      <x:c r="U260" s="1"/>
      <x:c r="V260" s="1"/>
      <x:c r="W260" s="1"/>
      <x:c r="X260" s="1"/>
      <x:c r="Y260" s="1"/>
      <x:c r="Z260" s="1"/>
    </x:row>
    <x:row r="261">
      <x:c r="A261" s="1"/>
      <x:c r="B261" s="1"/>
      <x:c r="C261" s="1"/>
      <x:c r="D261" s="1"/>
      <x:c r="E261" s="1"/>
      <x:c r="F261" s="1"/>
      <x:c r="G261" s="1"/>
      <x:c r="H261" s="1"/>
      <x:c r="I261" s="1"/>
      <x:c r="J261" s="1"/>
      <x:c r="K261" s="1"/>
      <x:c r="L261" s="1"/>
      <x:c r="M261" s="1"/>
      <x:c r="N261" s="1"/>
      <x:c r="O261" s="1"/>
      <x:c r="P261" s="1"/>
      <x:c r="Q261" s="1"/>
      <x:c r="R261" s="1"/>
      <x:c r="S261" s="1"/>
      <x:c r="T261" s="1"/>
      <x:c r="U261" s="1"/>
      <x:c r="V261" s="1"/>
      <x:c r="W261" s="1"/>
      <x:c r="X261" s="1"/>
      <x:c r="Y261" s="1"/>
      <x:c r="Z261" s="1"/>
    </x:row>
    <x:row r="262">
      <x:c r="A262" s="1"/>
      <x:c r="B262" s="1"/>
      <x:c r="C262" s="1"/>
      <x:c r="D262" s="1"/>
      <x:c r="E262" s="1"/>
      <x:c r="F262" s="1"/>
      <x:c r="G262" s="1"/>
      <x:c r="H262" s="1"/>
      <x:c r="I262" s="1"/>
      <x:c r="J262" s="1"/>
      <x:c r="K262" s="1"/>
      <x:c r="L262" s="1"/>
      <x:c r="M262" s="1"/>
      <x:c r="N262" s="1"/>
      <x:c r="O262" s="1"/>
      <x:c r="P262" s="1"/>
      <x:c r="Q262" s="1"/>
      <x:c r="R262" s="1"/>
      <x:c r="S262" s="1"/>
      <x:c r="T262" s="1"/>
      <x:c r="U262" s="1"/>
      <x:c r="V262" s="1"/>
      <x:c r="W262" s="1"/>
      <x:c r="X262" s="1"/>
      <x:c r="Y262" s="1"/>
      <x:c r="Z262" s="1"/>
    </x:row>
    <x:row r="263">
      <x:c r="A263" s="1"/>
      <x:c r="B263" s="1"/>
      <x:c r="C263" s="1"/>
      <x:c r="D263" s="1"/>
      <x:c r="E263" s="1"/>
      <x:c r="F263" s="1"/>
      <x:c r="G263" s="1"/>
      <x:c r="H263" s="1"/>
      <x:c r="I263" s="1"/>
      <x:c r="J263" s="1"/>
      <x:c r="K263" s="1"/>
      <x:c r="L263" s="1"/>
      <x:c r="M263" s="1"/>
      <x:c r="N263" s="1"/>
      <x:c r="O263" s="1"/>
      <x:c r="P263" s="1"/>
      <x:c r="Q263" s="1"/>
      <x:c r="R263" s="1"/>
      <x:c r="S263" s="1"/>
      <x:c r="T263" s="1"/>
      <x:c r="U263" s="1"/>
      <x:c r="V263" s="1"/>
      <x:c r="W263" s="1"/>
      <x:c r="X263" s="1"/>
      <x:c r="Y263" s="1"/>
      <x:c r="Z263" s="1"/>
    </x:row>
    <x:row r="264">
      <x:c r="A264" s="1"/>
      <x:c r="B264" s="1"/>
      <x:c r="C264" s="1"/>
      <x:c r="D264" s="1"/>
      <x:c r="E264" s="1"/>
      <x:c r="F264" s="1"/>
      <x:c r="G264" s="1"/>
      <x:c r="H264" s="1"/>
      <x:c r="I264" s="1"/>
      <x:c r="J264" s="1"/>
      <x:c r="K264" s="1"/>
      <x:c r="L264" s="1"/>
      <x:c r="M264" s="1"/>
      <x:c r="N264" s="1"/>
      <x:c r="O264" s="1"/>
      <x:c r="P264" s="1"/>
      <x:c r="Q264" s="1"/>
      <x:c r="R264" s="1"/>
      <x:c r="S264" s="1"/>
      <x:c r="T264" s="1"/>
      <x:c r="U264" s="1"/>
      <x:c r="V264" s="1"/>
      <x:c r="W264" s="1"/>
      <x:c r="X264" s="1"/>
      <x:c r="Y264" s="1"/>
      <x:c r="Z264" s="1"/>
    </x:row>
    <x:row r="265">
      <x:c r="A265" s="1"/>
      <x:c r="B265" s="1"/>
      <x:c r="C265" s="1"/>
      <x:c r="D265" s="1"/>
      <x:c r="E265" s="1"/>
      <x:c r="F265" s="1"/>
      <x:c r="G265" s="1"/>
      <x:c r="H265" s="1"/>
      <x:c r="I265" s="1"/>
      <x:c r="J265" s="1"/>
      <x:c r="K265" s="1"/>
      <x:c r="L265" s="1"/>
      <x:c r="M265" s="1"/>
      <x:c r="N265" s="1"/>
      <x:c r="O265" s="1"/>
      <x:c r="P265" s="1"/>
      <x:c r="Q265" s="1"/>
      <x:c r="R265" s="1"/>
      <x:c r="S265" s="1"/>
      <x:c r="T265" s="1"/>
      <x:c r="U265" s="1"/>
      <x:c r="V265" s="1"/>
      <x:c r="W265" s="1"/>
      <x:c r="X265" s="1"/>
      <x:c r="Y265" s="1"/>
      <x:c r="Z265" s="1"/>
    </x:row>
    <x:row r="266">
      <x:c r="A266" s="1"/>
      <x:c r="B266" s="1"/>
      <x:c r="C266" s="1"/>
      <x:c r="D266" s="1"/>
      <x:c r="E266" s="1"/>
      <x:c r="F266" s="1"/>
      <x:c r="G266" s="1"/>
      <x:c r="H266" s="1"/>
      <x:c r="I266" s="1"/>
      <x:c r="J266" s="1"/>
      <x:c r="K266" s="1"/>
      <x:c r="L266" s="1"/>
      <x:c r="M266" s="1"/>
      <x:c r="N266" s="1"/>
      <x:c r="O266" s="1"/>
      <x:c r="P266" s="1"/>
      <x:c r="Q266" s="1"/>
      <x:c r="R266" s="1"/>
      <x:c r="S266" s="1"/>
      <x:c r="T266" s="1"/>
      <x:c r="U266" s="1"/>
      <x:c r="V266" s="1"/>
      <x:c r="W266" s="1"/>
      <x:c r="X266" s="1"/>
      <x:c r="Y266" s="1"/>
      <x:c r="Z266" s="1"/>
    </x:row>
    <x:row r="267">
      <x:c r="A267" s="1"/>
      <x:c r="B267" s="1"/>
      <x:c r="C267" s="1"/>
      <x:c r="D267" s="1"/>
      <x:c r="E267" s="1"/>
      <x:c r="F267" s="1"/>
      <x:c r="G267" s="1"/>
      <x:c r="H267" s="1"/>
      <x:c r="I267" s="1"/>
      <x:c r="J267" s="1"/>
      <x:c r="K267" s="1"/>
      <x:c r="L267" s="1"/>
      <x:c r="M267" s="1"/>
      <x:c r="N267" s="1"/>
      <x:c r="O267" s="1"/>
      <x:c r="P267" s="1"/>
      <x:c r="Q267" s="1"/>
      <x:c r="R267" s="1"/>
      <x:c r="S267" s="1"/>
      <x:c r="T267" s="1"/>
      <x:c r="U267" s="1"/>
      <x:c r="V267" s="1"/>
      <x:c r="W267" s="1"/>
      <x:c r="X267" s="1"/>
      <x:c r="Y267" s="1"/>
      <x:c r="Z267" s="1"/>
    </x:row>
    <x:row r="268">
      <x:c r="A268" s="1"/>
      <x:c r="B268" s="1"/>
      <x:c r="C268" s="1"/>
      <x:c r="D268" s="1"/>
      <x:c r="E268" s="1"/>
      <x:c r="F268" s="1"/>
      <x:c r="G268" s="1"/>
      <x:c r="H268" s="1"/>
      <x:c r="I268" s="1"/>
      <x:c r="J268" s="1"/>
      <x:c r="K268" s="1"/>
      <x:c r="L268" s="1"/>
      <x:c r="M268" s="1"/>
      <x:c r="N268" s="1"/>
      <x:c r="O268" s="1"/>
      <x:c r="P268" s="1"/>
      <x:c r="Q268" s="1"/>
      <x:c r="R268" s="1"/>
      <x:c r="S268" s="1"/>
      <x:c r="T268" s="1"/>
      <x:c r="U268" s="1"/>
      <x:c r="V268" s="1"/>
      <x:c r="W268" s="1"/>
      <x:c r="X268" s="1"/>
      <x:c r="Y268" s="1"/>
      <x:c r="Z268" s="1"/>
    </x:row>
    <x:row r="269">
      <x:c r="A269" s="1"/>
      <x:c r="B269" s="1"/>
      <x:c r="C269" s="1"/>
      <x:c r="D269" s="1"/>
      <x:c r="E269" s="1"/>
      <x:c r="F269" s="1"/>
      <x:c r="G269" s="1"/>
      <x:c r="H269" s="1"/>
      <x:c r="I269" s="1"/>
      <x:c r="J269" s="1"/>
      <x:c r="K269" s="1"/>
      <x:c r="L269" s="1"/>
      <x:c r="M269" s="1"/>
      <x:c r="N269" s="1"/>
      <x:c r="O269" s="1"/>
      <x:c r="P269" s="1"/>
      <x:c r="Q269" s="1"/>
      <x:c r="R269" s="1"/>
      <x:c r="S269" s="1"/>
      <x:c r="T269" s="1"/>
      <x:c r="U269" s="1"/>
      <x:c r="V269" s="1"/>
      <x:c r="W269" s="1"/>
      <x:c r="X269" s="1"/>
      <x:c r="Y269" s="1"/>
      <x:c r="Z269" s="1"/>
    </x:row>
    <x:row r="270">
      <x:c r="A270" s="1"/>
      <x:c r="B270" s="1"/>
      <x:c r="C270" s="1"/>
      <x:c r="D270" s="1"/>
      <x:c r="E270" s="1"/>
      <x:c r="F270" s="1"/>
      <x:c r="G270" s="1"/>
      <x:c r="H270" s="1"/>
      <x:c r="I270" s="1"/>
      <x:c r="J270" s="1"/>
      <x:c r="K270" s="1"/>
      <x:c r="L270" s="1"/>
      <x:c r="M270" s="1"/>
      <x:c r="N270" s="1"/>
      <x:c r="O270" s="1"/>
      <x:c r="P270" s="1"/>
      <x:c r="Q270" s="1"/>
      <x:c r="R270" s="1"/>
      <x:c r="S270" s="1"/>
      <x:c r="T270" s="1"/>
      <x:c r="U270" s="1"/>
      <x:c r="V270" s="1"/>
      <x:c r="W270" s="1"/>
      <x:c r="X270" s="1"/>
      <x:c r="Y270" s="1"/>
      <x:c r="Z270" s="1"/>
    </x:row>
    <x:row r="271">
      <x:c r="A271" s="1"/>
      <x:c r="B271" s="1"/>
      <x:c r="C271" s="1"/>
      <x:c r="D271" s="1"/>
      <x:c r="E271" s="1"/>
      <x:c r="F271" s="1"/>
      <x:c r="G271" s="1"/>
      <x:c r="H271" s="1"/>
      <x:c r="I271" s="1"/>
      <x:c r="J271" s="1"/>
      <x:c r="K271" s="1"/>
      <x:c r="L271" s="1"/>
      <x:c r="M271" s="1"/>
      <x:c r="N271" s="1"/>
      <x:c r="O271" s="1"/>
      <x:c r="P271" s="1"/>
      <x:c r="Q271" s="1"/>
      <x:c r="R271" s="1"/>
      <x:c r="S271" s="1"/>
      <x:c r="T271" s="1"/>
      <x:c r="U271" s="1"/>
      <x:c r="V271" s="1"/>
      <x:c r="W271" s="1"/>
      <x:c r="X271" s="1"/>
      <x:c r="Y271" s="1"/>
      <x:c r="Z271" s="1"/>
    </x:row>
    <x:row r="272">
      <x:c r="A272" s="1"/>
      <x:c r="B272" s="1"/>
      <x:c r="C272" s="1"/>
      <x:c r="D272" s="1"/>
      <x:c r="E272" s="1"/>
      <x:c r="F272" s="1"/>
      <x:c r="G272" s="1"/>
      <x:c r="H272" s="1"/>
      <x:c r="I272" s="1"/>
      <x:c r="J272" s="1"/>
      <x:c r="K272" s="1"/>
      <x:c r="L272" s="1"/>
      <x:c r="M272" s="1"/>
      <x:c r="N272" s="1"/>
      <x:c r="O272" s="1"/>
      <x:c r="P272" s="1"/>
      <x:c r="Q272" s="1"/>
      <x:c r="R272" s="1"/>
      <x:c r="S272" s="1"/>
      <x:c r="T272" s="1"/>
      <x:c r="U272" s="1"/>
      <x:c r="V272" s="1"/>
      <x:c r="W272" s="1"/>
      <x:c r="X272" s="1"/>
      <x:c r="Y272" s="1"/>
      <x:c r="Z272" s="1"/>
    </x:row>
    <x:row r="273">
      <x:c r="A273" s="1"/>
      <x:c r="B273" s="1"/>
      <x:c r="C273" s="1"/>
      <x:c r="D273" s="1"/>
      <x:c r="E273" s="1"/>
      <x:c r="F273" s="1"/>
      <x:c r="G273" s="1"/>
      <x:c r="H273" s="1"/>
      <x:c r="I273" s="1"/>
      <x:c r="J273" s="1"/>
      <x:c r="K273" s="1"/>
      <x:c r="L273" s="1"/>
      <x:c r="M273" s="1"/>
      <x:c r="N273" s="1"/>
      <x:c r="O273" s="1"/>
      <x:c r="P273" s="1"/>
      <x:c r="Q273" s="1"/>
      <x:c r="R273" s="1"/>
      <x:c r="S273" s="1"/>
      <x:c r="T273" s="1"/>
      <x:c r="U273" s="1"/>
      <x:c r="V273" s="1"/>
      <x:c r="W273" s="1"/>
      <x:c r="X273" s="1"/>
      <x:c r="Y273" s="1"/>
      <x:c r="Z273" s="1"/>
    </x:row>
    <x:row r="274">
      <x:c r="A274" s="1"/>
      <x:c r="B274" s="1"/>
      <x:c r="C274" s="1"/>
      <x:c r="D274" s="1"/>
      <x:c r="E274" s="1"/>
      <x:c r="F274" s="1"/>
      <x:c r="G274" s="1"/>
      <x:c r="H274" s="1"/>
      <x:c r="I274" s="1"/>
      <x:c r="J274" s="1"/>
      <x:c r="K274" s="1"/>
      <x:c r="L274" s="1"/>
      <x:c r="M274" s="1"/>
      <x:c r="N274" s="1"/>
      <x:c r="O274" s="1"/>
      <x:c r="P274" s="1"/>
      <x:c r="Q274" s="1"/>
      <x:c r="R274" s="1"/>
      <x:c r="S274" s="1"/>
      <x:c r="T274" s="1"/>
      <x:c r="U274" s="1"/>
      <x:c r="V274" s="1"/>
      <x:c r="W274" s="1"/>
      <x:c r="X274" s="1"/>
      <x:c r="Y274" s="1"/>
      <x:c r="Z274" s="1"/>
    </x:row>
    <x:row r="275">
      <x:c r="A275" s="1"/>
      <x:c r="B275" s="1"/>
      <x:c r="C275" s="1"/>
      <x:c r="D275" s="1"/>
      <x:c r="E275" s="1"/>
      <x:c r="F275" s="1"/>
      <x:c r="G275" s="1"/>
      <x:c r="H275" s="1"/>
      <x:c r="I275" s="1"/>
      <x:c r="J275" s="1"/>
      <x:c r="K275" s="1"/>
      <x:c r="L275" s="1"/>
      <x:c r="M275" s="1"/>
      <x:c r="N275" s="1"/>
      <x:c r="O275" s="1"/>
      <x:c r="P275" s="1"/>
      <x:c r="Q275" s="1"/>
      <x:c r="R275" s="1"/>
      <x:c r="S275" s="1"/>
      <x:c r="T275" s="1"/>
      <x:c r="U275" s="1"/>
      <x:c r="V275" s="1"/>
      <x:c r="W275" s="1"/>
      <x:c r="X275" s="1"/>
      <x:c r="Y275" s="1"/>
      <x:c r="Z275" s="1"/>
    </x:row>
    <x:row r="276">
      <x:c r="A276" s="1"/>
      <x:c r="B276" s="1"/>
      <x:c r="C276" s="1"/>
      <x:c r="D276" s="1"/>
      <x:c r="E276" s="1"/>
      <x:c r="F276" s="1"/>
      <x:c r="G276" s="1"/>
      <x:c r="H276" s="1"/>
      <x:c r="I276" s="1"/>
      <x:c r="J276" s="1"/>
      <x:c r="K276" s="1"/>
      <x:c r="L276" s="1"/>
      <x:c r="M276" s="1"/>
      <x:c r="N276" s="1"/>
      <x:c r="O276" s="1"/>
      <x:c r="P276" s="1"/>
      <x:c r="Q276" s="1"/>
      <x:c r="R276" s="1"/>
      <x:c r="S276" s="1"/>
      <x:c r="T276" s="1"/>
      <x:c r="U276" s="1"/>
      <x:c r="V276" s="1"/>
      <x:c r="W276" s="1"/>
      <x:c r="X276" s="1"/>
      <x:c r="Y276" s="1"/>
      <x:c r="Z276" s="1"/>
    </x:row>
    <x:row r="277">
      <x:c r="A277" s="1"/>
      <x:c r="B277" s="1"/>
      <x:c r="C277" s="1"/>
      <x:c r="D277" s="1"/>
      <x:c r="E277" s="1"/>
      <x:c r="F277" s="1"/>
      <x:c r="G277" s="1"/>
      <x:c r="H277" s="1"/>
      <x:c r="I277" s="1"/>
      <x:c r="J277" s="1"/>
      <x:c r="K277" s="1"/>
      <x:c r="L277" s="1"/>
      <x:c r="M277" s="1"/>
      <x:c r="N277" s="1"/>
      <x:c r="O277" s="1"/>
      <x:c r="P277" s="1"/>
      <x:c r="Q277" s="1"/>
      <x:c r="R277" s="1"/>
      <x:c r="S277" s="1"/>
      <x:c r="T277" s="1"/>
      <x:c r="U277" s="1"/>
      <x:c r="V277" s="1"/>
      <x:c r="W277" s="1"/>
      <x:c r="X277" s="1"/>
      <x:c r="Y277" s="1"/>
      <x:c r="Z277" s="1"/>
    </x:row>
    <x:row r="278">
      <x:c r="A278" s="1"/>
      <x:c r="B278" s="1"/>
      <x:c r="C278" s="1"/>
      <x:c r="D278" s="1"/>
      <x:c r="E278" s="1"/>
      <x:c r="F278" s="1"/>
      <x:c r="G278" s="1"/>
      <x:c r="H278" s="1"/>
      <x:c r="I278" s="1"/>
      <x:c r="J278" s="1"/>
      <x:c r="K278" s="1"/>
      <x:c r="L278" s="1"/>
      <x:c r="M278" s="1"/>
      <x:c r="N278" s="1"/>
      <x:c r="O278" s="1"/>
      <x:c r="P278" s="1"/>
      <x:c r="Q278" s="1"/>
      <x:c r="R278" s="1"/>
      <x:c r="S278" s="1"/>
      <x:c r="T278" s="1"/>
      <x:c r="U278" s="1"/>
      <x:c r="V278" s="1"/>
      <x:c r="W278" s="1"/>
      <x:c r="X278" s="1"/>
      <x:c r="Y278" s="1"/>
      <x:c r="Z278" s="1"/>
    </x:row>
    <x:row r="279">
      <x:c r="A279" s="1"/>
      <x:c r="B279" s="1"/>
      <x:c r="C279" s="1"/>
      <x:c r="D279" s="1"/>
      <x:c r="E279" s="1"/>
      <x:c r="F279" s="1"/>
      <x:c r="G279" s="1"/>
      <x:c r="H279" s="1"/>
      <x:c r="I279" s="1"/>
      <x:c r="J279" s="1"/>
      <x:c r="K279" s="1"/>
      <x:c r="L279" s="1"/>
      <x:c r="M279" s="1"/>
      <x:c r="N279" s="1"/>
      <x:c r="O279" s="1"/>
      <x:c r="P279" s="1"/>
      <x:c r="Q279" s="1"/>
      <x:c r="R279" s="1"/>
      <x:c r="S279" s="1"/>
      <x:c r="T279" s="1"/>
      <x:c r="U279" s="1"/>
      <x:c r="V279" s="1"/>
      <x:c r="W279" s="1"/>
      <x:c r="X279" s="1"/>
      <x:c r="Y279" s="1"/>
      <x:c r="Z279" s="1"/>
    </x:row>
    <x:row r="280">
      <x:c r="A280" s="1"/>
      <x:c r="B280" s="1"/>
      <x:c r="C280" s="1"/>
      <x:c r="D280" s="1"/>
      <x:c r="E280" s="1"/>
      <x:c r="F280" s="1"/>
      <x:c r="G280" s="1"/>
      <x:c r="H280" s="1"/>
      <x:c r="I280" s="1"/>
      <x:c r="J280" s="1"/>
      <x:c r="K280" s="1"/>
      <x:c r="L280" s="1"/>
      <x:c r="M280" s="1"/>
      <x:c r="N280" s="1"/>
      <x:c r="O280" s="1"/>
      <x:c r="P280" s="1"/>
      <x:c r="Q280" s="1"/>
      <x:c r="R280" s="1"/>
      <x:c r="S280" s="1"/>
      <x:c r="T280" s="1"/>
      <x:c r="U280" s="1"/>
      <x:c r="V280" s="1"/>
      <x:c r="W280" s="1"/>
      <x:c r="X280" s="1"/>
      <x:c r="Y280" s="1"/>
      <x:c r="Z280" s="1"/>
    </x:row>
    <x:row r="281">
      <x:c r="A281" s="1"/>
      <x:c r="B281" s="1"/>
      <x:c r="C281" s="1"/>
      <x:c r="D281" s="1"/>
      <x:c r="E281" s="1"/>
      <x:c r="F281" s="1"/>
      <x:c r="G281" s="1"/>
      <x:c r="H281" s="1"/>
      <x:c r="I281" s="1"/>
      <x:c r="J281" s="1"/>
      <x:c r="K281" s="1"/>
      <x:c r="L281" s="1"/>
      <x:c r="M281" s="1"/>
      <x:c r="N281" s="1"/>
      <x:c r="O281" s="1"/>
      <x:c r="P281" s="1"/>
      <x:c r="Q281" s="1"/>
      <x:c r="R281" s="1"/>
      <x:c r="S281" s="1"/>
      <x:c r="T281" s="1"/>
      <x:c r="U281" s="1"/>
      <x:c r="V281" s="1"/>
      <x:c r="W281" s="1"/>
      <x:c r="X281" s="1"/>
      <x:c r="Y281" s="1"/>
      <x:c r="Z281" s="1"/>
    </x:row>
    <x:row r="282">
      <x:c r="A282" s="1"/>
      <x:c r="B282" s="1"/>
      <x:c r="C282" s="1"/>
      <x:c r="D282" s="1"/>
      <x:c r="E282" s="1"/>
      <x:c r="F282" s="1"/>
      <x:c r="G282" s="1"/>
      <x:c r="H282" s="1"/>
      <x:c r="I282" s="1"/>
      <x:c r="J282" s="1"/>
      <x:c r="K282" s="1"/>
      <x:c r="L282" s="1"/>
      <x:c r="M282" s="1"/>
      <x:c r="N282" s="1"/>
      <x:c r="O282" s="1"/>
      <x:c r="P282" s="1"/>
      <x:c r="Q282" s="1"/>
      <x:c r="R282" s="1"/>
      <x:c r="S282" s="1"/>
      <x:c r="T282" s="1"/>
      <x:c r="U282" s="1"/>
      <x:c r="V282" s="1"/>
      <x:c r="W282" s="1"/>
      <x:c r="X282" s="1"/>
      <x:c r="Y282" s="1"/>
      <x:c r="Z282" s="1"/>
    </x:row>
    <x:row r="283">
      <x:c r="A283" s="1"/>
      <x:c r="B283" s="1"/>
      <x:c r="C283" s="1"/>
      <x:c r="D283" s="1"/>
      <x:c r="E283" s="1"/>
      <x:c r="F283" s="1"/>
      <x:c r="G283" s="1"/>
      <x:c r="H283" s="1"/>
      <x:c r="I283" s="1"/>
      <x:c r="J283" s="1"/>
      <x:c r="K283" s="1"/>
      <x:c r="L283" s="1"/>
      <x:c r="M283" s="1"/>
      <x:c r="N283" s="1"/>
      <x:c r="O283" s="1"/>
      <x:c r="P283" s="1"/>
      <x:c r="Q283" s="1"/>
      <x:c r="R283" s="1"/>
      <x:c r="S283" s="1"/>
      <x:c r="T283" s="1"/>
      <x:c r="U283" s="1"/>
      <x:c r="V283" s="1"/>
      <x:c r="W283" s="1"/>
      <x:c r="X283" s="1"/>
      <x:c r="Y283" s="1"/>
      <x:c r="Z283" s="1"/>
    </x:row>
    <x:row r="284">
      <x:c r="A284" s="1"/>
      <x:c r="B284" s="1"/>
      <x:c r="C284" s="1"/>
      <x:c r="D284" s="1"/>
      <x:c r="E284" s="1"/>
      <x:c r="F284" s="1"/>
      <x:c r="G284" s="1"/>
      <x:c r="H284" s="1"/>
      <x:c r="I284" s="1"/>
      <x:c r="J284" s="1"/>
      <x:c r="K284" s="1"/>
      <x:c r="L284" s="1"/>
      <x:c r="M284" s="1"/>
      <x:c r="N284" s="1"/>
      <x:c r="O284" s="1"/>
      <x:c r="P284" s="1"/>
      <x:c r="Q284" s="1"/>
      <x:c r="R284" s="1"/>
      <x:c r="S284" s="1"/>
      <x:c r="T284" s="1"/>
      <x:c r="U284" s="1"/>
      <x:c r="V284" s="1"/>
      <x:c r="W284" s="1"/>
      <x:c r="X284" s="1"/>
      <x:c r="Y284" s="1"/>
      <x:c r="Z284" s="1"/>
    </x:row>
    <x:row r="285">
      <x:c r="A285" s="1"/>
      <x:c r="B285" s="1"/>
      <x:c r="C285" s="1"/>
      <x:c r="D285" s="1"/>
      <x:c r="E285" s="1"/>
      <x:c r="F285" s="1"/>
      <x:c r="G285" s="1"/>
      <x:c r="H285" s="1"/>
      <x:c r="I285" s="1"/>
      <x:c r="J285" s="1"/>
      <x:c r="K285" s="1"/>
      <x:c r="L285" s="1"/>
      <x:c r="M285" s="1"/>
      <x:c r="N285" s="1"/>
      <x:c r="O285" s="1"/>
      <x:c r="P285" s="1"/>
      <x:c r="Q285" s="1"/>
      <x:c r="R285" s="1"/>
      <x:c r="S285" s="1"/>
      <x:c r="T285" s="1"/>
      <x:c r="U285" s="1"/>
      <x:c r="V285" s="1"/>
      <x:c r="W285" s="1"/>
      <x:c r="X285" s="1"/>
      <x:c r="Y285" s="1"/>
      <x:c r="Z285" s="1"/>
    </x:row>
    <x:row r="286">
      <x:c r="A286" s="1"/>
      <x:c r="B286" s="1"/>
      <x:c r="C286" s="1"/>
      <x:c r="D286" s="1"/>
      <x:c r="E286" s="1"/>
      <x:c r="F286" s="1"/>
      <x:c r="G286" s="1"/>
      <x:c r="H286" s="1"/>
      <x:c r="I286" s="1"/>
      <x:c r="J286" s="1"/>
      <x:c r="K286" s="1"/>
      <x:c r="L286" s="1"/>
      <x:c r="M286" s="1"/>
      <x:c r="N286" s="1"/>
      <x:c r="O286" s="1"/>
      <x:c r="P286" s="1"/>
      <x:c r="Q286" s="1"/>
      <x:c r="R286" s="1"/>
      <x:c r="S286" s="1"/>
      <x:c r="T286" s="1"/>
      <x:c r="U286" s="1"/>
      <x:c r="V286" s="1"/>
      <x:c r="W286" s="1"/>
      <x:c r="X286" s="1"/>
      <x:c r="Y286" s="1"/>
      <x:c r="Z286" s="1"/>
    </x:row>
    <x:row r="287">
      <x:c r="A287" s="1"/>
      <x:c r="B287" s="1"/>
      <x:c r="C287" s="1"/>
      <x:c r="D287" s="1"/>
      <x:c r="E287" s="1"/>
      <x:c r="F287" s="1"/>
      <x:c r="G287" s="1"/>
      <x:c r="H287" s="1"/>
      <x:c r="I287" s="1"/>
      <x:c r="J287" s="1"/>
      <x:c r="K287" s="1"/>
      <x:c r="L287" s="1"/>
      <x:c r="M287" s="1"/>
      <x:c r="N287" s="1"/>
      <x:c r="O287" s="1"/>
      <x:c r="P287" s="1"/>
      <x:c r="Q287" s="1"/>
      <x:c r="R287" s="1"/>
      <x:c r="S287" s="1"/>
      <x:c r="T287" s="1"/>
      <x:c r="U287" s="1"/>
      <x:c r="V287" s="1"/>
      <x:c r="W287" s="1"/>
      <x:c r="X287" s="1"/>
      <x:c r="Y287" s="1"/>
      <x:c r="Z287" s="1"/>
    </x:row>
    <x:row r="288">
      <x:c r="A288" s="1"/>
      <x:c r="B288" s="1"/>
      <x:c r="C288" s="1"/>
      <x:c r="D288" s="1"/>
      <x:c r="E288" s="1"/>
      <x:c r="F288" s="1"/>
      <x:c r="G288" s="1"/>
      <x:c r="H288" s="1"/>
      <x:c r="I288" s="1"/>
      <x:c r="J288" s="1"/>
      <x:c r="K288" s="1"/>
      <x:c r="L288" s="1"/>
      <x:c r="M288" s="1"/>
      <x:c r="N288" s="1"/>
      <x:c r="O288" s="1"/>
      <x:c r="P288" s="1"/>
      <x:c r="Q288" s="1"/>
      <x:c r="R288" s="1"/>
      <x:c r="S288" s="1"/>
      <x:c r="T288" s="1"/>
      <x:c r="U288" s="1"/>
      <x:c r="V288" s="1"/>
      <x:c r="W288" s="1"/>
      <x:c r="X288" s="1"/>
      <x:c r="Y288" s="1"/>
      <x:c r="Z288" s="1"/>
    </x:row>
    <x:row r="289">
      <x:c r="A289" s="1"/>
      <x:c r="B289" s="1"/>
      <x:c r="C289" s="1"/>
      <x:c r="D289" s="1"/>
      <x:c r="E289" s="1"/>
      <x:c r="F289" s="1"/>
      <x:c r="G289" s="1"/>
      <x:c r="H289" s="1"/>
      <x:c r="I289" s="1"/>
      <x:c r="J289" s="1"/>
      <x:c r="K289" s="1"/>
      <x:c r="L289" s="1"/>
      <x:c r="M289" s="1"/>
      <x:c r="N289" s="1"/>
      <x:c r="O289" s="1"/>
      <x:c r="P289" s="1"/>
      <x:c r="Q289" s="1"/>
      <x:c r="R289" s="1"/>
      <x:c r="S289" s="1"/>
      <x:c r="T289" s="1"/>
      <x:c r="U289" s="1"/>
      <x:c r="V289" s="1"/>
      <x:c r="W289" s="1"/>
      <x:c r="X289" s="1"/>
      <x:c r="Y289" s="1"/>
      <x:c r="Z289" s="1"/>
    </x:row>
    <x:row r="290">
      <x:c r="A290" s="1"/>
      <x:c r="B290" s="1"/>
      <x:c r="C290" s="1"/>
      <x:c r="D290" s="1"/>
      <x:c r="E290" s="1"/>
      <x:c r="F290" s="1"/>
      <x:c r="G290" s="1"/>
      <x:c r="H290" s="1"/>
      <x:c r="I290" s="1"/>
      <x:c r="J290" s="1"/>
      <x:c r="K290" s="1"/>
      <x:c r="L290" s="1"/>
      <x:c r="M290" s="1"/>
      <x:c r="N290" s="1"/>
      <x:c r="O290" s="1"/>
      <x:c r="P290" s="1"/>
      <x:c r="Q290" s="1"/>
      <x:c r="R290" s="1"/>
      <x:c r="S290" s="1"/>
      <x:c r="T290" s="1"/>
      <x:c r="U290" s="1"/>
      <x:c r="V290" s="1"/>
      <x:c r="W290" s="1"/>
      <x:c r="X290" s="1"/>
      <x:c r="Y290" s="1"/>
      <x:c r="Z290" s="1"/>
    </x:row>
    <x:row r="291">
      <x:c r="A291" s="1"/>
      <x:c r="B291" s="1"/>
      <x:c r="C291" s="1"/>
      <x:c r="D291" s="1"/>
      <x:c r="E291" s="1"/>
      <x:c r="F291" s="1"/>
      <x:c r="G291" s="1"/>
      <x:c r="H291" s="1"/>
      <x:c r="I291" s="1"/>
      <x:c r="J291" s="1"/>
      <x:c r="K291" s="1"/>
      <x:c r="L291" s="1"/>
      <x:c r="M291" s="1"/>
      <x:c r="N291" s="1"/>
      <x:c r="O291" s="1"/>
      <x:c r="P291" s="1"/>
      <x:c r="Q291" s="1"/>
      <x:c r="R291" s="1"/>
      <x:c r="S291" s="1"/>
      <x:c r="T291" s="1"/>
      <x:c r="U291" s="1"/>
      <x:c r="V291" s="1"/>
      <x:c r="W291" s="1"/>
      <x:c r="X291" s="1"/>
      <x:c r="Y291" s="1"/>
      <x:c r="Z291" s="1"/>
    </x:row>
    <x:row r="292">
      <x:c r="A292" s="1"/>
      <x:c r="B292" s="1"/>
      <x:c r="C292" s="1"/>
      <x:c r="D292" s="1"/>
      <x:c r="E292" s="1"/>
      <x:c r="F292" s="1"/>
      <x:c r="G292" s="1"/>
      <x:c r="H292" s="1"/>
      <x:c r="I292" s="1"/>
      <x:c r="J292" s="1"/>
      <x:c r="K292" s="1"/>
      <x:c r="L292" s="1"/>
      <x:c r="M292" s="1"/>
      <x:c r="N292" s="1"/>
      <x:c r="O292" s="1"/>
      <x:c r="P292" s="1"/>
      <x:c r="Q292" s="1"/>
      <x:c r="R292" s="1"/>
      <x:c r="S292" s="1"/>
      <x:c r="T292" s="1"/>
      <x:c r="U292" s="1"/>
      <x:c r="V292" s="1"/>
      <x:c r="W292" s="1"/>
      <x:c r="X292" s="1"/>
      <x:c r="Y292" s="1"/>
      <x:c r="Z292" s="1"/>
    </x:row>
    <x:row r="293">
      <x:c r="A293" s="1"/>
      <x:c r="B293" s="1"/>
      <x:c r="C293" s="1"/>
      <x:c r="D293" s="1"/>
      <x:c r="E293" s="1"/>
      <x:c r="F293" s="1"/>
      <x:c r="G293" s="1"/>
      <x:c r="H293" s="1"/>
      <x:c r="I293" s="1"/>
      <x:c r="J293" s="1"/>
      <x:c r="K293" s="1"/>
      <x:c r="L293" s="1"/>
      <x:c r="M293" s="1"/>
      <x:c r="N293" s="1"/>
      <x:c r="O293" s="1"/>
      <x:c r="P293" s="1"/>
      <x:c r="Q293" s="1"/>
      <x:c r="R293" s="1"/>
      <x:c r="S293" s="1"/>
      <x:c r="T293" s="1"/>
      <x:c r="U293" s="1"/>
      <x:c r="V293" s="1"/>
      <x:c r="W293" s="1"/>
      <x:c r="X293" s="1"/>
      <x:c r="Y293" s="1"/>
      <x:c r="Z293" s="1"/>
    </x:row>
    <x:row r="294">
      <x:c r="A294" s="1"/>
      <x:c r="B294" s="1"/>
      <x:c r="C294" s="1"/>
      <x:c r="D294" s="1"/>
      <x:c r="E294" s="1"/>
      <x:c r="F294" s="1"/>
      <x:c r="G294" s="1"/>
      <x:c r="H294" s="1"/>
      <x:c r="I294" s="1"/>
      <x:c r="J294" s="1"/>
      <x:c r="K294" s="1"/>
      <x:c r="L294" s="1"/>
      <x:c r="M294" s="1"/>
      <x:c r="N294" s="1"/>
      <x:c r="O294" s="1"/>
      <x:c r="P294" s="1"/>
      <x:c r="Q294" s="1"/>
      <x:c r="R294" s="1"/>
      <x:c r="S294" s="1"/>
      <x:c r="T294" s="1"/>
      <x:c r="U294" s="1"/>
      <x:c r="V294" s="1"/>
      <x:c r="W294" s="1"/>
      <x:c r="X294" s="1"/>
      <x:c r="Y294" s="1"/>
      <x:c r="Z294" s="1"/>
    </x:row>
    <x:row r="295">
      <x:c r="A295" s="1"/>
      <x:c r="B295" s="1"/>
      <x:c r="C295" s="1"/>
      <x:c r="D295" s="1"/>
      <x:c r="E295" s="1"/>
      <x:c r="F295" s="1"/>
      <x:c r="G295" s="1"/>
      <x:c r="H295" s="1"/>
      <x:c r="I295" s="1"/>
      <x:c r="J295" s="1"/>
      <x:c r="K295" s="1"/>
      <x:c r="L295" s="1"/>
      <x:c r="M295" s="1"/>
      <x:c r="N295" s="1"/>
      <x:c r="O295" s="1"/>
      <x:c r="P295" s="1"/>
      <x:c r="Q295" s="1"/>
      <x:c r="R295" s="1"/>
      <x:c r="S295" s="1"/>
      <x:c r="T295" s="1"/>
      <x:c r="U295" s="1"/>
      <x:c r="V295" s="1"/>
      <x:c r="W295" s="1"/>
      <x:c r="X295" s="1"/>
      <x:c r="Y295" s="1"/>
      <x:c r="Z295" s="1"/>
    </x:row>
    <x:row r="296">
      <x:c r="A296" s="1"/>
      <x:c r="B296" s="1"/>
      <x:c r="C296" s="1"/>
      <x:c r="D296" s="1"/>
      <x:c r="E296" s="1"/>
      <x:c r="F296" s="1"/>
      <x:c r="G296" s="1"/>
      <x:c r="H296" s="1"/>
      <x:c r="I296" s="1"/>
      <x:c r="J296" s="1"/>
      <x:c r="K296" s="1"/>
      <x:c r="L296" s="1"/>
      <x:c r="M296" s="1"/>
      <x:c r="N296" s="1"/>
      <x:c r="O296" s="1"/>
      <x:c r="P296" s="1"/>
      <x:c r="Q296" s="1"/>
      <x:c r="R296" s="1"/>
      <x:c r="S296" s="1"/>
      <x:c r="T296" s="1"/>
      <x:c r="U296" s="1"/>
      <x:c r="V296" s="1"/>
      <x:c r="W296" s="1"/>
      <x:c r="X296" s="1"/>
      <x:c r="Y296" s="1"/>
      <x:c r="Z296" s="1"/>
    </x:row>
    <x:row r="297">
      <x:c r="A297" s="1"/>
      <x:c r="B297" s="1"/>
      <x:c r="C297" s="1"/>
      <x:c r="D297" s="1"/>
      <x:c r="E297" s="1"/>
      <x:c r="F297" s="1"/>
      <x:c r="G297" s="1"/>
      <x:c r="H297" s="1"/>
      <x:c r="I297" s="1"/>
      <x:c r="J297" s="1"/>
      <x:c r="K297" s="1"/>
      <x:c r="L297" s="1"/>
      <x:c r="M297" s="1"/>
      <x:c r="N297" s="1"/>
      <x:c r="O297" s="1"/>
      <x:c r="P297" s="1"/>
      <x:c r="Q297" s="1"/>
      <x:c r="R297" s="1"/>
      <x:c r="S297" s="1"/>
      <x:c r="T297" s="1"/>
      <x:c r="U297" s="1"/>
      <x:c r="V297" s="1"/>
      <x:c r="W297" s="1"/>
      <x:c r="X297" s="1"/>
      <x:c r="Y297" s="1"/>
      <x:c r="Z297" s="1"/>
    </x:row>
    <x:row r="298">
      <x:c r="A298" s="1"/>
      <x:c r="B298" s="1"/>
      <x:c r="C298" s="1"/>
      <x:c r="D298" s="1"/>
      <x:c r="E298" s="1"/>
      <x:c r="F298" s="1"/>
      <x:c r="G298" s="1"/>
      <x:c r="H298" s="1"/>
      <x:c r="I298" s="1"/>
      <x:c r="J298" s="1"/>
      <x:c r="K298" s="1"/>
      <x:c r="L298" s="1"/>
      <x:c r="M298" s="1"/>
      <x:c r="N298" s="1"/>
      <x:c r="O298" s="1"/>
      <x:c r="P298" s="1"/>
      <x:c r="Q298" s="1"/>
      <x:c r="R298" s="1"/>
      <x:c r="S298" s="1"/>
      <x:c r="T298" s="1"/>
      <x:c r="U298" s="1"/>
      <x:c r="V298" s="1"/>
      <x:c r="W298" s="1"/>
      <x:c r="X298" s="1"/>
      <x:c r="Y298" s="1"/>
      <x:c r="Z298" s="1"/>
    </x:row>
    <x:row r="299">
      <x:c r="A299" s="1"/>
      <x:c r="B299" s="1"/>
      <x:c r="C299" s="1"/>
      <x:c r="D299" s="1"/>
      <x:c r="E299" s="1"/>
      <x:c r="F299" s="1"/>
      <x:c r="G299" s="1"/>
      <x:c r="H299" s="1"/>
      <x:c r="I299" s="1"/>
      <x:c r="J299" s="1"/>
      <x:c r="K299" s="1"/>
      <x:c r="L299" s="1"/>
      <x:c r="M299" s="1"/>
      <x:c r="N299" s="1"/>
      <x:c r="O299" s="1"/>
      <x:c r="P299" s="1"/>
      <x:c r="Q299" s="1"/>
      <x:c r="R299" s="1"/>
      <x:c r="S299" s="1"/>
      <x:c r="T299" s="1"/>
      <x:c r="U299" s="1"/>
      <x:c r="V299" s="1"/>
      <x:c r="W299" s="1"/>
      <x:c r="X299" s="1"/>
      <x:c r="Y299" s="1"/>
      <x:c r="Z299" s="1"/>
    </x:row>
    <x:row r="300">
      <x:c r="A300" s="1"/>
      <x:c r="B300" s="1"/>
      <x:c r="C300" s="1"/>
      <x:c r="D300" s="1"/>
      <x:c r="E300" s="1"/>
      <x:c r="F300" s="1"/>
      <x:c r="G300" s="1"/>
      <x:c r="H300" s="1"/>
      <x:c r="I300" s="1"/>
      <x:c r="J300" s="1"/>
      <x:c r="K300" s="1"/>
      <x:c r="L300" s="1"/>
      <x:c r="M300" s="1"/>
      <x:c r="N300" s="1"/>
      <x:c r="O300" s="1"/>
      <x:c r="P300" s="1"/>
      <x:c r="Q300" s="1"/>
      <x:c r="R300" s="1"/>
      <x:c r="S300" s="1"/>
      <x:c r="T300" s="1"/>
      <x:c r="U300" s="1"/>
      <x:c r="V300" s="1"/>
      <x:c r="W300" s="1"/>
      <x:c r="X300" s="1"/>
      <x:c r="Y300" s="1"/>
      <x:c r="Z300" s="1"/>
    </x:row>
  </x:sheetData>
  <x:mergeCells>
    <x:mergeCell ref="A1:H1"/>
    <x:mergeCell ref="A2:H3"/>
    <x:mergeCell ref="A5:D5"/>
    <x:mergeCell ref="A10:C10"/>
    <x:mergeCell ref="A18:G18"/>
    <x:mergeCell ref="F5:H5"/>
  </x:mergeCells>
  <x:pageMargins left="0.7" right="0.7" top="0.75" bottom="0.75" header="0.3" footer="0.3"/>
  <x:tableParts count="2">
    <x:tablePart xmlns:r="http://schemas.openxmlformats.org/officeDocument/2006/relationships" r:id="R7c56e0f3f88943a4"/>
    <x:tablePart xmlns:r="http://schemas.openxmlformats.org/officeDocument/2006/relationships" r:id="Radf26e327c954656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</x:cols>
  <x:sheetData>
    <x:row r="1" ht="30" customHeight="1">
      <x:c r="A1" s="4" t="str">
        <x:v>Diagnósticos y selección del modelo</x:v>
      </x:c>
      <x:c r="B1" s="4" t="str">
        <x:v>Diagnósticos y selección del modelo</x:v>
      </x:c>
      <x:c r="C1" s="4" t="str">
        <x:v>Diagnósticos y selección del modelo</x:v>
      </x:c>
      <x:c r="D1" s="4" t="str">
        <x:v>Diagnósticos y selección del modelo</x:v>
      </x:c>
      <x:c r="E1" s="4" t="str">
        <x:v>Diagnósticos y selección del modelo</x:v>
      </x:c>
      <x:c r="F1" s="4" t="str">
        <x:v>Diagnósticos y selección del modelo</x:v>
      </x:c>
      <x:c r="G1" s="4" t="str">
        <x:v>Diagnósticos y selección del modelo</x:v>
      </x:c>
      <x:c r="H1" s="4" t="str">
        <x:v>Diagnósticos y selección del modelo</x:v>
      </x:c>
      <x:c r="I1" s="4" t="str">
        <x:v>Diagnósticos y selección del modelo</x:v>
      </x:c>
      <x:c r="J1" s="4" t="str">
        <x:v>Diagnósticos y selección del modelo</x:v>
      </x:c>
      <x:c r="K1" s="4" t="str">
        <x:v>Diagnósticos y selección del modelo</x:v>
      </x:c>
      <x:c r="L1" s="4" t="str">
        <x:v>Diagnósticos y selección del modelo</x:v>
      </x:c>
      <x:c r="M1" s="4" t="str">
        <x:v>Diagnósticos y selección del modelo</x:v>
      </x:c>
      <x:c r="N1" s="4" t="str">
        <x:v>Diagnósticos y selección del modelo</x:v>
      </x:c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 ht="36" customHeight="1">
      <x:c r="A2" s="7" t="str">
        <x:v>Las pruebas se interpretan al 5%. La ausencia de autocorrelación y ARCH respalda la dinámica escogida; la no normalidad de los residuos aconseja mantener inferencia robusta y cautela en episodios extremos.</x:v>
      </x:c>
      <x:c r="B2" s="7" t="str">
        <x:v>Las pruebas se interpretan al 5%. La ausencia de autocorrelación y ARCH respalda la dinámica escogida; la no normalidad de los residuos aconseja mantener inferencia robusta y cautela en episodios extremos.</x:v>
      </x:c>
      <x:c r="C2" s="7" t="str">
        <x:v>Las pruebas se interpretan al 5%. La ausencia de autocorrelación y ARCH respalda la dinámica escogida; la no normalidad de los residuos aconseja mantener inferencia robusta y cautela en episodios extremos.</x:v>
      </x:c>
      <x:c r="D2" s="7" t="str">
        <x:v>Las pruebas se interpretan al 5%. La ausencia de autocorrelación y ARCH respalda la dinámica escogida; la no normalidad de los residuos aconseja mantener inferencia robusta y cautela en episodios extremos.</x:v>
      </x:c>
      <x:c r="E2" s="7" t="str">
        <x:v>Las pruebas se interpretan al 5%. La ausencia de autocorrelación y ARCH respalda la dinámica escogida; la no normalidad de los residuos aconseja mantener inferencia robusta y cautela en episodios extremos.</x:v>
      </x:c>
      <x:c r="F2" s="7" t="str">
        <x:v>Las pruebas se interpretan al 5%. La ausencia de autocorrelación y ARCH respalda la dinámica escogida; la no normalidad de los residuos aconseja mantener inferencia robusta y cautela en episodios extremos.</x:v>
      </x:c>
      <x:c r="G2" s="7" t="str">
        <x:v>Las pruebas se interpretan al 5%. La ausencia de autocorrelación y ARCH respalda la dinámica escogida; la no normalidad de los residuos aconseja mantener inferencia robusta y cautela en episodios extremos.</x:v>
      </x:c>
      <x:c r="H2" s="7" t="str">
        <x:v>Las pruebas se interpretan al 5%. La ausencia de autocorrelación y ARCH respalda la dinámica escogida; la no normalidad de los residuos aconseja mantener inferencia robusta y cautela en episodios extremos.</x:v>
      </x:c>
      <x:c r="I2" s="7" t="str">
        <x:v>Las pruebas se interpretan al 5%. La ausencia de autocorrelación y ARCH respalda la dinámica escogida; la no normalidad de los residuos aconseja mantener inferencia robusta y cautela en episodios extremos.</x:v>
      </x:c>
      <x:c r="J2" s="7" t="str">
        <x:v>Las pruebas se interpretan al 5%. La ausencia de autocorrelación y ARCH respalda la dinámica escogida; la no normalidad de los residuos aconseja mantener inferencia robusta y cautela en episodios extremos.</x:v>
      </x:c>
      <x:c r="K2" s="7" t="str">
        <x:v>Las pruebas se interpretan al 5%. La ausencia de autocorrelación y ARCH respalda la dinámica escogida; la no normalidad de los residuos aconseja mantener inferencia robusta y cautela en episodios extremos.</x:v>
      </x:c>
      <x:c r="L2" s="7" t="str">
        <x:v>Las pruebas se interpretan al 5%. La ausencia de autocorrelación y ARCH respalda la dinámica escogida; la no normalidad de los residuos aconseja mantener inferencia robusta y cautela en episodios extremos.</x:v>
      </x:c>
      <x:c r="M2" s="7" t="str">
        <x:v>Las pruebas se interpretan al 5%. La ausencia de autocorrelación y ARCH respalda la dinámica escogida; la no normalidad de los residuos aconseja mantener inferencia robusta y cautela en episodios extremos.</x:v>
      </x:c>
      <x:c r="N2" s="7" t="str">
        <x:v>Las pruebas se interpretan al 5%. La ausencia de autocorrelación y ARCH respalda la dinámica escogida; la no normalidad de los residuos aconseja mantener inferencia robusta y cautela en episodios extremos.</x:v>
      </x:c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 ht="36" customHeight="1">
      <x:c r="A3" s="7" t="str">
        <x:v>Las pruebas se interpretan al 5%. La ausencia de autocorrelación y ARCH respalda la dinámica escogida; la no normalidad de los residuos aconseja mantener inferencia robusta y cautela en episodios extremos.</x:v>
      </x:c>
      <x:c r="B3" s="7" t="str">
        <x:v>Las pruebas se interpretan al 5%. La ausencia de autocorrelación y ARCH respalda la dinámica escogida; la no normalidad de los residuos aconseja mantener inferencia robusta y cautela en episodios extremos.</x:v>
      </x:c>
      <x:c r="C3" s="7" t="str">
        <x:v>Las pruebas se interpretan al 5%. La ausencia de autocorrelación y ARCH respalda la dinámica escogida; la no normalidad de los residuos aconseja mantener inferencia robusta y cautela en episodios extremos.</x:v>
      </x:c>
      <x:c r="D3" s="7" t="str">
        <x:v>Las pruebas se interpretan al 5%. La ausencia de autocorrelación y ARCH respalda la dinámica escogida; la no normalidad de los residuos aconseja mantener inferencia robusta y cautela en episodios extremos.</x:v>
      </x:c>
      <x:c r="E3" s="7" t="str">
        <x:v>Las pruebas se interpretan al 5%. La ausencia de autocorrelación y ARCH respalda la dinámica escogida; la no normalidad de los residuos aconseja mantener inferencia robusta y cautela en episodios extremos.</x:v>
      </x:c>
      <x:c r="F3" s="7" t="str">
        <x:v>Las pruebas se interpretan al 5%. La ausencia de autocorrelación y ARCH respalda la dinámica escogida; la no normalidad de los residuos aconseja mantener inferencia robusta y cautela en episodios extremos.</x:v>
      </x:c>
      <x:c r="G3" s="7" t="str">
        <x:v>Las pruebas se interpretan al 5%. La ausencia de autocorrelación y ARCH respalda la dinámica escogida; la no normalidad de los residuos aconseja mantener inferencia robusta y cautela en episodios extremos.</x:v>
      </x:c>
      <x:c r="H3" s="7" t="str">
        <x:v>Las pruebas se interpretan al 5%. La ausencia de autocorrelación y ARCH respalda la dinámica escogida; la no normalidad de los residuos aconseja mantener inferencia robusta y cautela en episodios extremos.</x:v>
      </x:c>
      <x:c r="I3" s="7" t="str">
        <x:v>Las pruebas se interpretan al 5%. La ausencia de autocorrelación y ARCH respalda la dinámica escogida; la no normalidad de los residuos aconseja mantener inferencia robusta y cautela en episodios extremos.</x:v>
      </x:c>
      <x:c r="J3" s="7" t="str">
        <x:v>Las pruebas se interpretan al 5%. La ausencia de autocorrelación y ARCH respalda la dinámica escogida; la no normalidad de los residuos aconseja mantener inferencia robusta y cautela en episodios extremos.</x:v>
      </x:c>
      <x:c r="K3" s="7" t="str">
        <x:v>Las pruebas se interpretan al 5%. La ausencia de autocorrelación y ARCH respalda la dinámica escogida; la no normalidad de los residuos aconseja mantener inferencia robusta y cautela en episodios extremos.</x:v>
      </x:c>
      <x:c r="L3" s="7" t="str">
        <x:v>Las pruebas se interpretan al 5%. La ausencia de autocorrelación y ARCH respalda la dinámica escogida; la no normalidad de los residuos aconseja mantener inferencia robusta y cautela en episodios extremos.</x:v>
      </x:c>
      <x:c r="M3" s="7" t="str">
        <x:v>Las pruebas se interpretan al 5%. La ausencia de autocorrelación y ARCH respalda la dinámica escogida; la no normalidad de los residuos aconseja mantener inferencia robusta y cautela en episodios extremos.</x:v>
      </x:c>
      <x:c r="N3" s="7" t="str">
        <x:v>Las pruebas se interpretan al 5%. La ausencia de autocorrelación y ARCH respalda la dinámica escogida; la no normalidad de los residuos aconseja mantener inferencia robusta y cautela en episodios extremos.</x:v>
      </x:c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 ht="22" customHeight="1">
      <x:c r="A5" s="47" t="str">
        <x:v>Diagnósticos del modelo principal</x:v>
      </x:c>
      <x:c r="B5" s="47" t="str">
        <x:v>Diagnósticos del modelo principal</x:v>
      </x:c>
      <x:c r="C5" s="47" t="str">
        <x:v>Diagnósticos del modelo principal</x:v>
      </x:c>
      <x:c r="D5" s="47" t="str">
        <x:v>Diagnósticos del modelo principal</x:v>
      </x:c>
      <x:c r="E5" s="1"/>
      <x:c r="F5" s="47" t="str">
        <x:v>Selección de rezagos de Δln(TRM)</x:v>
      </x:c>
      <x:c r="G5" s="47" t="str">
        <x:v>Selección de rezagos de Δln(TRM)</x:v>
      </x:c>
      <x:c r="H5" s="47" t="str">
        <x:v>Selección de rezagos de Δln(TRM)</x:v>
      </x:c>
      <x:c r="I5" s="47" t="str">
        <x:v>Selección de rezagos de Δln(TRM)</x:v>
      </x:c>
      <x:c r="J5" s="47" t="str">
        <x:v>Criterios de decisión</x:v>
      </x:c>
      <x:c r="K5" s="47" t="str">
        <x:v>Criterios de decisión</x:v>
      </x:c>
      <x:c r="L5" s="47" t="str">
        <x:v>Criterios de decisión</x:v>
      </x:c>
      <x:c r="M5" s="47" t="str">
        <x:v>Criterios de decisión</x:v>
      </x:c>
      <x:c r="N5" s="47" t="str">
        <x:v>Criterios de decisión</x:v>
      </x:c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>
      <x:c r="A6" s="54" t="str">
        <x:v>Prueba</x:v>
      </x:c>
      <x:c r="B6" s="54" t="str">
        <x:v>Estadístico</x:v>
      </x:c>
      <x:c r="C6" s="54" t="str">
        <x:v>p-valor</x:v>
      </x:c>
      <x:c r="D6" s="54" t="str">
        <x:v>Lectura</x:v>
      </x:c>
      <x:c r="E6" s="1"/>
      <x:c r="F6" s="54" t="str">
        <x:v>p</x:v>
      </x:c>
      <x:c r="G6" s="54" t="str">
        <x:v>AIC</x:v>
      </x:c>
      <x:c r="H6" s="54" t="str">
        <x:v>BIC</x:v>
      </x:c>
      <x:c r="I6" s="54" t="str">
        <x:v>R² ajustado</x:v>
      </x:c>
      <x:c r="J6" s="58" t="str">
        <x:v>Elemento</x:v>
      </x:c>
      <x:c r="K6" s="58" t="str">
        <x:v>Criterio</x:v>
      </x:c>
      <x:c r="L6" s="58" t="str">
        <x:v>Resultado</x:v>
      </x:c>
      <x:c r="M6" s="58" t="str">
        <x:v>Implicación</x:v>
      </x:c>
      <x:c r="N6" s="58" t="str">
        <x:v>Acción</x:v>
      </x:c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 ht="38" customHeight="1">
      <x:c r="A7" s="1" t="str">
        <x:v>Ljung-Box (6)</x:v>
      </x:c>
      <x:c r="B7" s="55" t="n">
        <x:v>2.8891454528409346</x:v>
      </x:c>
      <x:c r="C7" s="55" t="n">
        <x:v>0.8226261606620043</x:v>
      </x:c>
      <x:c r="D7" s="1" t="str">
        <x:v>Sin autocorrelación detectada</x:v>
      </x:c>
      <x:c r="E7" s="1"/>
      <x:c r="F7" s="29" t="n">
        <x:v>0</x:v>
      </x:c>
      <x:c r="G7" s="105" t="n">
        <x:v>-1106.246508405773</x:v>
      </x:c>
      <x:c r="H7" s="105" t="n">
        <x:v>-1078.4013970190372</x:v>
      </x:c>
      <x:c r="I7" s="99" t="n">
        <x:v>0.48554953959626557</x:v>
      </x:c>
      <x:c r="J7" s="59" t="str">
        <x:v>BIC</x:v>
      </x:c>
      <x:c r="K7" s="59" t="str">
        <x:v>Mínimo</x:v>
      </x:c>
      <x:c r="L7" s="59" t="str">
        <x:v>p=0</x:v>
      </x:c>
      <x:c r="M7" s="59" t="str">
        <x:v>Modelo parsimonioso</x:v>
      </x:c>
      <x:c r="N7" s="59" t="str">
        <x:v>No agregar rezagos de TRM</x:v>
      </x:c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 ht="38" customHeight="1">
      <x:c r="A8" s="1" t="str">
        <x:v>Ljung-Box (12)</x:v>
      </x:c>
      <x:c r="B8" s="55" t="n">
        <x:v>6.457047806228945</x:v>
      </x:c>
      <x:c r="C8" s="55" t="n">
        <x:v>0.8913147527284209</x:v>
      </x:c>
      <x:c r="D8" s="1" t="str">
        <x:v>Sin autocorrelación detectada</x:v>
      </x:c>
      <x:c r="E8" s="1"/>
      <x:c r="F8" s="1" t="n">
        <x:v>1</x:v>
      </x:c>
      <x:c r="G8" s="80" t="n">
        <x:v>-1104.6689635065554</x:v>
      </x:c>
      <x:c r="H8" s="80" t="n">
        <x:v>-1073.3432131964776</x:v>
      </x:c>
      <x:c r="I8" s="97" t="n">
        <x:v>0.4842311524117333</x:v>
      </x:c>
      <x:c r="J8" s="59" t="str">
        <x:v>Autocorrelación</x:v>
      </x:c>
      <x:c r="K8" s="59" t="str">
        <x:v>p&gt;0,05</x:v>
      </x:c>
      <x:c r="L8" s="59" t="str">
        <x:v>Cumple</x:v>
      </x:c>
      <x:c r="M8" s="59" t="str">
        <x:v>Dinámica adecuada</x:v>
      </x:c>
      <x:c r="N8" s="59" t="str">
        <x:v>Mantener especificación</x:v>
      </x:c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 ht="38" customHeight="1">
      <x:c r="A9" s="1" t="str">
        <x:v>Breusch-Godfrey (12)</x:v>
      </x:c>
      <x:c r="B9" s="55" t="n">
        <x:v>6.2514985788312</x:v>
      </x:c>
      <x:c r="C9" s="55" t="n">
        <x:v>0.9028769240099231</x:v>
      </x:c>
      <x:c r="D9" s="1" t="str">
        <x:v>Sin autocorrelación detectada</x:v>
      </x:c>
      <x:c r="E9" s="1"/>
      <x:c r="F9" s="1" t="n">
        <x:v>2</x:v>
      </x:c>
      <x:c r="G9" s="80" t="n">
        <x:v>-1102.7353119875602</x:v>
      </x:c>
      <x:c r="H9" s="80" t="n">
        <x:v>-1067.9289227541403</x:v>
      </x:c>
      <x:c r="I9" s="97" t="n">
        <x:v>0.4821318646363185</x:v>
      </x:c>
      <x:c r="J9" s="59" t="str">
        <x:v>ARCH</x:v>
      </x:c>
      <x:c r="K9" s="59" t="str">
        <x:v>p&gt;0,05</x:v>
      </x:c>
      <x:c r="L9" s="59" t="str">
        <x:v>Cumple</x:v>
      </x:c>
      <x:c r="M9" s="59" t="str">
        <x:v>Sin ARCH detectado</x:v>
      </x:c>
      <x:c r="N9" s="59" t="str">
        <x:v>Mantener HAC</x:v>
      </x:c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 ht="38" customHeight="1">
      <x:c r="A10" s="1" t="str">
        <x:v>ARCH-LM (12)</x:v>
      </x:c>
      <x:c r="B10" s="55" t="n">
        <x:v>18.06139368344802</x:v>
      </x:c>
      <x:c r="C10" s="55" t="n">
        <x:v>0.11383907381795051</x:v>
      </x:c>
      <x:c r="D10" s="1" t="str">
        <x:v>Sin ARCH detectado</x:v>
      </x:c>
      <x:c r="E10" s="1"/>
      <x:c r="F10" s="1" t="n">
        <x:v>3</x:v>
      </x:c>
      <x:c r="G10" s="80" t="n">
        <x:v>-1100.8051082273637</x:v>
      </x:c>
      <x:c r="H10" s="80" t="n">
        <x:v>-1062.5180800706019</x:v>
      </x:c>
      <x:c r="I10" s="97" t="n">
        <x:v>0.48002167260495787</x:v>
      </x:c>
      <x:c r="J10" s="106" t="str">
        <x:v>Normalidad</x:v>
      </x:c>
      <x:c r="K10" s="106" t="str">
        <x:v>p&gt;0,05</x:v>
      </x:c>
      <x:c r="L10" s="106" t="str">
        <x:v>No cumple</x:v>
      </x:c>
      <x:c r="M10" s="106" t="str">
        <x:v>Colas extremas</x:v>
      </x:c>
      <x:c r="N10" s="106" t="str">
        <x:v>No basar conclusiones en normalidad</x:v>
      </x:c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 ht="38" customHeight="1">
      <x:c r="A11" s="103" t="str">
        <x:v>Jarque-Bera</x:v>
      </x:c>
      <x:c r="B11" s="104" t="n">
        <x:v>20.96792036506518</x:v>
      </x:c>
      <x:c r="C11" s="104" t="n">
        <x:v>0.000027981690216367153</x:v>
      </x:c>
      <x:c r="D11" s="103" t="str">
        <x:v>Residuos no normales</x:v>
      </x:c>
      <x:c r="E11" s="1"/>
      <x:c r="F11" s="1"/>
      <x:c r="G11" s="1"/>
      <x:c r="H11" s="1"/>
      <x:c r="I11" s="1"/>
      <x:c r="J11" s="106" t="str">
        <x:v>Bounds</x:v>
      </x:c>
      <x:c r="K11" s="106" t="str">
        <x:v>p I(1)&lt;0,05</x:v>
      </x:c>
      <x:c r="L11" s="106" t="str">
        <x:v>No cumple</x:v>
      </x:c>
      <x:c r="M11" s="106" t="str">
        <x:v>Sin cointegración firme</x:v>
      </x:c>
      <x:c r="N11" s="106" t="str">
        <x:v>Usar diferencias como modelo principal</x:v>
      </x:c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>
      <x:c r="A12" s="1" t="str">
        <x:v>Ramsey RESET</x:v>
      </x:c>
      <x:c r="B12" s="55" t="n">
        <x:v>0.0696556970685436</x:v>
      </x:c>
      <x:c r="C12" s="55" t="n">
        <x:v>0.79207404238832</x:v>
      </x:c>
      <x:c r="D12" s="1" t="str">
        <x:v>Sin evidencia de mala forma funcional</x:v>
      </x:c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>
      <x:c r="A13" s="1" t="str">
        <x:v>CUSUM estabilidad</x:v>
      </x:c>
      <x:c r="B13" s="55" t="n">
        <x:v>0.9157804260850064</x:v>
      </x:c>
      <x:c r="C13" s="55" t="n">
        <x:v>0.37131425024769577</x:v>
      </x:c>
      <x:c r="D13" s="1" t="str">
        <x:v>Sin inestabilidad detectada</x:v>
      </x:c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>
      <x:c r="A14" s="1" t="str">
        <x:v>Durbin-Watson</x:v>
      </x:c>
      <x:c r="B14" s="55" t="n">
        <x:v>1.924078437093602</x:v>
      </x:c>
      <x:c r="C14" s="55"/>
      <x:c r="D14" s="1" t="str">
        <x:v>Cercano a 2</x:v>
      </x:c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 ht="22" customHeight="1">
      <x:c r="A17" s="47" t="str">
        <x:v>Pruebas de integración</x:v>
      </x:c>
      <x:c r="B17" s="47" t="str">
        <x:v>Pruebas de integración</x:v>
      </x:c>
      <x:c r="C17" s="47" t="str">
        <x:v>Pruebas de integración</x:v>
      </x:c>
      <x:c r="D17" s="47" t="str">
        <x:v>Pruebas de integración</x:v>
      </x:c>
      <x:c r="E17" s="47" t="str">
        <x:v>Pruebas de integración</x:v>
      </x:c>
      <x:c r="F17" s="47" t="str">
        <x:v>Pruebas de integración</x:v>
      </x:c>
      <x:c r="G17" s="47" t="str">
        <x:v>Pruebas de integración</x:v>
      </x:c>
      <x:c r="H17" s="47" t="str">
        <x:v>Pruebas de integración</x:v>
      </x:c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>
      <x:c r="A18" s="54" t="str">
        <x:v>Variable</x:v>
      </x:c>
      <x:c r="B18" s="54" t="str">
        <x:v>Transformación</x:v>
      </x:c>
      <x:c r="C18" s="54" t="str">
        <x:v>n</x:v>
      </x:c>
      <x:c r="D18" s="54" t="str">
        <x:v>ADF</x:v>
      </x:c>
      <x:c r="E18" s="54" t="str">
        <x:v>p ADF</x:v>
      </x:c>
      <x:c r="F18" s="54" t="str">
        <x:v>Rezagos ADF</x:v>
      </x:c>
      <x:c r="G18" s="54" t="str">
        <x:v>KPSS</x:v>
      </x:c>
      <x:c r="H18" s="54" t="str">
        <x:v>p KPSS</x:v>
      </x:c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>
      <x:c r="A19" s="1" t="str">
        <x:v>ln_trm</x:v>
      </x:c>
      <x:c r="B19" s="1" t="str">
        <x:v>nivel</x:v>
      </x:c>
      <x:c r="C19" s="1" t="n">
        <x:v>244</x:v>
      </x:c>
      <x:c r="D19" s="55" t="n">
        <x:v>-0.9830678205378037</x:v>
      </x:c>
      <x:c r="E19" s="55" t="n">
        <x:v>0.7593897217357208</x:v>
      </x:c>
      <x:c r="F19" s="55" t="n">
        <x:v>1</x:v>
      </x:c>
      <x:c r="G19" s="55" t="n">
        <x:v>1.9742293566265932</x:v>
      </x:c>
      <x:c r="H19" s="55" t="n">
        <x:v>0.01</x:v>
      </x:c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>
      <x:c r="A20" s="1" t="str">
        <x:v>ln_trm</x:v>
      </x:c>
      <x:c r="B20" s="1" t="str">
        <x:v>primera_diferencia</x:v>
      </x:c>
      <x:c r="C20" s="1" t="n">
        <x:v>243</x:v>
      </x:c>
      <x:c r="D20" s="55" t="n">
        <x:v>-11.745300998776155</x:v>
      </x:c>
      <x:c r="E20" s="55" t="n">
        <x:v>1.2456149710377765e-21</x:v>
      </x:c>
      <x:c r="F20" s="55" t="n">
        <x:v>0</x:v>
      </x:c>
      <x:c r="G20" s="55" t="n">
        <x:v>0.129921498750035</x:v>
      </x:c>
      <x:c r="H20" s="55" t="n">
        <x:v>0.1</x:v>
      </x:c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>
      <x:c r="A21" s="1" t="str">
        <x:v>ln_brent</x:v>
      </x:c>
      <x:c r="B21" s="1" t="str">
        <x:v>nivel</x:v>
      </x:c>
      <x:c r="C21" s="1" t="n">
        <x:v>244</x:v>
      </x:c>
      <x:c r="D21" s="55" t="n">
        <x:v>-3.4858744433509514</x:v>
      </x:c>
      <x:c r="E21" s="55" t="n">
        <x:v>0.008357366092334135</x:v>
      </x:c>
      <x:c r="F21" s="55" t="n">
        <x:v>1</x:v>
      </x:c>
      <x:c r="G21" s="55" t="n">
        <x:v>0.23336123546258536</x:v>
      </x:c>
      <x:c r="H21" s="55" t="n">
        <x:v>0.1</x:v>
      </x:c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>
      <x:c r="A22" s="1" t="str">
        <x:v>ln_brent</x:v>
      </x:c>
      <x:c r="B22" s="1" t="str">
        <x:v>primera_diferencia</x:v>
      </x:c>
      <x:c r="C22" s="1" t="n">
        <x:v>243</x:v>
      </x:c>
      <x:c r="D22" s="55" t="n">
        <x:v>-11.235073044096229</x:v>
      </x:c>
      <x:c r="E22" s="55" t="n">
        <x:v>1.8660765621639692e-20</x:v>
      </x:c>
      <x:c r="F22" s="55" t="n">
        <x:v>0</x:v>
      </x:c>
      <x:c r="G22" s="55" t="n">
        <x:v>0.046348440160746004</x:v>
      </x:c>
      <x:c r="H22" s="55" t="n">
        <x:v>0.1</x:v>
      </x:c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>
      <x:c r="A23" s="1" t="str">
        <x:v>ln_remesas_12m</x:v>
      </x:c>
      <x:c r="B23" s="1" t="str">
        <x:v>nivel</x:v>
      </x:c>
      <x:c r="C23" s="1" t="n">
        <x:v>244</x:v>
      </x:c>
      <x:c r="D23" s="55" t="n">
        <x:v>1.6448989717869995</x:v>
      </x:c>
      <x:c r="E23" s="55" t="n">
        <x:v>0.99798621626656</x:v>
      </x:c>
      <x:c r="F23" s="55" t="n">
        <x:v>13</x:v>
      </x:c>
      <x:c r="G23" s="55" t="n">
        <x:v>2.078890294373042</x:v>
      </x:c>
      <x:c r="H23" s="55" t="n">
        <x:v>0.01</x:v>
      </x:c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>
      <x:c r="A24" s="1" t="str">
        <x:v>ln_remesas_12m</x:v>
      </x:c>
      <x:c r="B24" s="1" t="str">
        <x:v>primera_diferencia</x:v>
      </x:c>
      <x:c r="C24" s="1" t="n">
        <x:v>243</x:v>
      </x:c>
      <x:c r="D24" s="55" t="n">
        <x:v>-4.631700848954859</x:v>
      </x:c>
      <x:c r="E24" s="55" t="n">
        <x:v>0.00011286285754458126</x:v>
      </x:c>
      <x:c r="F24" s="55" t="n">
        <x:v>2</x:v>
      </x:c>
      <x:c r="G24" s="55" t="n">
        <x:v>0.3213722223498939</x:v>
      </x:c>
      <x:c r="H24" s="55" t="n">
        <x:v>0.1</x:v>
      </x:c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>
      <x:c r="A25" s="1" t="str">
        <x:v>diferencial_tasas_pp</x:v>
      </x:c>
      <x:c r="B25" s="1" t="str">
        <x:v>nivel</x:v>
      </x:c>
      <x:c r="C25" s="1" t="n">
        <x:v>244</x:v>
      </x:c>
      <x:c r="D25" s="55" t="n">
        <x:v>-2.932782232352109</x:v>
      </x:c>
      <x:c r="E25" s="55" t="n">
        <x:v>0.041666525075246125</x:v>
      </x:c>
      <x:c r="F25" s="55" t="n">
        <x:v>4</x:v>
      </x:c>
      <x:c r="G25" s="55" t="n">
        <x:v>0.1499946175857981</x:v>
      </x:c>
      <x:c r="H25" s="55" t="n">
        <x:v>0.1</x:v>
      </x:c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>
      <x:c r="A26" s="1" t="str">
        <x:v>diferencial_tasas_pp</x:v>
      </x:c>
      <x:c r="B26" s="1" t="str">
        <x:v>primera_diferencia</x:v>
      </x:c>
      <x:c r="C26" s="1" t="n">
        <x:v>243</x:v>
      </x:c>
      <x:c r="D26" s="55" t="n">
        <x:v>-4.394716711033061</x:v>
      </x:c>
      <x:c r="E26" s="55" t="n">
        <x:v>0.00030328885120092374</x:v>
      </x:c>
      <x:c r="F26" s="55" t="n">
        <x:v>3</x:v>
      </x:c>
      <x:c r="G26" s="55" t="n">
        <x:v>0.058388526146108066</x:v>
      </x:c>
      <x:c r="H26" s="55" t="n">
        <x:v>0.1</x:v>
      </x:c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>
      <x:c r="A27" s="1" t="str">
        <x:v>deficit_fiscal_12m_pct_pib</x:v>
      </x:c>
      <x:c r="B27" s="1" t="str">
        <x:v>nivel</x:v>
      </x:c>
      <x:c r="C27" s="1" t="n">
        <x:v>244</x:v>
      </x:c>
      <x:c r="D27" s="55" t="n">
        <x:v>-1.955309330310248</x:v>
      </x:c>
      <x:c r="E27" s="55" t="n">
        <x:v>0.3065053946526129</x:v>
      </x:c>
      <x:c r="F27" s="55" t="n">
        <x:v>0</x:v>
      </x:c>
      <x:c r="G27" s="55" t="n">
        <x:v>1.3418922501227946</x:v>
      </x:c>
      <x:c r="H27" s="55" t="n">
        <x:v>0.01</x:v>
      </x:c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>
      <x:c r="A28" s="1" t="str">
        <x:v>deficit_fiscal_12m_pct_pib</x:v>
      </x:c>
      <x:c r="B28" s="1" t="str">
        <x:v>primera_diferencia</x:v>
      </x:c>
      <x:c r="C28" s="1" t="n">
        <x:v>243</x:v>
      </x:c>
      <x:c r="D28" s="55" t="n">
        <x:v>-15.880955457887152</x:v>
      </x:c>
      <x:c r="E28" s="55" t="n">
        <x:v>8.759313860264154e-29</x:v>
      </x:c>
      <x:c r="F28" s="55" t="n">
        <x:v>0</x:v>
      </x:c>
      <x:c r="G28" s="55" t="n">
        <x:v>0.0525732780697349</x:v>
      </x:c>
      <x:c r="H28" s="55" t="n">
        <x:v>0.1</x:v>
      </x:c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>
      <x:c r="A29" s="1" t="str">
        <x:v>ln_dolar_amplio</x:v>
      </x:c>
      <x:c r="B29" s="1" t="str">
        <x:v>nivel</x:v>
      </x:c>
      <x:c r="C29" s="1" t="n">
        <x:v>244</x:v>
      </x:c>
      <x:c r="D29" s="55" t="n">
        <x:v>-1.2000631753146107</x:v>
      </x:c>
      <x:c r="E29" s="55" t="n">
        <x:v>0.6735685349165561</x:v>
      </x:c>
      <x:c r="F29" s="55" t="n">
        <x:v>1</x:v>
      </x:c>
      <x:c r="G29" s="55" t="n">
        <x:v>1.9690196439627836</x:v>
      </x:c>
      <x:c r="H29" s="55" t="n">
        <x:v>0.01</x:v>
      </x:c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>
      <x:c r="A30" s="1" t="str">
        <x:v>ln_dolar_amplio</x:v>
      </x:c>
      <x:c r="B30" s="1" t="str">
        <x:v>primera_diferencia</x:v>
      </x:c>
      <x:c r="C30" s="1" t="n">
        <x:v>243</x:v>
      </x:c>
      <x:c r="D30" s="55" t="n">
        <x:v>-10.166322841647677</x:v>
      </x:c>
      <x:c r="E30" s="55" t="n">
        <x:v>7.282951599038886e-18</x:v>
      </x:c>
      <x:c r="F30" s="55" t="n">
        <x:v>0</x:v>
      </x:c>
      <x:c r="G30" s="55" t="n">
        <x:v>0.09611315770471171</x:v>
      </x:c>
      <x:c r="H30" s="55" t="n">
        <x:v>0.1</x:v>
      </x:c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>
      <x:c r="A31" s="1" t="str">
        <x:v>ln_vix</x:v>
      </x:c>
      <x:c r="B31" s="1" t="str">
        <x:v>nivel</x:v>
      </x:c>
      <x:c r="C31" s="1" t="n">
        <x:v>244</x:v>
      </x:c>
      <x:c r="D31" s="55" t="n">
        <x:v>-4.478194746429898</x:v>
      </x:c>
      <x:c r="E31" s="55" t="n">
        <x:v>0.00021527036972252152</x:v>
      </x:c>
      <x:c r="F31" s="55" t="n">
        <x:v>0</x:v>
      </x:c>
      <x:c r="G31" s="55" t="n">
        <x:v>0.17200899474705167</x:v>
      </x:c>
      <x:c r="H31" s="55" t="n">
        <x:v>0.1</x:v>
      </x:c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>
      <x:c r="A32" s="1" t="str">
        <x:v>ln_vix</x:v>
      </x:c>
      <x:c r="B32" s="1" t="str">
        <x:v>primera_diferencia</x:v>
      </x:c>
      <x:c r="C32" s="1" t="n">
        <x:v>243</x:v>
      </x:c>
      <x:c r="D32" s="55" t="n">
        <x:v>-12.989838432765252</x:v>
      </x:c>
      <x:c r="E32" s="55" t="n">
        <x:v>2.8276229018666793e-24</x:v>
      </x:c>
      <x:c r="F32" s="55" t="n">
        <x:v>1</x:v>
      </x:c>
      <x:c r="G32" s="55" t="n">
        <x:v>0.05050536286365415</x:v>
      </x:c>
      <x:c r="H32" s="55" t="n">
        <x:v>0.1</x:v>
      </x:c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  <x:c r="P101" s="1"/>
      <x:c r="Q101" s="1"/>
      <x:c r="R101" s="1"/>
      <x:c r="S101" s="1"/>
      <x:c r="T101" s="1"/>
      <x:c r="U101" s="1"/>
      <x:c r="V101" s="1"/>
      <x:c r="W101" s="1"/>
      <x:c r="X101" s="1"/>
      <x:c r="Y101" s="1"/>
      <x:c r="Z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  <x:c r="P102" s="1"/>
      <x:c r="Q102" s="1"/>
      <x:c r="R102" s="1"/>
      <x:c r="S102" s="1"/>
      <x:c r="T102" s="1"/>
      <x:c r="U102" s="1"/>
      <x:c r="V102" s="1"/>
      <x:c r="W102" s="1"/>
      <x:c r="X102" s="1"/>
      <x:c r="Y102" s="1"/>
      <x:c r="Z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  <x:c r="P103" s="1"/>
      <x:c r="Q103" s="1"/>
      <x:c r="R103" s="1"/>
      <x:c r="S103" s="1"/>
      <x:c r="T103" s="1"/>
      <x:c r="U103" s="1"/>
      <x:c r="V103" s="1"/>
      <x:c r="W103" s="1"/>
      <x:c r="X103" s="1"/>
      <x:c r="Y103" s="1"/>
      <x:c r="Z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  <x:c r="P104" s="1"/>
      <x:c r="Q104" s="1"/>
      <x:c r="R104" s="1"/>
      <x:c r="S104" s="1"/>
      <x:c r="T104" s="1"/>
      <x:c r="U104" s="1"/>
      <x:c r="V104" s="1"/>
      <x:c r="W104" s="1"/>
      <x:c r="X104" s="1"/>
      <x:c r="Y104" s="1"/>
      <x:c r="Z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  <x:c r="P105" s="1"/>
      <x:c r="Q105" s="1"/>
      <x:c r="R105" s="1"/>
      <x:c r="S105" s="1"/>
      <x:c r="T105" s="1"/>
      <x:c r="U105" s="1"/>
      <x:c r="V105" s="1"/>
      <x:c r="W105" s="1"/>
      <x:c r="X105" s="1"/>
      <x:c r="Y105" s="1"/>
      <x:c r="Z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  <x:c r="P106" s="1"/>
      <x:c r="Q106" s="1"/>
      <x:c r="R106" s="1"/>
      <x:c r="S106" s="1"/>
      <x:c r="T106" s="1"/>
      <x:c r="U106" s="1"/>
      <x:c r="V106" s="1"/>
      <x:c r="W106" s="1"/>
      <x:c r="X106" s="1"/>
      <x:c r="Y106" s="1"/>
      <x:c r="Z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  <x:c r="P107" s="1"/>
      <x:c r="Q107" s="1"/>
      <x:c r="R107" s="1"/>
      <x:c r="S107" s="1"/>
      <x:c r="T107" s="1"/>
      <x:c r="U107" s="1"/>
      <x:c r="V107" s="1"/>
      <x:c r="W107" s="1"/>
      <x:c r="X107" s="1"/>
      <x:c r="Y107" s="1"/>
      <x:c r="Z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  <x:c r="P108" s="1"/>
      <x:c r="Q108" s="1"/>
      <x:c r="R108" s="1"/>
      <x:c r="S108" s="1"/>
      <x:c r="T108" s="1"/>
      <x:c r="U108" s="1"/>
      <x:c r="V108" s="1"/>
      <x:c r="W108" s="1"/>
      <x:c r="X108" s="1"/>
      <x:c r="Y108" s="1"/>
      <x:c r="Z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  <x:c r="P109" s="1"/>
      <x:c r="Q109" s="1"/>
      <x:c r="R109" s="1"/>
      <x:c r="S109" s="1"/>
      <x:c r="T109" s="1"/>
      <x:c r="U109" s="1"/>
      <x:c r="V109" s="1"/>
      <x:c r="W109" s="1"/>
      <x:c r="X109" s="1"/>
      <x:c r="Y109" s="1"/>
      <x:c r="Z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  <x:c r="P110" s="1"/>
      <x:c r="Q110" s="1"/>
      <x:c r="R110" s="1"/>
      <x:c r="S110" s="1"/>
      <x:c r="T110" s="1"/>
      <x:c r="U110" s="1"/>
      <x:c r="V110" s="1"/>
      <x:c r="W110" s="1"/>
      <x:c r="X110" s="1"/>
      <x:c r="Y110" s="1"/>
      <x:c r="Z110" s="1"/>
    </x:row>
    <x:row r="11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  <x:c r="P111" s="1"/>
      <x:c r="Q111" s="1"/>
      <x:c r="R111" s="1"/>
      <x:c r="S111" s="1"/>
      <x:c r="T111" s="1"/>
      <x:c r="U111" s="1"/>
      <x:c r="V111" s="1"/>
      <x:c r="W111" s="1"/>
      <x:c r="X111" s="1"/>
      <x:c r="Y111" s="1"/>
      <x:c r="Z111" s="1"/>
    </x:row>
    <x:row r="112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  <x:c r="P112" s="1"/>
      <x:c r="Q112" s="1"/>
      <x:c r="R112" s="1"/>
      <x:c r="S112" s="1"/>
      <x:c r="T112" s="1"/>
      <x:c r="U112" s="1"/>
      <x:c r="V112" s="1"/>
      <x:c r="W112" s="1"/>
      <x:c r="X112" s="1"/>
      <x:c r="Y112" s="1"/>
      <x:c r="Z112" s="1"/>
    </x:row>
    <x:row r="113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  <x:c r="P113" s="1"/>
      <x:c r="Q113" s="1"/>
      <x:c r="R113" s="1"/>
      <x:c r="S113" s="1"/>
      <x:c r="T113" s="1"/>
      <x:c r="U113" s="1"/>
      <x:c r="V113" s="1"/>
      <x:c r="W113" s="1"/>
      <x:c r="X113" s="1"/>
      <x:c r="Y113" s="1"/>
      <x:c r="Z113" s="1"/>
    </x:row>
    <x:row r="114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  <x:c r="P114" s="1"/>
      <x:c r="Q114" s="1"/>
      <x:c r="R114" s="1"/>
      <x:c r="S114" s="1"/>
      <x:c r="T114" s="1"/>
      <x:c r="U114" s="1"/>
      <x:c r="V114" s="1"/>
      <x:c r="W114" s="1"/>
      <x:c r="X114" s="1"/>
      <x:c r="Y114" s="1"/>
      <x:c r="Z114" s="1"/>
    </x:row>
    <x:row r="115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  <x:c r="P115" s="1"/>
      <x:c r="Q115" s="1"/>
      <x:c r="R115" s="1"/>
      <x:c r="S115" s="1"/>
      <x:c r="T115" s="1"/>
      <x:c r="U115" s="1"/>
      <x:c r="V115" s="1"/>
      <x:c r="W115" s="1"/>
      <x:c r="X115" s="1"/>
      <x:c r="Y115" s="1"/>
      <x:c r="Z115" s="1"/>
    </x:row>
    <x:row r="116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  <x:c r="P116" s="1"/>
      <x:c r="Q116" s="1"/>
      <x:c r="R116" s="1"/>
      <x:c r="S116" s="1"/>
      <x:c r="T116" s="1"/>
      <x:c r="U116" s="1"/>
      <x:c r="V116" s="1"/>
      <x:c r="W116" s="1"/>
      <x:c r="X116" s="1"/>
      <x:c r="Y116" s="1"/>
      <x:c r="Z116" s="1"/>
    </x:row>
    <x:row r="117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  <x:c r="P117" s="1"/>
      <x:c r="Q117" s="1"/>
      <x:c r="R117" s="1"/>
      <x:c r="S117" s="1"/>
      <x:c r="T117" s="1"/>
      <x:c r="U117" s="1"/>
      <x:c r="V117" s="1"/>
      <x:c r="W117" s="1"/>
      <x:c r="X117" s="1"/>
      <x:c r="Y117" s="1"/>
      <x:c r="Z117" s="1"/>
    </x:row>
    <x:row r="118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  <x:c r="P118" s="1"/>
      <x:c r="Q118" s="1"/>
      <x:c r="R118" s="1"/>
      <x:c r="S118" s="1"/>
      <x:c r="T118" s="1"/>
      <x:c r="U118" s="1"/>
      <x:c r="V118" s="1"/>
      <x:c r="W118" s="1"/>
      <x:c r="X118" s="1"/>
      <x:c r="Y118" s="1"/>
      <x:c r="Z118" s="1"/>
    </x:row>
    <x:row r="119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  <x:c r="P119" s="1"/>
      <x:c r="Q119" s="1"/>
      <x:c r="R119" s="1"/>
      <x:c r="S119" s="1"/>
      <x:c r="T119" s="1"/>
      <x:c r="U119" s="1"/>
      <x:c r="V119" s="1"/>
      <x:c r="W119" s="1"/>
      <x:c r="X119" s="1"/>
      <x:c r="Y119" s="1"/>
      <x:c r="Z119" s="1"/>
    </x:row>
    <x:row r="12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  <x:c r="P120" s="1"/>
      <x:c r="Q120" s="1"/>
      <x:c r="R120" s="1"/>
      <x:c r="S120" s="1"/>
      <x:c r="T120" s="1"/>
      <x:c r="U120" s="1"/>
      <x:c r="V120" s="1"/>
      <x:c r="W120" s="1"/>
      <x:c r="X120" s="1"/>
      <x:c r="Y120" s="1"/>
      <x:c r="Z120" s="1"/>
    </x:row>
    <x:row r="12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1"/>
      <x:c r="O121" s="1"/>
      <x:c r="P121" s="1"/>
      <x:c r="Q121" s="1"/>
      <x:c r="R121" s="1"/>
      <x:c r="S121" s="1"/>
      <x:c r="T121" s="1"/>
      <x:c r="U121" s="1"/>
      <x:c r="V121" s="1"/>
      <x:c r="W121" s="1"/>
      <x:c r="X121" s="1"/>
      <x:c r="Y121" s="1"/>
      <x:c r="Z121" s="1"/>
    </x:row>
    <x:row r="122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1"/>
      <x:c r="O122" s="1"/>
      <x:c r="P122" s="1"/>
      <x:c r="Q122" s="1"/>
      <x:c r="R122" s="1"/>
      <x:c r="S122" s="1"/>
      <x:c r="T122" s="1"/>
      <x:c r="U122" s="1"/>
      <x:c r="V122" s="1"/>
      <x:c r="W122" s="1"/>
      <x:c r="X122" s="1"/>
      <x:c r="Y122" s="1"/>
      <x:c r="Z122" s="1"/>
    </x:row>
    <x:row r="123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1"/>
      <x:c r="O123" s="1"/>
      <x:c r="P123" s="1"/>
      <x:c r="Q123" s="1"/>
      <x:c r="R123" s="1"/>
      <x:c r="S123" s="1"/>
      <x:c r="T123" s="1"/>
      <x:c r="U123" s="1"/>
      <x:c r="V123" s="1"/>
      <x:c r="W123" s="1"/>
      <x:c r="X123" s="1"/>
      <x:c r="Y123" s="1"/>
      <x:c r="Z123" s="1"/>
    </x:row>
    <x:row r="124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1"/>
      <x:c r="O124" s="1"/>
      <x:c r="P124" s="1"/>
      <x:c r="Q124" s="1"/>
      <x:c r="R124" s="1"/>
      <x:c r="S124" s="1"/>
      <x:c r="T124" s="1"/>
      <x:c r="U124" s="1"/>
      <x:c r="V124" s="1"/>
      <x:c r="W124" s="1"/>
      <x:c r="X124" s="1"/>
      <x:c r="Y124" s="1"/>
      <x:c r="Z124" s="1"/>
    </x:row>
    <x:row r="125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1"/>
      <x:c r="O125" s="1"/>
      <x:c r="P125" s="1"/>
      <x:c r="Q125" s="1"/>
      <x:c r="R125" s="1"/>
      <x:c r="S125" s="1"/>
      <x:c r="T125" s="1"/>
      <x:c r="U125" s="1"/>
      <x:c r="V125" s="1"/>
      <x:c r="W125" s="1"/>
      <x:c r="X125" s="1"/>
      <x:c r="Y125" s="1"/>
      <x:c r="Z125" s="1"/>
    </x:row>
    <x:row r="126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  <x:c r="O126" s="1"/>
      <x:c r="P126" s="1"/>
      <x:c r="Q126" s="1"/>
      <x:c r="R126" s="1"/>
      <x:c r="S126" s="1"/>
      <x:c r="T126" s="1"/>
      <x:c r="U126" s="1"/>
      <x:c r="V126" s="1"/>
      <x:c r="W126" s="1"/>
      <x:c r="X126" s="1"/>
      <x:c r="Y126" s="1"/>
      <x:c r="Z126" s="1"/>
    </x:row>
    <x:row r="127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  <x:c r="O127" s="1"/>
      <x:c r="P127" s="1"/>
      <x:c r="Q127" s="1"/>
      <x:c r="R127" s="1"/>
      <x:c r="S127" s="1"/>
      <x:c r="T127" s="1"/>
      <x:c r="U127" s="1"/>
      <x:c r="V127" s="1"/>
      <x:c r="W127" s="1"/>
      <x:c r="X127" s="1"/>
      <x:c r="Y127" s="1"/>
      <x:c r="Z127" s="1"/>
    </x:row>
    <x:row r="128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  <x:c r="O128" s="1"/>
      <x:c r="P128" s="1"/>
      <x:c r="Q128" s="1"/>
      <x:c r="R128" s="1"/>
      <x:c r="S128" s="1"/>
      <x:c r="T128" s="1"/>
      <x:c r="U128" s="1"/>
      <x:c r="V128" s="1"/>
      <x:c r="W128" s="1"/>
      <x:c r="X128" s="1"/>
      <x:c r="Y128" s="1"/>
      <x:c r="Z128" s="1"/>
    </x:row>
    <x:row r="129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1"/>
      <x:c r="O129" s="1"/>
      <x:c r="P129" s="1"/>
      <x:c r="Q129" s="1"/>
      <x:c r="R129" s="1"/>
      <x:c r="S129" s="1"/>
      <x:c r="T129" s="1"/>
      <x:c r="U129" s="1"/>
      <x:c r="V129" s="1"/>
      <x:c r="W129" s="1"/>
      <x:c r="X129" s="1"/>
      <x:c r="Y129" s="1"/>
      <x:c r="Z129" s="1"/>
    </x:row>
    <x:row r="130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1"/>
      <x:c r="O130" s="1"/>
      <x:c r="P130" s="1"/>
      <x:c r="Q130" s="1"/>
      <x:c r="R130" s="1"/>
      <x:c r="S130" s="1"/>
      <x:c r="T130" s="1"/>
      <x:c r="U130" s="1"/>
      <x:c r="V130" s="1"/>
      <x:c r="W130" s="1"/>
      <x:c r="X130" s="1"/>
      <x:c r="Y130" s="1"/>
      <x:c r="Z130" s="1"/>
    </x:row>
    <x:row r="13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1"/>
      <x:c r="O131" s="1"/>
      <x:c r="P131" s="1"/>
      <x:c r="Q131" s="1"/>
      <x:c r="R131" s="1"/>
      <x:c r="S131" s="1"/>
      <x:c r="T131" s="1"/>
      <x:c r="U131" s="1"/>
      <x:c r="V131" s="1"/>
      <x:c r="W131" s="1"/>
      <x:c r="X131" s="1"/>
      <x:c r="Y131" s="1"/>
      <x:c r="Z131" s="1"/>
    </x:row>
    <x:row r="132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1"/>
      <x:c r="O132" s="1"/>
      <x:c r="P132" s="1"/>
      <x:c r="Q132" s="1"/>
      <x:c r="R132" s="1"/>
      <x:c r="S132" s="1"/>
      <x:c r="T132" s="1"/>
      <x:c r="U132" s="1"/>
      <x:c r="V132" s="1"/>
      <x:c r="W132" s="1"/>
      <x:c r="X132" s="1"/>
      <x:c r="Y132" s="1"/>
      <x:c r="Z132" s="1"/>
    </x:row>
    <x:row r="133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  <x:c r="O133" s="1"/>
      <x:c r="P133" s="1"/>
      <x:c r="Q133" s="1"/>
      <x:c r="R133" s="1"/>
      <x:c r="S133" s="1"/>
      <x:c r="T133" s="1"/>
      <x:c r="U133" s="1"/>
      <x:c r="V133" s="1"/>
      <x:c r="W133" s="1"/>
      <x:c r="X133" s="1"/>
      <x:c r="Y133" s="1"/>
      <x:c r="Z133" s="1"/>
    </x:row>
    <x:row r="134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  <x:c r="O134" s="1"/>
      <x:c r="P134" s="1"/>
      <x:c r="Q134" s="1"/>
      <x:c r="R134" s="1"/>
      <x:c r="S134" s="1"/>
      <x:c r="T134" s="1"/>
      <x:c r="U134" s="1"/>
      <x:c r="V134" s="1"/>
      <x:c r="W134" s="1"/>
      <x:c r="X134" s="1"/>
      <x:c r="Y134" s="1"/>
      <x:c r="Z134" s="1"/>
    </x:row>
    <x:row r="135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  <x:c r="O135" s="1"/>
      <x:c r="P135" s="1"/>
      <x:c r="Q135" s="1"/>
      <x:c r="R135" s="1"/>
      <x:c r="S135" s="1"/>
      <x:c r="T135" s="1"/>
      <x:c r="U135" s="1"/>
      <x:c r="V135" s="1"/>
      <x:c r="W135" s="1"/>
      <x:c r="X135" s="1"/>
      <x:c r="Y135" s="1"/>
      <x:c r="Z135" s="1"/>
    </x:row>
    <x:row r="136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  <x:c r="O136" s="1"/>
      <x:c r="P136" s="1"/>
      <x:c r="Q136" s="1"/>
      <x:c r="R136" s="1"/>
      <x:c r="S136" s="1"/>
      <x:c r="T136" s="1"/>
      <x:c r="U136" s="1"/>
      <x:c r="V136" s="1"/>
      <x:c r="W136" s="1"/>
      <x:c r="X136" s="1"/>
      <x:c r="Y136" s="1"/>
      <x:c r="Z136" s="1"/>
    </x:row>
    <x:row r="137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  <x:c r="O137" s="1"/>
      <x:c r="P137" s="1"/>
      <x:c r="Q137" s="1"/>
      <x:c r="R137" s="1"/>
      <x:c r="S137" s="1"/>
      <x:c r="T137" s="1"/>
      <x:c r="U137" s="1"/>
      <x:c r="V137" s="1"/>
      <x:c r="W137" s="1"/>
      <x:c r="X137" s="1"/>
      <x:c r="Y137" s="1"/>
      <x:c r="Z137" s="1"/>
    </x:row>
    <x:row r="138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  <x:c r="O138" s="1"/>
      <x:c r="P138" s="1"/>
      <x:c r="Q138" s="1"/>
      <x:c r="R138" s="1"/>
      <x:c r="S138" s="1"/>
      <x:c r="T138" s="1"/>
      <x:c r="U138" s="1"/>
      <x:c r="V138" s="1"/>
      <x:c r="W138" s="1"/>
      <x:c r="X138" s="1"/>
      <x:c r="Y138" s="1"/>
      <x:c r="Z138" s="1"/>
    </x:row>
    <x:row r="139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  <x:c r="O139" s="1"/>
      <x:c r="P139" s="1"/>
      <x:c r="Q139" s="1"/>
      <x:c r="R139" s="1"/>
      <x:c r="S139" s="1"/>
      <x:c r="T139" s="1"/>
      <x:c r="U139" s="1"/>
      <x:c r="V139" s="1"/>
      <x:c r="W139" s="1"/>
      <x:c r="X139" s="1"/>
      <x:c r="Y139" s="1"/>
      <x:c r="Z139" s="1"/>
    </x:row>
    <x:row r="140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  <x:c r="O140" s="1"/>
      <x:c r="P140" s="1"/>
      <x:c r="Q140" s="1"/>
      <x:c r="R140" s="1"/>
      <x:c r="S140" s="1"/>
      <x:c r="T140" s="1"/>
      <x:c r="U140" s="1"/>
      <x:c r="V140" s="1"/>
      <x:c r="W140" s="1"/>
      <x:c r="X140" s="1"/>
      <x:c r="Y140" s="1"/>
      <x:c r="Z140" s="1"/>
    </x:row>
    <x:row r="14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  <x:c r="O141" s="1"/>
      <x:c r="P141" s="1"/>
      <x:c r="Q141" s="1"/>
      <x:c r="R141" s="1"/>
      <x:c r="S141" s="1"/>
      <x:c r="T141" s="1"/>
      <x:c r="U141" s="1"/>
      <x:c r="V141" s="1"/>
      <x:c r="W141" s="1"/>
      <x:c r="X141" s="1"/>
      <x:c r="Y141" s="1"/>
      <x:c r="Z141" s="1"/>
    </x:row>
    <x:row r="142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  <x:c r="O142" s="1"/>
      <x:c r="P142" s="1"/>
      <x:c r="Q142" s="1"/>
      <x:c r="R142" s="1"/>
      <x:c r="S142" s="1"/>
      <x:c r="T142" s="1"/>
      <x:c r="U142" s="1"/>
      <x:c r="V142" s="1"/>
      <x:c r="W142" s="1"/>
      <x:c r="X142" s="1"/>
      <x:c r="Y142" s="1"/>
      <x:c r="Z142" s="1"/>
    </x:row>
    <x:row r="143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  <x:c r="O143" s="1"/>
      <x:c r="P143" s="1"/>
      <x:c r="Q143" s="1"/>
      <x:c r="R143" s="1"/>
      <x:c r="S143" s="1"/>
      <x:c r="T143" s="1"/>
      <x:c r="U143" s="1"/>
      <x:c r="V143" s="1"/>
      <x:c r="W143" s="1"/>
      <x:c r="X143" s="1"/>
      <x:c r="Y143" s="1"/>
      <x:c r="Z143" s="1"/>
    </x:row>
    <x:row r="144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  <x:c r="O144" s="1"/>
      <x:c r="P144" s="1"/>
      <x:c r="Q144" s="1"/>
      <x:c r="R144" s="1"/>
      <x:c r="S144" s="1"/>
      <x:c r="T144" s="1"/>
      <x:c r="U144" s="1"/>
      <x:c r="V144" s="1"/>
      <x:c r="W144" s="1"/>
      <x:c r="X144" s="1"/>
      <x:c r="Y144" s="1"/>
      <x:c r="Z144" s="1"/>
    </x:row>
    <x:row r="145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  <x:c r="O145" s="1"/>
      <x:c r="P145" s="1"/>
      <x:c r="Q145" s="1"/>
      <x:c r="R145" s="1"/>
      <x:c r="S145" s="1"/>
      <x:c r="T145" s="1"/>
      <x:c r="U145" s="1"/>
      <x:c r="V145" s="1"/>
      <x:c r="W145" s="1"/>
      <x:c r="X145" s="1"/>
      <x:c r="Y145" s="1"/>
      <x:c r="Z145" s="1"/>
    </x:row>
    <x:row r="146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  <x:c r="O146" s="1"/>
      <x:c r="P146" s="1"/>
      <x:c r="Q146" s="1"/>
      <x:c r="R146" s="1"/>
      <x:c r="S146" s="1"/>
      <x:c r="T146" s="1"/>
      <x:c r="U146" s="1"/>
      <x:c r="V146" s="1"/>
      <x:c r="W146" s="1"/>
      <x:c r="X146" s="1"/>
      <x:c r="Y146" s="1"/>
      <x:c r="Z146" s="1"/>
    </x:row>
    <x:row r="147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  <x:c r="O147" s="1"/>
      <x:c r="P147" s="1"/>
      <x:c r="Q147" s="1"/>
      <x:c r="R147" s="1"/>
      <x:c r="S147" s="1"/>
      <x:c r="T147" s="1"/>
      <x:c r="U147" s="1"/>
      <x:c r="V147" s="1"/>
      <x:c r="W147" s="1"/>
      <x:c r="X147" s="1"/>
      <x:c r="Y147" s="1"/>
      <x:c r="Z147" s="1"/>
    </x:row>
    <x:row r="148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  <x:c r="O148" s="1"/>
      <x:c r="P148" s="1"/>
      <x:c r="Q148" s="1"/>
      <x:c r="R148" s="1"/>
      <x:c r="S148" s="1"/>
      <x:c r="T148" s="1"/>
      <x:c r="U148" s="1"/>
      <x:c r="V148" s="1"/>
      <x:c r="W148" s="1"/>
      <x:c r="X148" s="1"/>
      <x:c r="Y148" s="1"/>
      <x:c r="Z148" s="1"/>
    </x:row>
    <x:row r="149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  <x:c r="O149" s="1"/>
      <x:c r="P149" s="1"/>
      <x:c r="Q149" s="1"/>
      <x:c r="R149" s="1"/>
      <x:c r="S149" s="1"/>
      <x:c r="T149" s="1"/>
      <x:c r="U149" s="1"/>
      <x:c r="V149" s="1"/>
      <x:c r="W149" s="1"/>
      <x:c r="X149" s="1"/>
      <x:c r="Y149" s="1"/>
      <x:c r="Z149" s="1"/>
    </x:row>
    <x:row r="150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  <x:c r="O150" s="1"/>
      <x:c r="P150" s="1"/>
      <x:c r="Q150" s="1"/>
      <x:c r="R150" s="1"/>
      <x:c r="S150" s="1"/>
      <x:c r="T150" s="1"/>
      <x:c r="U150" s="1"/>
      <x:c r="V150" s="1"/>
      <x:c r="W150" s="1"/>
      <x:c r="X150" s="1"/>
      <x:c r="Y150" s="1"/>
      <x:c r="Z150" s="1"/>
    </x:row>
    <x:row r="15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  <x:c r="O151" s="1"/>
      <x:c r="P151" s="1"/>
      <x:c r="Q151" s="1"/>
      <x:c r="R151" s="1"/>
      <x:c r="S151" s="1"/>
      <x:c r="T151" s="1"/>
      <x:c r="U151" s="1"/>
      <x:c r="V151" s="1"/>
      <x:c r="W151" s="1"/>
      <x:c r="X151" s="1"/>
      <x:c r="Y151" s="1"/>
      <x:c r="Z151" s="1"/>
    </x:row>
    <x:row r="152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  <x:c r="O152" s="1"/>
      <x:c r="P152" s="1"/>
      <x:c r="Q152" s="1"/>
      <x:c r="R152" s="1"/>
      <x:c r="S152" s="1"/>
      <x:c r="T152" s="1"/>
      <x:c r="U152" s="1"/>
      <x:c r="V152" s="1"/>
      <x:c r="W152" s="1"/>
      <x:c r="X152" s="1"/>
      <x:c r="Y152" s="1"/>
      <x:c r="Z152" s="1"/>
    </x:row>
    <x:row r="153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  <x:c r="O153" s="1"/>
      <x:c r="P153" s="1"/>
      <x:c r="Q153" s="1"/>
      <x:c r="R153" s="1"/>
      <x:c r="S153" s="1"/>
      <x:c r="T153" s="1"/>
      <x:c r="U153" s="1"/>
      <x:c r="V153" s="1"/>
      <x:c r="W153" s="1"/>
      <x:c r="X153" s="1"/>
      <x:c r="Y153" s="1"/>
      <x:c r="Z153" s="1"/>
    </x:row>
    <x:row r="154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  <x:c r="O154" s="1"/>
      <x:c r="P154" s="1"/>
      <x:c r="Q154" s="1"/>
      <x:c r="R154" s="1"/>
      <x:c r="S154" s="1"/>
      <x:c r="T154" s="1"/>
      <x:c r="U154" s="1"/>
      <x:c r="V154" s="1"/>
      <x:c r="W154" s="1"/>
      <x:c r="X154" s="1"/>
      <x:c r="Y154" s="1"/>
      <x:c r="Z154" s="1"/>
    </x:row>
    <x:row r="155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  <x:c r="O155" s="1"/>
      <x:c r="P155" s="1"/>
      <x:c r="Q155" s="1"/>
      <x:c r="R155" s="1"/>
      <x:c r="S155" s="1"/>
      <x:c r="T155" s="1"/>
      <x:c r="U155" s="1"/>
      <x:c r="V155" s="1"/>
      <x:c r="W155" s="1"/>
      <x:c r="X155" s="1"/>
      <x:c r="Y155" s="1"/>
      <x:c r="Z155" s="1"/>
    </x:row>
    <x:row r="156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  <x:c r="O156" s="1"/>
      <x:c r="P156" s="1"/>
      <x:c r="Q156" s="1"/>
      <x:c r="R156" s="1"/>
      <x:c r="S156" s="1"/>
      <x:c r="T156" s="1"/>
      <x:c r="U156" s="1"/>
      <x:c r="V156" s="1"/>
      <x:c r="W156" s="1"/>
      <x:c r="X156" s="1"/>
      <x:c r="Y156" s="1"/>
      <x:c r="Z156" s="1"/>
    </x:row>
    <x:row r="157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  <x:c r="O157" s="1"/>
      <x:c r="P157" s="1"/>
      <x:c r="Q157" s="1"/>
      <x:c r="R157" s="1"/>
      <x:c r="S157" s="1"/>
      <x:c r="T157" s="1"/>
      <x:c r="U157" s="1"/>
      <x:c r="V157" s="1"/>
      <x:c r="W157" s="1"/>
      <x:c r="X157" s="1"/>
      <x:c r="Y157" s="1"/>
      <x:c r="Z157" s="1"/>
    </x:row>
    <x:row r="158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  <x:c r="O158" s="1"/>
      <x:c r="P158" s="1"/>
      <x:c r="Q158" s="1"/>
      <x:c r="R158" s="1"/>
      <x:c r="S158" s="1"/>
      <x:c r="T158" s="1"/>
      <x:c r="U158" s="1"/>
      <x:c r="V158" s="1"/>
      <x:c r="W158" s="1"/>
      <x:c r="X158" s="1"/>
      <x:c r="Y158" s="1"/>
      <x:c r="Z158" s="1"/>
    </x:row>
    <x:row r="159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  <x:c r="O159" s="1"/>
      <x:c r="P159" s="1"/>
      <x:c r="Q159" s="1"/>
      <x:c r="R159" s="1"/>
      <x:c r="S159" s="1"/>
      <x:c r="T159" s="1"/>
      <x:c r="U159" s="1"/>
      <x:c r="V159" s="1"/>
      <x:c r="W159" s="1"/>
      <x:c r="X159" s="1"/>
      <x:c r="Y159" s="1"/>
      <x:c r="Z159" s="1"/>
    </x:row>
    <x:row r="160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  <x:c r="O160" s="1"/>
      <x:c r="P160" s="1"/>
      <x:c r="Q160" s="1"/>
      <x:c r="R160" s="1"/>
      <x:c r="S160" s="1"/>
      <x:c r="T160" s="1"/>
      <x:c r="U160" s="1"/>
      <x:c r="V160" s="1"/>
      <x:c r="W160" s="1"/>
      <x:c r="X160" s="1"/>
      <x:c r="Y160" s="1"/>
      <x:c r="Z160" s="1"/>
    </x:row>
    <x:row r="16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  <x:c r="O161" s="1"/>
      <x:c r="P161" s="1"/>
      <x:c r="Q161" s="1"/>
      <x:c r="R161" s="1"/>
      <x:c r="S161" s="1"/>
      <x:c r="T161" s="1"/>
      <x:c r="U161" s="1"/>
      <x:c r="V161" s="1"/>
      <x:c r="W161" s="1"/>
      <x:c r="X161" s="1"/>
      <x:c r="Y161" s="1"/>
      <x:c r="Z161" s="1"/>
    </x:row>
    <x:row r="162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  <x:c r="O162" s="1"/>
      <x:c r="P162" s="1"/>
      <x:c r="Q162" s="1"/>
      <x:c r="R162" s="1"/>
      <x:c r="S162" s="1"/>
      <x:c r="T162" s="1"/>
      <x:c r="U162" s="1"/>
      <x:c r="V162" s="1"/>
      <x:c r="W162" s="1"/>
      <x:c r="X162" s="1"/>
      <x:c r="Y162" s="1"/>
      <x:c r="Z162" s="1"/>
    </x:row>
    <x:row r="163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  <x:c r="O163" s="1"/>
      <x:c r="P163" s="1"/>
      <x:c r="Q163" s="1"/>
      <x:c r="R163" s="1"/>
      <x:c r="S163" s="1"/>
      <x:c r="T163" s="1"/>
      <x:c r="U163" s="1"/>
      <x:c r="V163" s="1"/>
      <x:c r="W163" s="1"/>
      <x:c r="X163" s="1"/>
      <x:c r="Y163" s="1"/>
      <x:c r="Z163" s="1"/>
    </x:row>
    <x:row r="164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  <x:c r="O164" s="1"/>
      <x:c r="P164" s="1"/>
      <x:c r="Q164" s="1"/>
      <x:c r="R164" s="1"/>
      <x:c r="S164" s="1"/>
      <x:c r="T164" s="1"/>
      <x:c r="U164" s="1"/>
      <x:c r="V164" s="1"/>
      <x:c r="W164" s="1"/>
      <x:c r="X164" s="1"/>
      <x:c r="Y164" s="1"/>
      <x:c r="Z164" s="1"/>
    </x:row>
    <x:row r="165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  <x:c r="O165" s="1"/>
      <x:c r="P165" s="1"/>
      <x:c r="Q165" s="1"/>
      <x:c r="R165" s="1"/>
      <x:c r="S165" s="1"/>
      <x:c r="T165" s="1"/>
      <x:c r="U165" s="1"/>
      <x:c r="V165" s="1"/>
      <x:c r="W165" s="1"/>
      <x:c r="X165" s="1"/>
      <x:c r="Y165" s="1"/>
      <x:c r="Z165" s="1"/>
    </x:row>
    <x:row r="166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  <x:c r="O166" s="1"/>
      <x:c r="P166" s="1"/>
      <x:c r="Q166" s="1"/>
      <x:c r="R166" s="1"/>
      <x:c r="S166" s="1"/>
      <x:c r="T166" s="1"/>
      <x:c r="U166" s="1"/>
      <x:c r="V166" s="1"/>
      <x:c r="W166" s="1"/>
      <x:c r="X166" s="1"/>
      <x:c r="Y166" s="1"/>
      <x:c r="Z166" s="1"/>
    </x:row>
    <x:row r="167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  <x:c r="O167" s="1"/>
      <x:c r="P167" s="1"/>
      <x:c r="Q167" s="1"/>
      <x:c r="R167" s="1"/>
      <x:c r="S167" s="1"/>
      <x:c r="T167" s="1"/>
      <x:c r="U167" s="1"/>
      <x:c r="V167" s="1"/>
      <x:c r="W167" s="1"/>
      <x:c r="X167" s="1"/>
      <x:c r="Y167" s="1"/>
      <x:c r="Z167" s="1"/>
    </x:row>
    <x:row r="168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  <x:c r="O168" s="1"/>
      <x:c r="P168" s="1"/>
      <x:c r="Q168" s="1"/>
      <x:c r="R168" s="1"/>
      <x:c r="S168" s="1"/>
      <x:c r="T168" s="1"/>
      <x:c r="U168" s="1"/>
      <x:c r="V168" s="1"/>
      <x:c r="W168" s="1"/>
      <x:c r="X168" s="1"/>
      <x:c r="Y168" s="1"/>
      <x:c r="Z168" s="1"/>
    </x:row>
    <x:row r="169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  <x:c r="O169" s="1"/>
      <x:c r="P169" s="1"/>
      <x:c r="Q169" s="1"/>
      <x:c r="R169" s="1"/>
      <x:c r="S169" s="1"/>
      <x:c r="T169" s="1"/>
      <x:c r="U169" s="1"/>
      <x:c r="V169" s="1"/>
      <x:c r="W169" s="1"/>
      <x:c r="X169" s="1"/>
      <x:c r="Y169" s="1"/>
      <x:c r="Z169" s="1"/>
    </x:row>
    <x:row r="170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  <x:c r="O170" s="1"/>
      <x:c r="P170" s="1"/>
      <x:c r="Q170" s="1"/>
      <x:c r="R170" s="1"/>
      <x:c r="S170" s="1"/>
      <x:c r="T170" s="1"/>
      <x:c r="U170" s="1"/>
      <x:c r="V170" s="1"/>
      <x:c r="W170" s="1"/>
      <x:c r="X170" s="1"/>
      <x:c r="Y170" s="1"/>
      <x:c r="Z170" s="1"/>
    </x:row>
    <x:row r="17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  <x:c r="O171" s="1"/>
      <x:c r="P171" s="1"/>
      <x:c r="Q171" s="1"/>
      <x:c r="R171" s="1"/>
      <x:c r="S171" s="1"/>
      <x:c r="T171" s="1"/>
      <x:c r="U171" s="1"/>
      <x:c r="V171" s="1"/>
      <x:c r="W171" s="1"/>
      <x:c r="X171" s="1"/>
      <x:c r="Y171" s="1"/>
      <x:c r="Z171" s="1"/>
    </x:row>
    <x:row r="172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  <x:c r="O172" s="1"/>
      <x:c r="P172" s="1"/>
      <x:c r="Q172" s="1"/>
      <x:c r="R172" s="1"/>
      <x:c r="S172" s="1"/>
      <x:c r="T172" s="1"/>
      <x:c r="U172" s="1"/>
      <x:c r="V172" s="1"/>
      <x:c r="W172" s="1"/>
      <x:c r="X172" s="1"/>
      <x:c r="Y172" s="1"/>
      <x:c r="Z172" s="1"/>
    </x:row>
    <x:row r="173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  <x:c r="O173" s="1"/>
      <x:c r="P173" s="1"/>
      <x:c r="Q173" s="1"/>
      <x:c r="R173" s="1"/>
      <x:c r="S173" s="1"/>
      <x:c r="T173" s="1"/>
      <x:c r="U173" s="1"/>
      <x:c r="V173" s="1"/>
      <x:c r="W173" s="1"/>
      <x:c r="X173" s="1"/>
      <x:c r="Y173" s="1"/>
      <x:c r="Z173" s="1"/>
    </x:row>
    <x:row r="174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  <x:c r="O174" s="1"/>
      <x:c r="P174" s="1"/>
      <x:c r="Q174" s="1"/>
      <x:c r="R174" s="1"/>
      <x:c r="S174" s="1"/>
      <x:c r="T174" s="1"/>
      <x:c r="U174" s="1"/>
      <x:c r="V174" s="1"/>
      <x:c r="W174" s="1"/>
      <x:c r="X174" s="1"/>
      <x:c r="Y174" s="1"/>
      <x:c r="Z174" s="1"/>
    </x:row>
    <x:row r="175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  <x:c r="O175" s="1"/>
      <x:c r="P175" s="1"/>
      <x:c r="Q175" s="1"/>
      <x:c r="R175" s="1"/>
      <x:c r="S175" s="1"/>
      <x:c r="T175" s="1"/>
      <x:c r="U175" s="1"/>
      <x:c r="V175" s="1"/>
      <x:c r="W175" s="1"/>
      <x:c r="X175" s="1"/>
      <x:c r="Y175" s="1"/>
      <x:c r="Z175" s="1"/>
    </x:row>
    <x:row r="176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  <x:c r="O176" s="1"/>
      <x:c r="P176" s="1"/>
      <x:c r="Q176" s="1"/>
      <x:c r="R176" s="1"/>
      <x:c r="S176" s="1"/>
      <x:c r="T176" s="1"/>
      <x:c r="U176" s="1"/>
      <x:c r="V176" s="1"/>
      <x:c r="W176" s="1"/>
      <x:c r="X176" s="1"/>
      <x:c r="Y176" s="1"/>
      <x:c r="Z176" s="1"/>
    </x:row>
    <x:row r="177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  <x:c r="O177" s="1"/>
      <x:c r="P177" s="1"/>
      <x:c r="Q177" s="1"/>
      <x:c r="R177" s="1"/>
      <x:c r="S177" s="1"/>
      <x:c r="T177" s="1"/>
      <x:c r="U177" s="1"/>
      <x:c r="V177" s="1"/>
      <x:c r="W177" s="1"/>
      <x:c r="X177" s="1"/>
      <x:c r="Y177" s="1"/>
      <x:c r="Z177" s="1"/>
    </x:row>
    <x:row r="178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  <x:c r="O178" s="1"/>
      <x:c r="P178" s="1"/>
      <x:c r="Q178" s="1"/>
      <x:c r="R178" s="1"/>
      <x:c r="S178" s="1"/>
      <x:c r="T178" s="1"/>
      <x:c r="U178" s="1"/>
      <x:c r="V178" s="1"/>
      <x:c r="W178" s="1"/>
      <x:c r="X178" s="1"/>
      <x:c r="Y178" s="1"/>
      <x:c r="Z178" s="1"/>
    </x:row>
    <x:row r="179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  <x:c r="O179" s="1"/>
      <x:c r="P179" s="1"/>
      <x:c r="Q179" s="1"/>
      <x:c r="R179" s="1"/>
      <x:c r="S179" s="1"/>
      <x:c r="T179" s="1"/>
      <x:c r="U179" s="1"/>
      <x:c r="V179" s="1"/>
      <x:c r="W179" s="1"/>
      <x:c r="X179" s="1"/>
      <x:c r="Y179" s="1"/>
      <x:c r="Z179" s="1"/>
    </x:row>
    <x:row r="180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  <x:c r="O180" s="1"/>
      <x:c r="P180" s="1"/>
      <x:c r="Q180" s="1"/>
      <x:c r="R180" s="1"/>
      <x:c r="S180" s="1"/>
      <x:c r="T180" s="1"/>
      <x:c r="U180" s="1"/>
      <x:c r="V180" s="1"/>
      <x:c r="W180" s="1"/>
      <x:c r="X180" s="1"/>
      <x:c r="Y180" s="1"/>
      <x:c r="Z180" s="1"/>
    </x:row>
    <x:row r="18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  <x:c r="O181" s="1"/>
      <x:c r="P181" s="1"/>
      <x:c r="Q181" s="1"/>
      <x:c r="R181" s="1"/>
      <x:c r="S181" s="1"/>
      <x:c r="T181" s="1"/>
      <x:c r="U181" s="1"/>
      <x:c r="V181" s="1"/>
      <x:c r="W181" s="1"/>
      <x:c r="X181" s="1"/>
      <x:c r="Y181" s="1"/>
      <x:c r="Z181" s="1"/>
    </x:row>
    <x:row r="182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  <x:c r="O182" s="1"/>
      <x:c r="P182" s="1"/>
      <x:c r="Q182" s="1"/>
      <x:c r="R182" s="1"/>
      <x:c r="S182" s="1"/>
      <x:c r="T182" s="1"/>
      <x:c r="U182" s="1"/>
      <x:c r="V182" s="1"/>
      <x:c r="W182" s="1"/>
      <x:c r="X182" s="1"/>
      <x:c r="Y182" s="1"/>
      <x:c r="Z182" s="1"/>
    </x:row>
    <x:row r="183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  <x:c r="O183" s="1"/>
      <x:c r="P183" s="1"/>
      <x:c r="Q183" s="1"/>
      <x:c r="R183" s="1"/>
      <x:c r="S183" s="1"/>
      <x:c r="T183" s="1"/>
      <x:c r="U183" s="1"/>
      <x:c r="V183" s="1"/>
      <x:c r="W183" s="1"/>
      <x:c r="X183" s="1"/>
      <x:c r="Y183" s="1"/>
      <x:c r="Z183" s="1"/>
    </x:row>
    <x:row r="184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  <x:c r="O184" s="1"/>
      <x:c r="P184" s="1"/>
      <x:c r="Q184" s="1"/>
      <x:c r="R184" s="1"/>
      <x:c r="S184" s="1"/>
      <x:c r="T184" s="1"/>
      <x:c r="U184" s="1"/>
      <x:c r="V184" s="1"/>
      <x:c r="W184" s="1"/>
      <x:c r="X184" s="1"/>
      <x:c r="Y184" s="1"/>
      <x:c r="Z184" s="1"/>
    </x:row>
    <x:row r="185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  <x:c r="O185" s="1"/>
      <x:c r="P185" s="1"/>
      <x:c r="Q185" s="1"/>
      <x:c r="R185" s="1"/>
      <x:c r="S185" s="1"/>
      <x:c r="T185" s="1"/>
      <x:c r="U185" s="1"/>
      <x:c r="V185" s="1"/>
      <x:c r="W185" s="1"/>
      <x:c r="X185" s="1"/>
      <x:c r="Y185" s="1"/>
      <x:c r="Z185" s="1"/>
    </x:row>
    <x:row r="186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  <x:c r="O186" s="1"/>
      <x:c r="P186" s="1"/>
      <x:c r="Q186" s="1"/>
      <x:c r="R186" s="1"/>
      <x:c r="S186" s="1"/>
      <x:c r="T186" s="1"/>
      <x:c r="U186" s="1"/>
      <x:c r="V186" s="1"/>
      <x:c r="W186" s="1"/>
      <x:c r="X186" s="1"/>
      <x:c r="Y186" s="1"/>
      <x:c r="Z186" s="1"/>
    </x:row>
    <x:row r="187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  <x:c r="O187" s="1"/>
      <x:c r="P187" s="1"/>
      <x:c r="Q187" s="1"/>
      <x:c r="R187" s="1"/>
      <x:c r="S187" s="1"/>
      <x:c r="T187" s="1"/>
      <x:c r="U187" s="1"/>
      <x:c r="V187" s="1"/>
      <x:c r="W187" s="1"/>
      <x:c r="X187" s="1"/>
      <x:c r="Y187" s="1"/>
      <x:c r="Z187" s="1"/>
    </x:row>
    <x:row r="188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  <x:c r="O188" s="1"/>
      <x:c r="P188" s="1"/>
      <x:c r="Q188" s="1"/>
      <x:c r="R188" s="1"/>
      <x:c r="S188" s="1"/>
      <x:c r="T188" s="1"/>
      <x:c r="U188" s="1"/>
      <x:c r="V188" s="1"/>
      <x:c r="W188" s="1"/>
      <x:c r="X188" s="1"/>
      <x:c r="Y188" s="1"/>
      <x:c r="Z188" s="1"/>
    </x:row>
    <x:row r="189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  <x:c r="O189" s="1"/>
      <x:c r="P189" s="1"/>
      <x:c r="Q189" s="1"/>
      <x:c r="R189" s="1"/>
      <x:c r="S189" s="1"/>
      <x:c r="T189" s="1"/>
      <x:c r="U189" s="1"/>
      <x:c r="V189" s="1"/>
      <x:c r="W189" s="1"/>
      <x:c r="X189" s="1"/>
      <x:c r="Y189" s="1"/>
      <x:c r="Z189" s="1"/>
    </x:row>
    <x:row r="190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  <x:c r="O190" s="1"/>
      <x:c r="P190" s="1"/>
      <x:c r="Q190" s="1"/>
      <x:c r="R190" s="1"/>
      <x:c r="S190" s="1"/>
      <x:c r="T190" s="1"/>
      <x:c r="U190" s="1"/>
      <x:c r="V190" s="1"/>
      <x:c r="W190" s="1"/>
      <x:c r="X190" s="1"/>
      <x:c r="Y190" s="1"/>
      <x:c r="Z190" s="1"/>
    </x:row>
    <x:row r="19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  <x:c r="O191" s="1"/>
      <x:c r="P191" s="1"/>
      <x:c r="Q191" s="1"/>
      <x:c r="R191" s="1"/>
      <x:c r="S191" s="1"/>
      <x:c r="T191" s="1"/>
      <x:c r="U191" s="1"/>
      <x:c r="V191" s="1"/>
      <x:c r="W191" s="1"/>
      <x:c r="X191" s="1"/>
      <x:c r="Y191" s="1"/>
      <x:c r="Z191" s="1"/>
    </x:row>
    <x:row r="192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  <x:c r="O192" s="1"/>
      <x:c r="P192" s="1"/>
      <x:c r="Q192" s="1"/>
      <x:c r="R192" s="1"/>
      <x:c r="S192" s="1"/>
      <x:c r="T192" s="1"/>
      <x:c r="U192" s="1"/>
      <x:c r="V192" s="1"/>
      <x:c r="W192" s="1"/>
      <x:c r="X192" s="1"/>
      <x:c r="Y192" s="1"/>
      <x:c r="Z192" s="1"/>
    </x:row>
    <x:row r="193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  <x:c r="O193" s="1"/>
      <x:c r="P193" s="1"/>
      <x:c r="Q193" s="1"/>
      <x:c r="R193" s="1"/>
      <x:c r="S193" s="1"/>
      <x:c r="T193" s="1"/>
      <x:c r="U193" s="1"/>
      <x:c r="V193" s="1"/>
      <x:c r="W193" s="1"/>
      <x:c r="X193" s="1"/>
      <x:c r="Y193" s="1"/>
      <x:c r="Z193" s="1"/>
    </x:row>
    <x:row r="194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  <x:c r="O194" s="1"/>
      <x:c r="P194" s="1"/>
      <x:c r="Q194" s="1"/>
      <x:c r="R194" s="1"/>
      <x:c r="S194" s="1"/>
      <x:c r="T194" s="1"/>
      <x:c r="U194" s="1"/>
      <x:c r="V194" s="1"/>
      <x:c r="W194" s="1"/>
      <x:c r="X194" s="1"/>
      <x:c r="Y194" s="1"/>
      <x:c r="Z194" s="1"/>
    </x:row>
    <x:row r="195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  <x:c r="O195" s="1"/>
      <x:c r="P195" s="1"/>
      <x:c r="Q195" s="1"/>
      <x:c r="R195" s="1"/>
      <x:c r="S195" s="1"/>
      <x:c r="T195" s="1"/>
      <x:c r="U195" s="1"/>
      <x:c r="V195" s="1"/>
      <x:c r="W195" s="1"/>
      <x:c r="X195" s="1"/>
      <x:c r="Y195" s="1"/>
      <x:c r="Z195" s="1"/>
    </x:row>
    <x:row r="196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  <x:c r="O196" s="1"/>
      <x:c r="P196" s="1"/>
      <x:c r="Q196" s="1"/>
      <x:c r="R196" s="1"/>
      <x:c r="S196" s="1"/>
      <x:c r="T196" s="1"/>
      <x:c r="U196" s="1"/>
      <x:c r="V196" s="1"/>
      <x:c r="W196" s="1"/>
      <x:c r="X196" s="1"/>
      <x:c r="Y196" s="1"/>
      <x:c r="Z196" s="1"/>
    </x:row>
    <x:row r="197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  <x:c r="O197" s="1"/>
      <x:c r="P197" s="1"/>
      <x:c r="Q197" s="1"/>
      <x:c r="R197" s="1"/>
      <x:c r="S197" s="1"/>
      <x:c r="T197" s="1"/>
      <x:c r="U197" s="1"/>
      <x:c r="V197" s="1"/>
      <x:c r="W197" s="1"/>
      <x:c r="X197" s="1"/>
      <x:c r="Y197" s="1"/>
      <x:c r="Z197" s="1"/>
    </x:row>
    <x:row r="198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  <x:c r="O198" s="1"/>
      <x:c r="P198" s="1"/>
      <x:c r="Q198" s="1"/>
      <x:c r="R198" s="1"/>
      <x:c r="S198" s="1"/>
      <x:c r="T198" s="1"/>
      <x:c r="U198" s="1"/>
      <x:c r="V198" s="1"/>
      <x:c r="W198" s="1"/>
      <x:c r="X198" s="1"/>
      <x:c r="Y198" s="1"/>
      <x:c r="Z198" s="1"/>
    </x:row>
    <x:row r="199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  <x:c r="O199" s="1"/>
      <x:c r="P199" s="1"/>
      <x:c r="Q199" s="1"/>
      <x:c r="R199" s="1"/>
      <x:c r="S199" s="1"/>
      <x:c r="T199" s="1"/>
      <x:c r="U199" s="1"/>
      <x:c r="V199" s="1"/>
      <x:c r="W199" s="1"/>
      <x:c r="X199" s="1"/>
      <x:c r="Y199" s="1"/>
      <x:c r="Z199" s="1"/>
    </x:row>
    <x:row r="200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  <x:c r="O200" s="1"/>
      <x:c r="P200" s="1"/>
      <x:c r="Q200" s="1"/>
      <x:c r="R200" s="1"/>
      <x:c r="S200" s="1"/>
      <x:c r="T200" s="1"/>
      <x:c r="U200" s="1"/>
      <x:c r="V200" s="1"/>
      <x:c r="W200" s="1"/>
      <x:c r="X200" s="1"/>
      <x:c r="Y200" s="1"/>
      <x:c r="Z200" s="1"/>
    </x:row>
    <x:row r="201">
      <x:c r="A201" s="1"/>
      <x:c r="B201" s="1"/>
      <x:c r="C201" s="1"/>
      <x:c r="D201" s="1"/>
      <x:c r="E201" s="1"/>
      <x:c r="F201" s="1"/>
      <x:c r="G201" s="1"/>
      <x:c r="H201" s="1"/>
      <x:c r="I201" s="1"/>
      <x:c r="J201" s="1"/>
      <x:c r="K201" s="1"/>
      <x:c r="L201" s="1"/>
      <x:c r="M201" s="1"/>
      <x:c r="N201" s="1"/>
      <x:c r="O201" s="1"/>
      <x:c r="P201" s="1"/>
      <x:c r="Q201" s="1"/>
      <x:c r="R201" s="1"/>
      <x:c r="S201" s="1"/>
      <x:c r="T201" s="1"/>
      <x:c r="U201" s="1"/>
      <x:c r="V201" s="1"/>
      <x:c r="W201" s="1"/>
      <x:c r="X201" s="1"/>
      <x:c r="Y201" s="1"/>
      <x:c r="Z201" s="1"/>
    </x:row>
    <x:row r="202">
      <x:c r="A202" s="1"/>
      <x:c r="B202" s="1"/>
      <x:c r="C202" s="1"/>
      <x:c r="D202" s="1"/>
      <x:c r="E202" s="1"/>
      <x:c r="F202" s="1"/>
      <x:c r="G202" s="1"/>
      <x:c r="H202" s="1"/>
      <x:c r="I202" s="1"/>
      <x:c r="J202" s="1"/>
      <x:c r="K202" s="1"/>
      <x:c r="L202" s="1"/>
      <x:c r="M202" s="1"/>
      <x:c r="N202" s="1"/>
      <x:c r="O202" s="1"/>
      <x:c r="P202" s="1"/>
      <x:c r="Q202" s="1"/>
      <x:c r="R202" s="1"/>
      <x:c r="S202" s="1"/>
      <x:c r="T202" s="1"/>
      <x:c r="U202" s="1"/>
      <x:c r="V202" s="1"/>
      <x:c r="W202" s="1"/>
      <x:c r="X202" s="1"/>
      <x:c r="Y202" s="1"/>
      <x:c r="Z202" s="1"/>
    </x:row>
    <x:row r="203">
      <x:c r="A203" s="1"/>
      <x:c r="B203" s="1"/>
      <x:c r="C203" s="1"/>
      <x:c r="D203" s="1"/>
      <x:c r="E203" s="1"/>
      <x:c r="F203" s="1"/>
      <x:c r="G203" s="1"/>
      <x:c r="H203" s="1"/>
      <x:c r="I203" s="1"/>
      <x:c r="J203" s="1"/>
      <x:c r="K203" s="1"/>
      <x:c r="L203" s="1"/>
      <x:c r="M203" s="1"/>
      <x:c r="N203" s="1"/>
      <x:c r="O203" s="1"/>
      <x:c r="P203" s="1"/>
      <x:c r="Q203" s="1"/>
      <x:c r="R203" s="1"/>
      <x:c r="S203" s="1"/>
      <x:c r="T203" s="1"/>
      <x:c r="U203" s="1"/>
      <x:c r="V203" s="1"/>
      <x:c r="W203" s="1"/>
      <x:c r="X203" s="1"/>
      <x:c r="Y203" s="1"/>
      <x:c r="Z203" s="1"/>
    </x:row>
    <x:row r="204">
      <x:c r="A204" s="1"/>
      <x:c r="B204" s="1"/>
      <x:c r="C204" s="1"/>
      <x:c r="D204" s="1"/>
      <x:c r="E204" s="1"/>
      <x:c r="F204" s="1"/>
      <x:c r="G204" s="1"/>
      <x:c r="H204" s="1"/>
      <x:c r="I204" s="1"/>
      <x:c r="J204" s="1"/>
      <x:c r="K204" s="1"/>
      <x:c r="L204" s="1"/>
      <x:c r="M204" s="1"/>
      <x:c r="N204" s="1"/>
      <x:c r="O204" s="1"/>
      <x:c r="P204" s="1"/>
      <x:c r="Q204" s="1"/>
      <x:c r="R204" s="1"/>
      <x:c r="S204" s="1"/>
      <x:c r="T204" s="1"/>
      <x:c r="U204" s="1"/>
      <x:c r="V204" s="1"/>
      <x:c r="W204" s="1"/>
      <x:c r="X204" s="1"/>
      <x:c r="Y204" s="1"/>
      <x:c r="Z204" s="1"/>
    </x:row>
    <x:row r="205">
      <x:c r="A205" s="1"/>
      <x:c r="B205" s="1"/>
      <x:c r="C205" s="1"/>
      <x:c r="D205" s="1"/>
      <x:c r="E205" s="1"/>
      <x:c r="F205" s="1"/>
      <x:c r="G205" s="1"/>
      <x:c r="H205" s="1"/>
      <x:c r="I205" s="1"/>
      <x:c r="J205" s="1"/>
      <x:c r="K205" s="1"/>
      <x:c r="L205" s="1"/>
      <x:c r="M205" s="1"/>
      <x:c r="N205" s="1"/>
      <x:c r="O205" s="1"/>
      <x:c r="P205" s="1"/>
      <x:c r="Q205" s="1"/>
      <x:c r="R205" s="1"/>
      <x:c r="S205" s="1"/>
      <x:c r="T205" s="1"/>
      <x:c r="U205" s="1"/>
      <x:c r="V205" s="1"/>
      <x:c r="W205" s="1"/>
      <x:c r="X205" s="1"/>
      <x:c r="Y205" s="1"/>
      <x:c r="Z205" s="1"/>
    </x:row>
    <x:row r="206">
      <x:c r="A206" s="1"/>
      <x:c r="B206" s="1"/>
      <x:c r="C206" s="1"/>
      <x:c r="D206" s="1"/>
      <x:c r="E206" s="1"/>
      <x:c r="F206" s="1"/>
      <x:c r="G206" s="1"/>
      <x:c r="H206" s="1"/>
      <x:c r="I206" s="1"/>
      <x:c r="J206" s="1"/>
      <x:c r="K206" s="1"/>
      <x:c r="L206" s="1"/>
      <x:c r="M206" s="1"/>
      <x:c r="N206" s="1"/>
      <x:c r="O206" s="1"/>
      <x:c r="P206" s="1"/>
      <x:c r="Q206" s="1"/>
      <x:c r="R206" s="1"/>
      <x:c r="S206" s="1"/>
      <x:c r="T206" s="1"/>
      <x:c r="U206" s="1"/>
      <x:c r="V206" s="1"/>
      <x:c r="W206" s="1"/>
      <x:c r="X206" s="1"/>
      <x:c r="Y206" s="1"/>
      <x:c r="Z206" s="1"/>
    </x:row>
    <x:row r="207">
      <x:c r="A207" s="1"/>
      <x:c r="B207" s="1"/>
      <x:c r="C207" s="1"/>
      <x:c r="D207" s="1"/>
      <x:c r="E207" s="1"/>
      <x:c r="F207" s="1"/>
      <x:c r="G207" s="1"/>
      <x:c r="H207" s="1"/>
      <x:c r="I207" s="1"/>
      <x:c r="J207" s="1"/>
      <x:c r="K207" s="1"/>
      <x:c r="L207" s="1"/>
      <x:c r="M207" s="1"/>
      <x:c r="N207" s="1"/>
      <x:c r="O207" s="1"/>
      <x:c r="P207" s="1"/>
      <x:c r="Q207" s="1"/>
      <x:c r="R207" s="1"/>
      <x:c r="S207" s="1"/>
      <x:c r="T207" s="1"/>
      <x:c r="U207" s="1"/>
      <x:c r="V207" s="1"/>
      <x:c r="W207" s="1"/>
      <x:c r="X207" s="1"/>
      <x:c r="Y207" s="1"/>
      <x:c r="Z207" s="1"/>
    </x:row>
    <x:row r="208">
      <x:c r="A208" s="1"/>
      <x:c r="B208" s="1"/>
      <x:c r="C208" s="1"/>
      <x:c r="D208" s="1"/>
      <x:c r="E208" s="1"/>
      <x:c r="F208" s="1"/>
      <x:c r="G208" s="1"/>
      <x:c r="H208" s="1"/>
      <x:c r="I208" s="1"/>
      <x:c r="J208" s="1"/>
      <x:c r="K208" s="1"/>
      <x:c r="L208" s="1"/>
      <x:c r="M208" s="1"/>
      <x:c r="N208" s="1"/>
      <x:c r="O208" s="1"/>
      <x:c r="P208" s="1"/>
      <x:c r="Q208" s="1"/>
      <x:c r="R208" s="1"/>
      <x:c r="S208" s="1"/>
      <x:c r="T208" s="1"/>
      <x:c r="U208" s="1"/>
      <x:c r="V208" s="1"/>
      <x:c r="W208" s="1"/>
      <x:c r="X208" s="1"/>
      <x:c r="Y208" s="1"/>
      <x:c r="Z208" s="1"/>
    </x:row>
    <x:row r="209">
      <x:c r="A209" s="1"/>
      <x:c r="B209" s="1"/>
      <x:c r="C209" s="1"/>
      <x:c r="D209" s="1"/>
      <x:c r="E209" s="1"/>
      <x:c r="F209" s="1"/>
      <x:c r="G209" s="1"/>
      <x:c r="H209" s="1"/>
      <x:c r="I209" s="1"/>
      <x:c r="J209" s="1"/>
      <x:c r="K209" s="1"/>
      <x:c r="L209" s="1"/>
      <x:c r="M209" s="1"/>
      <x:c r="N209" s="1"/>
      <x:c r="O209" s="1"/>
      <x:c r="P209" s="1"/>
      <x:c r="Q209" s="1"/>
      <x:c r="R209" s="1"/>
      <x:c r="S209" s="1"/>
      <x:c r="T209" s="1"/>
      <x:c r="U209" s="1"/>
      <x:c r="V209" s="1"/>
      <x:c r="W209" s="1"/>
      <x:c r="X209" s="1"/>
      <x:c r="Y209" s="1"/>
      <x:c r="Z209" s="1"/>
    </x:row>
    <x:row r="210">
      <x:c r="A210" s="1"/>
      <x:c r="B210" s="1"/>
      <x:c r="C210" s="1"/>
      <x:c r="D210" s="1"/>
      <x:c r="E210" s="1"/>
      <x:c r="F210" s="1"/>
      <x:c r="G210" s="1"/>
      <x:c r="H210" s="1"/>
      <x:c r="I210" s="1"/>
      <x:c r="J210" s="1"/>
      <x:c r="K210" s="1"/>
      <x:c r="L210" s="1"/>
      <x:c r="M210" s="1"/>
      <x:c r="N210" s="1"/>
      <x:c r="O210" s="1"/>
      <x:c r="P210" s="1"/>
      <x:c r="Q210" s="1"/>
      <x:c r="R210" s="1"/>
      <x:c r="S210" s="1"/>
      <x:c r="T210" s="1"/>
      <x:c r="U210" s="1"/>
      <x:c r="V210" s="1"/>
      <x:c r="W210" s="1"/>
      <x:c r="X210" s="1"/>
      <x:c r="Y210" s="1"/>
      <x:c r="Z210" s="1"/>
    </x:row>
    <x:row r="211">
      <x:c r="A211" s="1"/>
      <x:c r="B211" s="1"/>
      <x:c r="C211" s="1"/>
      <x:c r="D211" s="1"/>
      <x:c r="E211" s="1"/>
      <x:c r="F211" s="1"/>
      <x:c r="G211" s="1"/>
      <x:c r="H211" s="1"/>
      <x:c r="I211" s="1"/>
      <x:c r="J211" s="1"/>
      <x:c r="K211" s="1"/>
      <x:c r="L211" s="1"/>
      <x:c r="M211" s="1"/>
      <x:c r="N211" s="1"/>
      <x:c r="O211" s="1"/>
      <x:c r="P211" s="1"/>
      <x:c r="Q211" s="1"/>
      <x:c r="R211" s="1"/>
      <x:c r="S211" s="1"/>
      <x:c r="T211" s="1"/>
      <x:c r="U211" s="1"/>
      <x:c r="V211" s="1"/>
      <x:c r="W211" s="1"/>
      <x:c r="X211" s="1"/>
      <x:c r="Y211" s="1"/>
      <x:c r="Z211" s="1"/>
    </x:row>
    <x:row r="212">
      <x:c r="A212" s="1"/>
      <x:c r="B212" s="1"/>
      <x:c r="C212" s="1"/>
      <x:c r="D212" s="1"/>
      <x:c r="E212" s="1"/>
      <x:c r="F212" s="1"/>
      <x:c r="G212" s="1"/>
      <x:c r="H212" s="1"/>
      <x:c r="I212" s="1"/>
      <x:c r="J212" s="1"/>
      <x:c r="K212" s="1"/>
      <x:c r="L212" s="1"/>
      <x:c r="M212" s="1"/>
      <x:c r="N212" s="1"/>
      <x:c r="O212" s="1"/>
      <x:c r="P212" s="1"/>
      <x:c r="Q212" s="1"/>
      <x:c r="R212" s="1"/>
      <x:c r="S212" s="1"/>
      <x:c r="T212" s="1"/>
      <x:c r="U212" s="1"/>
      <x:c r="V212" s="1"/>
      <x:c r="W212" s="1"/>
      <x:c r="X212" s="1"/>
      <x:c r="Y212" s="1"/>
      <x:c r="Z212" s="1"/>
    </x:row>
    <x:row r="213">
      <x:c r="A213" s="1"/>
      <x:c r="B213" s="1"/>
      <x:c r="C213" s="1"/>
      <x:c r="D213" s="1"/>
      <x:c r="E213" s="1"/>
      <x:c r="F213" s="1"/>
      <x:c r="G213" s="1"/>
      <x:c r="H213" s="1"/>
      <x:c r="I213" s="1"/>
      <x:c r="J213" s="1"/>
      <x:c r="K213" s="1"/>
      <x:c r="L213" s="1"/>
      <x:c r="M213" s="1"/>
      <x:c r="N213" s="1"/>
      <x:c r="O213" s="1"/>
      <x:c r="P213" s="1"/>
      <x:c r="Q213" s="1"/>
      <x:c r="R213" s="1"/>
      <x:c r="S213" s="1"/>
      <x:c r="T213" s="1"/>
      <x:c r="U213" s="1"/>
      <x:c r="V213" s="1"/>
      <x:c r="W213" s="1"/>
      <x:c r="X213" s="1"/>
      <x:c r="Y213" s="1"/>
      <x:c r="Z213" s="1"/>
    </x:row>
    <x:row r="214">
      <x:c r="A214" s="1"/>
      <x:c r="B214" s="1"/>
      <x:c r="C214" s="1"/>
      <x:c r="D214" s="1"/>
      <x:c r="E214" s="1"/>
      <x:c r="F214" s="1"/>
      <x:c r="G214" s="1"/>
      <x:c r="H214" s="1"/>
      <x:c r="I214" s="1"/>
      <x:c r="J214" s="1"/>
      <x:c r="K214" s="1"/>
      <x:c r="L214" s="1"/>
      <x:c r="M214" s="1"/>
      <x:c r="N214" s="1"/>
      <x:c r="O214" s="1"/>
      <x:c r="P214" s="1"/>
      <x:c r="Q214" s="1"/>
      <x:c r="R214" s="1"/>
      <x:c r="S214" s="1"/>
      <x:c r="T214" s="1"/>
      <x:c r="U214" s="1"/>
      <x:c r="V214" s="1"/>
      <x:c r="W214" s="1"/>
      <x:c r="X214" s="1"/>
      <x:c r="Y214" s="1"/>
      <x:c r="Z214" s="1"/>
    </x:row>
    <x:row r="215">
      <x:c r="A215" s="1"/>
      <x:c r="B215" s="1"/>
      <x:c r="C215" s="1"/>
      <x:c r="D215" s="1"/>
      <x:c r="E215" s="1"/>
      <x:c r="F215" s="1"/>
      <x:c r="G215" s="1"/>
      <x:c r="H215" s="1"/>
      <x:c r="I215" s="1"/>
      <x:c r="J215" s="1"/>
      <x:c r="K215" s="1"/>
      <x:c r="L215" s="1"/>
      <x:c r="M215" s="1"/>
      <x:c r="N215" s="1"/>
      <x:c r="O215" s="1"/>
      <x:c r="P215" s="1"/>
      <x:c r="Q215" s="1"/>
      <x:c r="R215" s="1"/>
      <x:c r="S215" s="1"/>
      <x:c r="T215" s="1"/>
      <x:c r="U215" s="1"/>
      <x:c r="V215" s="1"/>
      <x:c r="W215" s="1"/>
      <x:c r="X215" s="1"/>
      <x:c r="Y215" s="1"/>
      <x:c r="Z215" s="1"/>
    </x:row>
    <x:row r="216">
      <x:c r="A216" s="1"/>
      <x:c r="B216" s="1"/>
      <x:c r="C216" s="1"/>
      <x:c r="D216" s="1"/>
      <x:c r="E216" s="1"/>
      <x:c r="F216" s="1"/>
      <x:c r="G216" s="1"/>
      <x:c r="H216" s="1"/>
      <x:c r="I216" s="1"/>
      <x:c r="J216" s="1"/>
      <x:c r="K216" s="1"/>
      <x:c r="L216" s="1"/>
      <x:c r="M216" s="1"/>
      <x:c r="N216" s="1"/>
      <x:c r="O216" s="1"/>
      <x:c r="P216" s="1"/>
      <x:c r="Q216" s="1"/>
      <x:c r="R216" s="1"/>
      <x:c r="S216" s="1"/>
      <x:c r="T216" s="1"/>
      <x:c r="U216" s="1"/>
      <x:c r="V216" s="1"/>
      <x:c r="W216" s="1"/>
      <x:c r="X216" s="1"/>
      <x:c r="Y216" s="1"/>
      <x:c r="Z216" s="1"/>
    </x:row>
    <x:row r="217">
      <x:c r="A217" s="1"/>
      <x:c r="B217" s="1"/>
      <x:c r="C217" s="1"/>
      <x:c r="D217" s="1"/>
      <x:c r="E217" s="1"/>
      <x:c r="F217" s="1"/>
      <x:c r="G217" s="1"/>
      <x:c r="H217" s="1"/>
      <x:c r="I217" s="1"/>
      <x:c r="J217" s="1"/>
      <x:c r="K217" s="1"/>
      <x:c r="L217" s="1"/>
      <x:c r="M217" s="1"/>
      <x:c r="N217" s="1"/>
      <x:c r="O217" s="1"/>
      <x:c r="P217" s="1"/>
      <x:c r="Q217" s="1"/>
      <x:c r="R217" s="1"/>
      <x:c r="S217" s="1"/>
      <x:c r="T217" s="1"/>
      <x:c r="U217" s="1"/>
      <x:c r="V217" s="1"/>
      <x:c r="W217" s="1"/>
      <x:c r="X217" s="1"/>
      <x:c r="Y217" s="1"/>
      <x:c r="Z217" s="1"/>
    </x:row>
    <x:row r="218">
      <x:c r="A218" s="1"/>
      <x:c r="B218" s="1"/>
      <x:c r="C218" s="1"/>
      <x:c r="D218" s="1"/>
      <x:c r="E218" s="1"/>
      <x:c r="F218" s="1"/>
      <x:c r="G218" s="1"/>
      <x:c r="H218" s="1"/>
      <x:c r="I218" s="1"/>
      <x:c r="J218" s="1"/>
      <x:c r="K218" s="1"/>
      <x:c r="L218" s="1"/>
      <x:c r="M218" s="1"/>
      <x:c r="N218" s="1"/>
      <x:c r="O218" s="1"/>
      <x:c r="P218" s="1"/>
      <x:c r="Q218" s="1"/>
      <x:c r="R218" s="1"/>
      <x:c r="S218" s="1"/>
      <x:c r="T218" s="1"/>
      <x:c r="U218" s="1"/>
      <x:c r="V218" s="1"/>
      <x:c r="W218" s="1"/>
      <x:c r="X218" s="1"/>
      <x:c r="Y218" s="1"/>
      <x:c r="Z218" s="1"/>
    </x:row>
    <x:row r="219">
      <x:c r="A219" s="1"/>
      <x:c r="B219" s="1"/>
      <x:c r="C219" s="1"/>
      <x:c r="D219" s="1"/>
      <x:c r="E219" s="1"/>
      <x:c r="F219" s="1"/>
      <x:c r="G219" s="1"/>
      <x:c r="H219" s="1"/>
      <x:c r="I219" s="1"/>
      <x:c r="J219" s="1"/>
      <x:c r="K219" s="1"/>
      <x:c r="L219" s="1"/>
      <x:c r="M219" s="1"/>
      <x:c r="N219" s="1"/>
      <x:c r="O219" s="1"/>
      <x:c r="P219" s="1"/>
      <x:c r="Q219" s="1"/>
      <x:c r="R219" s="1"/>
      <x:c r="S219" s="1"/>
      <x:c r="T219" s="1"/>
      <x:c r="U219" s="1"/>
      <x:c r="V219" s="1"/>
      <x:c r="W219" s="1"/>
      <x:c r="X219" s="1"/>
      <x:c r="Y219" s="1"/>
      <x:c r="Z219" s="1"/>
    </x:row>
    <x:row r="220">
      <x:c r="A220" s="1"/>
      <x:c r="B220" s="1"/>
      <x:c r="C220" s="1"/>
      <x:c r="D220" s="1"/>
      <x:c r="E220" s="1"/>
      <x:c r="F220" s="1"/>
      <x:c r="G220" s="1"/>
      <x:c r="H220" s="1"/>
      <x:c r="I220" s="1"/>
      <x:c r="J220" s="1"/>
      <x:c r="K220" s="1"/>
      <x:c r="L220" s="1"/>
      <x:c r="M220" s="1"/>
      <x:c r="N220" s="1"/>
      <x:c r="O220" s="1"/>
      <x:c r="P220" s="1"/>
      <x:c r="Q220" s="1"/>
      <x:c r="R220" s="1"/>
      <x:c r="S220" s="1"/>
      <x:c r="T220" s="1"/>
      <x:c r="U220" s="1"/>
      <x:c r="V220" s="1"/>
      <x:c r="W220" s="1"/>
      <x:c r="X220" s="1"/>
      <x:c r="Y220" s="1"/>
      <x:c r="Z220" s="1"/>
    </x:row>
    <x:row r="221">
      <x:c r="A221" s="1"/>
      <x:c r="B221" s="1"/>
      <x:c r="C221" s="1"/>
      <x:c r="D221" s="1"/>
      <x:c r="E221" s="1"/>
      <x:c r="F221" s="1"/>
      <x:c r="G221" s="1"/>
      <x:c r="H221" s="1"/>
      <x:c r="I221" s="1"/>
      <x:c r="J221" s="1"/>
      <x:c r="K221" s="1"/>
      <x:c r="L221" s="1"/>
      <x:c r="M221" s="1"/>
      <x:c r="N221" s="1"/>
      <x:c r="O221" s="1"/>
      <x:c r="P221" s="1"/>
      <x:c r="Q221" s="1"/>
      <x:c r="R221" s="1"/>
      <x:c r="S221" s="1"/>
      <x:c r="T221" s="1"/>
      <x:c r="U221" s="1"/>
      <x:c r="V221" s="1"/>
      <x:c r="W221" s="1"/>
      <x:c r="X221" s="1"/>
      <x:c r="Y221" s="1"/>
      <x:c r="Z221" s="1"/>
    </x:row>
    <x:row r="222">
      <x:c r="A222" s="1"/>
      <x:c r="B222" s="1"/>
      <x:c r="C222" s="1"/>
      <x:c r="D222" s="1"/>
      <x:c r="E222" s="1"/>
      <x:c r="F222" s="1"/>
      <x:c r="G222" s="1"/>
      <x:c r="H222" s="1"/>
      <x:c r="I222" s="1"/>
      <x:c r="J222" s="1"/>
      <x:c r="K222" s="1"/>
      <x:c r="L222" s="1"/>
      <x:c r="M222" s="1"/>
      <x:c r="N222" s="1"/>
      <x:c r="O222" s="1"/>
      <x:c r="P222" s="1"/>
      <x:c r="Q222" s="1"/>
      <x:c r="R222" s="1"/>
      <x:c r="S222" s="1"/>
      <x:c r="T222" s="1"/>
      <x:c r="U222" s="1"/>
      <x:c r="V222" s="1"/>
      <x:c r="W222" s="1"/>
      <x:c r="X222" s="1"/>
      <x:c r="Y222" s="1"/>
      <x:c r="Z222" s="1"/>
    </x:row>
    <x:row r="223">
      <x:c r="A223" s="1"/>
      <x:c r="B223" s="1"/>
      <x:c r="C223" s="1"/>
      <x:c r="D223" s="1"/>
      <x:c r="E223" s="1"/>
      <x:c r="F223" s="1"/>
      <x:c r="G223" s="1"/>
      <x:c r="H223" s="1"/>
      <x:c r="I223" s="1"/>
      <x:c r="J223" s="1"/>
      <x:c r="K223" s="1"/>
      <x:c r="L223" s="1"/>
      <x:c r="M223" s="1"/>
      <x:c r="N223" s="1"/>
      <x:c r="O223" s="1"/>
      <x:c r="P223" s="1"/>
      <x:c r="Q223" s="1"/>
      <x:c r="R223" s="1"/>
      <x:c r="S223" s="1"/>
      <x:c r="T223" s="1"/>
      <x:c r="U223" s="1"/>
      <x:c r="V223" s="1"/>
      <x:c r="W223" s="1"/>
      <x:c r="X223" s="1"/>
      <x:c r="Y223" s="1"/>
      <x:c r="Z223" s="1"/>
    </x:row>
    <x:row r="224">
      <x:c r="A224" s="1"/>
      <x:c r="B224" s="1"/>
      <x:c r="C224" s="1"/>
      <x:c r="D224" s="1"/>
      <x:c r="E224" s="1"/>
      <x:c r="F224" s="1"/>
      <x:c r="G224" s="1"/>
      <x:c r="H224" s="1"/>
      <x:c r="I224" s="1"/>
      <x:c r="J224" s="1"/>
      <x:c r="K224" s="1"/>
      <x:c r="L224" s="1"/>
      <x:c r="M224" s="1"/>
      <x:c r="N224" s="1"/>
      <x:c r="O224" s="1"/>
      <x:c r="P224" s="1"/>
      <x:c r="Q224" s="1"/>
      <x:c r="R224" s="1"/>
      <x:c r="S224" s="1"/>
      <x:c r="T224" s="1"/>
      <x:c r="U224" s="1"/>
      <x:c r="V224" s="1"/>
      <x:c r="W224" s="1"/>
      <x:c r="X224" s="1"/>
      <x:c r="Y224" s="1"/>
      <x:c r="Z224" s="1"/>
    </x:row>
    <x:row r="225">
      <x:c r="A225" s="1"/>
      <x:c r="B225" s="1"/>
      <x:c r="C225" s="1"/>
      <x:c r="D225" s="1"/>
      <x:c r="E225" s="1"/>
      <x:c r="F225" s="1"/>
      <x:c r="G225" s="1"/>
      <x:c r="H225" s="1"/>
      <x:c r="I225" s="1"/>
      <x:c r="J225" s="1"/>
      <x:c r="K225" s="1"/>
      <x:c r="L225" s="1"/>
      <x:c r="M225" s="1"/>
      <x:c r="N225" s="1"/>
      <x:c r="O225" s="1"/>
      <x:c r="P225" s="1"/>
      <x:c r="Q225" s="1"/>
      <x:c r="R225" s="1"/>
      <x:c r="S225" s="1"/>
      <x:c r="T225" s="1"/>
      <x:c r="U225" s="1"/>
      <x:c r="V225" s="1"/>
      <x:c r="W225" s="1"/>
      <x:c r="X225" s="1"/>
      <x:c r="Y225" s="1"/>
      <x:c r="Z225" s="1"/>
    </x:row>
    <x:row r="226">
      <x:c r="A226" s="1"/>
      <x:c r="B226" s="1"/>
      <x:c r="C226" s="1"/>
      <x:c r="D226" s="1"/>
      <x:c r="E226" s="1"/>
      <x:c r="F226" s="1"/>
      <x:c r="G226" s="1"/>
      <x:c r="H226" s="1"/>
      <x:c r="I226" s="1"/>
      <x:c r="J226" s="1"/>
      <x:c r="K226" s="1"/>
      <x:c r="L226" s="1"/>
      <x:c r="M226" s="1"/>
      <x:c r="N226" s="1"/>
      <x:c r="O226" s="1"/>
      <x:c r="P226" s="1"/>
      <x:c r="Q226" s="1"/>
      <x:c r="R226" s="1"/>
      <x:c r="S226" s="1"/>
      <x:c r="T226" s="1"/>
      <x:c r="U226" s="1"/>
      <x:c r="V226" s="1"/>
      <x:c r="W226" s="1"/>
      <x:c r="X226" s="1"/>
      <x:c r="Y226" s="1"/>
      <x:c r="Z226" s="1"/>
    </x:row>
    <x:row r="227">
      <x:c r="A227" s="1"/>
      <x:c r="B227" s="1"/>
      <x:c r="C227" s="1"/>
      <x:c r="D227" s="1"/>
      <x:c r="E227" s="1"/>
      <x:c r="F227" s="1"/>
      <x:c r="G227" s="1"/>
      <x:c r="H227" s="1"/>
      <x:c r="I227" s="1"/>
      <x:c r="J227" s="1"/>
      <x:c r="K227" s="1"/>
      <x:c r="L227" s="1"/>
      <x:c r="M227" s="1"/>
      <x:c r="N227" s="1"/>
      <x:c r="O227" s="1"/>
      <x:c r="P227" s="1"/>
      <x:c r="Q227" s="1"/>
      <x:c r="R227" s="1"/>
      <x:c r="S227" s="1"/>
      <x:c r="T227" s="1"/>
      <x:c r="U227" s="1"/>
      <x:c r="V227" s="1"/>
      <x:c r="W227" s="1"/>
      <x:c r="X227" s="1"/>
      <x:c r="Y227" s="1"/>
      <x:c r="Z227" s="1"/>
    </x:row>
    <x:row r="228">
      <x:c r="A228" s="1"/>
      <x:c r="B228" s="1"/>
      <x:c r="C228" s="1"/>
      <x:c r="D228" s="1"/>
      <x:c r="E228" s="1"/>
      <x:c r="F228" s="1"/>
      <x:c r="G228" s="1"/>
      <x:c r="H228" s="1"/>
      <x:c r="I228" s="1"/>
      <x:c r="J228" s="1"/>
      <x:c r="K228" s="1"/>
      <x:c r="L228" s="1"/>
      <x:c r="M228" s="1"/>
      <x:c r="N228" s="1"/>
      <x:c r="O228" s="1"/>
      <x:c r="P228" s="1"/>
      <x:c r="Q228" s="1"/>
      <x:c r="R228" s="1"/>
      <x:c r="S228" s="1"/>
      <x:c r="T228" s="1"/>
      <x:c r="U228" s="1"/>
      <x:c r="V228" s="1"/>
      <x:c r="W228" s="1"/>
      <x:c r="X228" s="1"/>
      <x:c r="Y228" s="1"/>
      <x:c r="Z228" s="1"/>
    </x:row>
    <x:row r="229">
      <x:c r="A229" s="1"/>
      <x:c r="B229" s="1"/>
      <x:c r="C229" s="1"/>
      <x:c r="D229" s="1"/>
      <x:c r="E229" s="1"/>
      <x:c r="F229" s="1"/>
      <x:c r="G229" s="1"/>
      <x:c r="H229" s="1"/>
      <x:c r="I229" s="1"/>
      <x:c r="J229" s="1"/>
      <x:c r="K229" s="1"/>
      <x:c r="L229" s="1"/>
      <x:c r="M229" s="1"/>
      <x:c r="N229" s="1"/>
      <x:c r="O229" s="1"/>
      <x:c r="P229" s="1"/>
      <x:c r="Q229" s="1"/>
      <x:c r="R229" s="1"/>
      <x:c r="S229" s="1"/>
      <x:c r="T229" s="1"/>
      <x:c r="U229" s="1"/>
      <x:c r="V229" s="1"/>
      <x:c r="W229" s="1"/>
      <x:c r="X229" s="1"/>
      <x:c r="Y229" s="1"/>
      <x:c r="Z229" s="1"/>
    </x:row>
    <x:row r="230">
      <x:c r="A230" s="1"/>
      <x:c r="B230" s="1"/>
      <x:c r="C230" s="1"/>
      <x:c r="D230" s="1"/>
      <x:c r="E230" s="1"/>
      <x:c r="F230" s="1"/>
      <x:c r="G230" s="1"/>
      <x:c r="H230" s="1"/>
      <x:c r="I230" s="1"/>
      <x:c r="J230" s="1"/>
      <x:c r="K230" s="1"/>
      <x:c r="L230" s="1"/>
      <x:c r="M230" s="1"/>
      <x:c r="N230" s="1"/>
      <x:c r="O230" s="1"/>
      <x:c r="P230" s="1"/>
      <x:c r="Q230" s="1"/>
      <x:c r="R230" s="1"/>
      <x:c r="S230" s="1"/>
      <x:c r="T230" s="1"/>
      <x:c r="U230" s="1"/>
      <x:c r="V230" s="1"/>
      <x:c r="W230" s="1"/>
      <x:c r="X230" s="1"/>
      <x:c r="Y230" s="1"/>
      <x:c r="Z230" s="1"/>
    </x:row>
    <x:row r="231">
      <x:c r="A231" s="1"/>
      <x:c r="B231" s="1"/>
      <x:c r="C231" s="1"/>
      <x:c r="D231" s="1"/>
      <x:c r="E231" s="1"/>
      <x:c r="F231" s="1"/>
      <x:c r="G231" s="1"/>
      <x:c r="H231" s="1"/>
      <x:c r="I231" s="1"/>
      <x:c r="J231" s="1"/>
      <x:c r="K231" s="1"/>
      <x:c r="L231" s="1"/>
      <x:c r="M231" s="1"/>
      <x:c r="N231" s="1"/>
      <x:c r="O231" s="1"/>
      <x:c r="P231" s="1"/>
      <x:c r="Q231" s="1"/>
      <x:c r="R231" s="1"/>
      <x:c r="S231" s="1"/>
      <x:c r="T231" s="1"/>
      <x:c r="U231" s="1"/>
      <x:c r="V231" s="1"/>
      <x:c r="W231" s="1"/>
      <x:c r="X231" s="1"/>
      <x:c r="Y231" s="1"/>
      <x:c r="Z231" s="1"/>
    </x:row>
    <x:row r="232">
      <x:c r="A232" s="1"/>
      <x:c r="B232" s="1"/>
      <x:c r="C232" s="1"/>
      <x:c r="D232" s="1"/>
      <x:c r="E232" s="1"/>
      <x:c r="F232" s="1"/>
      <x:c r="G232" s="1"/>
      <x:c r="H232" s="1"/>
      <x:c r="I232" s="1"/>
      <x:c r="J232" s="1"/>
      <x:c r="K232" s="1"/>
      <x:c r="L232" s="1"/>
      <x:c r="M232" s="1"/>
      <x:c r="N232" s="1"/>
      <x:c r="O232" s="1"/>
      <x:c r="P232" s="1"/>
      <x:c r="Q232" s="1"/>
      <x:c r="R232" s="1"/>
      <x:c r="S232" s="1"/>
      <x:c r="T232" s="1"/>
      <x:c r="U232" s="1"/>
      <x:c r="V232" s="1"/>
      <x:c r="W232" s="1"/>
      <x:c r="X232" s="1"/>
      <x:c r="Y232" s="1"/>
      <x:c r="Z232" s="1"/>
    </x:row>
    <x:row r="233">
      <x:c r="A233" s="1"/>
      <x:c r="B233" s="1"/>
      <x:c r="C233" s="1"/>
      <x:c r="D233" s="1"/>
      <x:c r="E233" s="1"/>
      <x:c r="F233" s="1"/>
      <x:c r="G233" s="1"/>
      <x:c r="H233" s="1"/>
      <x:c r="I233" s="1"/>
      <x:c r="J233" s="1"/>
      <x:c r="K233" s="1"/>
      <x:c r="L233" s="1"/>
      <x:c r="M233" s="1"/>
      <x:c r="N233" s="1"/>
      <x:c r="O233" s="1"/>
      <x:c r="P233" s="1"/>
      <x:c r="Q233" s="1"/>
      <x:c r="R233" s="1"/>
      <x:c r="S233" s="1"/>
      <x:c r="T233" s="1"/>
      <x:c r="U233" s="1"/>
      <x:c r="V233" s="1"/>
      <x:c r="W233" s="1"/>
      <x:c r="X233" s="1"/>
      <x:c r="Y233" s="1"/>
      <x:c r="Z233" s="1"/>
    </x:row>
    <x:row r="234">
      <x:c r="A234" s="1"/>
      <x:c r="B234" s="1"/>
      <x:c r="C234" s="1"/>
      <x:c r="D234" s="1"/>
      <x:c r="E234" s="1"/>
      <x:c r="F234" s="1"/>
      <x:c r="G234" s="1"/>
      <x:c r="H234" s="1"/>
      <x:c r="I234" s="1"/>
      <x:c r="J234" s="1"/>
      <x:c r="K234" s="1"/>
      <x:c r="L234" s="1"/>
      <x:c r="M234" s="1"/>
      <x:c r="N234" s="1"/>
      <x:c r="O234" s="1"/>
      <x:c r="P234" s="1"/>
      <x:c r="Q234" s="1"/>
      <x:c r="R234" s="1"/>
      <x:c r="S234" s="1"/>
      <x:c r="T234" s="1"/>
      <x:c r="U234" s="1"/>
      <x:c r="V234" s="1"/>
      <x:c r="W234" s="1"/>
      <x:c r="X234" s="1"/>
      <x:c r="Y234" s="1"/>
      <x:c r="Z234" s="1"/>
    </x:row>
    <x:row r="235">
      <x:c r="A235" s="1"/>
      <x:c r="B235" s="1"/>
      <x:c r="C235" s="1"/>
      <x:c r="D235" s="1"/>
      <x:c r="E235" s="1"/>
      <x:c r="F235" s="1"/>
      <x:c r="G235" s="1"/>
      <x:c r="H235" s="1"/>
      <x:c r="I235" s="1"/>
      <x:c r="J235" s="1"/>
      <x:c r="K235" s="1"/>
      <x:c r="L235" s="1"/>
      <x:c r="M235" s="1"/>
      <x:c r="N235" s="1"/>
      <x:c r="O235" s="1"/>
      <x:c r="P235" s="1"/>
      <x:c r="Q235" s="1"/>
      <x:c r="R235" s="1"/>
      <x:c r="S235" s="1"/>
      <x:c r="T235" s="1"/>
      <x:c r="U235" s="1"/>
      <x:c r="V235" s="1"/>
      <x:c r="W235" s="1"/>
      <x:c r="X235" s="1"/>
      <x:c r="Y235" s="1"/>
      <x:c r="Z235" s="1"/>
    </x:row>
    <x:row r="236">
      <x:c r="A236" s="1"/>
      <x:c r="B236" s="1"/>
      <x:c r="C236" s="1"/>
      <x:c r="D236" s="1"/>
      <x:c r="E236" s="1"/>
      <x:c r="F236" s="1"/>
      <x:c r="G236" s="1"/>
      <x:c r="H236" s="1"/>
      <x:c r="I236" s="1"/>
      <x:c r="J236" s="1"/>
      <x:c r="K236" s="1"/>
      <x:c r="L236" s="1"/>
      <x:c r="M236" s="1"/>
      <x:c r="N236" s="1"/>
      <x:c r="O236" s="1"/>
      <x:c r="P236" s="1"/>
      <x:c r="Q236" s="1"/>
      <x:c r="R236" s="1"/>
      <x:c r="S236" s="1"/>
      <x:c r="T236" s="1"/>
      <x:c r="U236" s="1"/>
      <x:c r="V236" s="1"/>
      <x:c r="W236" s="1"/>
      <x:c r="X236" s="1"/>
      <x:c r="Y236" s="1"/>
      <x:c r="Z236" s="1"/>
    </x:row>
    <x:row r="237">
      <x:c r="A237" s="1"/>
      <x:c r="B237" s="1"/>
      <x:c r="C237" s="1"/>
      <x:c r="D237" s="1"/>
      <x:c r="E237" s="1"/>
      <x:c r="F237" s="1"/>
      <x:c r="G237" s="1"/>
      <x:c r="H237" s="1"/>
      <x:c r="I237" s="1"/>
      <x:c r="J237" s="1"/>
      <x:c r="K237" s="1"/>
      <x:c r="L237" s="1"/>
      <x:c r="M237" s="1"/>
      <x:c r="N237" s="1"/>
      <x:c r="O237" s="1"/>
      <x:c r="P237" s="1"/>
      <x:c r="Q237" s="1"/>
      <x:c r="R237" s="1"/>
      <x:c r="S237" s="1"/>
      <x:c r="T237" s="1"/>
      <x:c r="U237" s="1"/>
      <x:c r="V237" s="1"/>
      <x:c r="W237" s="1"/>
      <x:c r="X237" s="1"/>
      <x:c r="Y237" s="1"/>
      <x:c r="Z237" s="1"/>
    </x:row>
    <x:row r="238">
      <x:c r="A238" s="1"/>
      <x:c r="B238" s="1"/>
      <x:c r="C238" s="1"/>
      <x:c r="D238" s="1"/>
      <x:c r="E238" s="1"/>
      <x:c r="F238" s="1"/>
      <x:c r="G238" s="1"/>
      <x:c r="H238" s="1"/>
      <x:c r="I238" s="1"/>
      <x:c r="J238" s="1"/>
      <x:c r="K238" s="1"/>
      <x:c r="L238" s="1"/>
      <x:c r="M238" s="1"/>
      <x:c r="N238" s="1"/>
      <x:c r="O238" s="1"/>
      <x:c r="P238" s="1"/>
      <x:c r="Q238" s="1"/>
      <x:c r="R238" s="1"/>
      <x:c r="S238" s="1"/>
      <x:c r="T238" s="1"/>
      <x:c r="U238" s="1"/>
      <x:c r="V238" s="1"/>
      <x:c r="W238" s="1"/>
      <x:c r="X238" s="1"/>
      <x:c r="Y238" s="1"/>
      <x:c r="Z238" s="1"/>
    </x:row>
    <x:row r="239">
      <x:c r="A239" s="1"/>
      <x:c r="B239" s="1"/>
      <x:c r="C239" s="1"/>
      <x:c r="D239" s="1"/>
      <x:c r="E239" s="1"/>
      <x:c r="F239" s="1"/>
      <x:c r="G239" s="1"/>
      <x:c r="H239" s="1"/>
      <x:c r="I239" s="1"/>
      <x:c r="J239" s="1"/>
      <x:c r="K239" s="1"/>
      <x:c r="L239" s="1"/>
      <x:c r="M239" s="1"/>
      <x:c r="N239" s="1"/>
      <x:c r="O239" s="1"/>
      <x:c r="P239" s="1"/>
      <x:c r="Q239" s="1"/>
      <x:c r="R239" s="1"/>
      <x:c r="S239" s="1"/>
      <x:c r="T239" s="1"/>
      <x:c r="U239" s="1"/>
      <x:c r="V239" s="1"/>
      <x:c r="W239" s="1"/>
      <x:c r="X239" s="1"/>
      <x:c r="Y239" s="1"/>
      <x:c r="Z239" s="1"/>
    </x:row>
    <x:row r="240">
      <x:c r="A240" s="1"/>
      <x:c r="B240" s="1"/>
      <x:c r="C240" s="1"/>
      <x:c r="D240" s="1"/>
      <x:c r="E240" s="1"/>
      <x:c r="F240" s="1"/>
      <x:c r="G240" s="1"/>
      <x:c r="H240" s="1"/>
      <x:c r="I240" s="1"/>
      <x:c r="J240" s="1"/>
      <x:c r="K240" s="1"/>
      <x:c r="L240" s="1"/>
      <x:c r="M240" s="1"/>
      <x:c r="N240" s="1"/>
      <x:c r="O240" s="1"/>
      <x:c r="P240" s="1"/>
      <x:c r="Q240" s="1"/>
      <x:c r="R240" s="1"/>
      <x:c r="S240" s="1"/>
      <x:c r="T240" s="1"/>
      <x:c r="U240" s="1"/>
      <x:c r="V240" s="1"/>
      <x:c r="W240" s="1"/>
      <x:c r="X240" s="1"/>
      <x:c r="Y240" s="1"/>
      <x:c r="Z240" s="1"/>
    </x:row>
    <x:row r="241">
      <x:c r="A241" s="1"/>
      <x:c r="B241" s="1"/>
      <x:c r="C241" s="1"/>
      <x:c r="D241" s="1"/>
      <x:c r="E241" s="1"/>
      <x:c r="F241" s="1"/>
      <x:c r="G241" s="1"/>
      <x:c r="H241" s="1"/>
      <x:c r="I241" s="1"/>
      <x:c r="J241" s="1"/>
      <x:c r="K241" s="1"/>
      <x:c r="L241" s="1"/>
      <x:c r="M241" s="1"/>
      <x:c r="N241" s="1"/>
      <x:c r="O241" s="1"/>
      <x:c r="P241" s="1"/>
      <x:c r="Q241" s="1"/>
      <x:c r="R241" s="1"/>
      <x:c r="S241" s="1"/>
      <x:c r="T241" s="1"/>
      <x:c r="U241" s="1"/>
      <x:c r="V241" s="1"/>
      <x:c r="W241" s="1"/>
      <x:c r="X241" s="1"/>
      <x:c r="Y241" s="1"/>
      <x:c r="Z241" s="1"/>
    </x:row>
    <x:row r="242">
      <x:c r="A242" s="1"/>
      <x:c r="B242" s="1"/>
      <x:c r="C242" s="1"/>
      <x:c r="D242" s="1"/>
      <x:c r="E242" s="1"/>
      <x:c r="F242" s="1"/>
      <x:c r="G242" s="1"/>
      <x:c r="H242" s="1"/>
      <x:c r="I242" s="1"/>
      <x:c r="J242" s="1"/>
      <x:c r="K242" s="1"/>
      <x:c r="L242" s="1"/>
      <x:c r="M242" s="1"/>
      <x:c r="N242" s="1"/>
      <x:c r="O242" s="1"/>
      <x:c r="P242" s="1"/>
      <x:c r="Q242" s="1"/>
      <x:c r="R242" s="1"/>
      <x:c r="S242" s="1"/>
      <x:c r="T242" s="1"/>
      <x:c r="U242" s="1"/>
      <x:c r="V242" s="1"/>
      <x:c r="W242" s="1"/>
      <x:c r="X242" s="1"/>
      <x:c r="Y242" s="1"/>
      <x:c r="Z242" s="1"/>
    </x:row>
    <x:row r="243">
      <x:c r="A243" s="1"/>
      <x:c r="B243" s="1"/>
      <x:c r="C243" s="1"/>
      <x:c r="D243" s="1"/>
      <x:c r="E243" s="1"/>
      <x:c r="F243" s="1"/>
      <x:c r="G243" s="1"/>
      <x:c r="H243" s="1"/>
      <x:c r="I243" s="1"/>
      <x:c r="J243" s="1"/>
      <x:c r="K243" s="1"/>
      <x:c r="L243" s="1"/>
      <x:c r="M243" s="1"/>
      <x:c r="N243" s="1"/>
      <x:c r="O243" s="1"/>
      <x:c r="P243" s="1"/>
      <x:c r="Q243" s="1"/>
      <x:c r="R243" s="1"/>
      <x:c r="S243" s="1"/>
      <x:c r="T243" s="1"/>
      <x:c r="U243" s="1"/>
      <x:c r="V243" s="1"/>
      <x:c r="W243" s="1"/>
      <x:c r="X243" s="1"/>
      <x:c r="Y243" s="1"/>
      <x:c r="Z243" s="1"/>
    </x:row>
    <x:row r="244">
      <x:c r="A244" s="1"/>
      <x:c r="B244" s="1"/>
      <x:c r="C244" s="1"/>
      <x:c r="D244" s="1"/>
      <x:c r="E244" s="1"/>
      <x:c r="F244" s="1"/>
      <x:c r="G244" s="1"/>
      <x:c r="H244" s="1"/>
      <x:c r="I244" s="1"/>
      <x:c r="J244" s="1"/>
      <x:c r="K244" s="1"/>
      <x:c r="L244" s="1"/>
      <x:c r="M244" s="1"/>
      <x:c r="N244" s="1"/>
      <x:c r="O244" s="1"/>
      <x:c r="P244" s="1"/>
      <x:c r="Q244" s="1"/>
      <x:c r="R244" s="1"/>
      <x:c r="S244" s="1"/>
      <x:c r="T244" s="1"/>
      <x:c r="U244" s="1"/>
      <x:c r="V244" s="1"/>
      <x:c r="W244" s="1"/>
      <x:c r="X244" s="1"/>
      <x:c r="Y244" s="1"/>
      <x:c r="Z244" s="1"/>
    </x:row>
    <x:row r="245">
      <x:c r="A245" s="1"/>
      <x:c r="B245" s="1"/>
      <x:c r="C245" s="1"/>
      <x:c r="D245" s="1"/>
      <x:c r="E245" s="1"/>
      <x:c r="F245" s="1"/>
      <x:c r="G245" s="1"/>
      <x:c r="H245" s="1"/>
      <x:c r="I245" s="1"/>
      <x:c r="J245" s="1"/>
      <x:c r="K245" s="1"/>
      <x:c r="L245" s="1"/>
      <x:c r="M245" s="1"/>
      <x:c r="N245" s="1"/>
      <x:c r="O245" s="1"/>
      <x:c r="P245" s="1"/>
      <x:c r="Q245" s="1"/>
      <x:c r="R245" s="1"/>
      <x:c r="S245" s="1"/>
      <x:c r="T245" s="1"/>
      <x:c r="U245" s="1"/>
      <x:c r="V245" s="1"/>
      <x:c r="W245" s="1"/>
      <x:c r="X245" s="1"/>
      <x:c r="Y245" s="1"/>
      <x:c r="Z245" s="1"/>
    </x:row>
    <x:row r="246">
      <x:c r="A246" s="1"/>
      <x:c r="B246" s="1"/>
      <x:c r="C246" s="1"/>
      <x:c r="D246" s="1"/>
      <x:c r="E246" s="1"/>
      <x:c r="F246" s="1"/>
      <x:c r="G246" s="1"/>
      <x:c r="H246" s="1"/>
      <x:c r="I246" s="1"/>
      <x:c r="J246" s="1"/>
      <x:c r="K246" s="1"/>
      <x:c r="L246" s="1"/>
      <x:c r="M246" s="1"/>
      <x:c r="N246" s="1"/>
      <x:c r="O246" s="1"/>
      <x:c r="P246" s="1"/>
      <x:c r="Q246" s="1"/>
      <x:c r="R246" s="1"/>
      <x:c r="S246" s="1"/>
      <x:c r="T246" s="1"/>
      <x:c r="U246" s="1"/>
      <x:c r="V246" s="1"/>
      <x:c r="W246" s="1"/>
      <x:c r="X246" s="1"/>
      <x:c r="Y246" s="1"/>
      <x:c r="Z246" s="1"/>
    </x:row>
    <x:row r="247">
      <x:c r="A247" s="1"/>
      <x:c r="B247" s="1"/>
      <x:c r="C247" s="1"/>
      <x:c r="D247" s="1"/>
      <x:c r="E247" s="1"/>
      <x:c r="F247" s="1"/>
      <x:c r="G247" s="1"/>
      <x:c r="H247" s="1"/>
      <x:c r="I247" s="1"/>
      <x:c r="J247" s="1"/>
      <x:c r="K247" s="1"/>
      <x:c r="L247" s="1"/>
      <x:c r="M247" s="1"/>
      <x:c r="N247" s="1"/>
      <x:c r="O247" s="1"/>
      <x:c r="P247" s="1"/>
      <x:c r="Q247" s="1"/>
      <x:c r="R247" s="1"/>
      <x:c r="S247" s="1"/>
      <x:c r="T247" s="1"/>
      <x:c r="U247" s="1"/>
      <x:c r="V247" s="1"/>
      <x:c r="W247" s="1"/>
      <x:c r="X247" s="1"/>
      <x:c r="Y247" s="1"/>
      <x:c r="Z247" s="1"/>
    </x:row>
    <x:row r="248">
      <x:c r="A248" s="1"/>
      <x:c r="B248" s="1"/>
      <x:c r="C248" s="1"/>
      <x:c r="D248" s="1"/>
      <x:c r="E248" s="1"/>
      <x:c r="F248" s="1"/>
      <x:c r="G248" s="1"/>
      <x:c r="H248" s="1"/>
      <x:c r="I248" s="1"/>
      <x:c r="J248" s="1"/>
      <x:c r="K248" s="1"/>
      <x:c r="L248" s="1"/>
      <x:c r="M248" s="1"/>
      <x:c r="N248" s="1"/>
      <x:c r="O248" s="1"/>
      <x:c r="P248" s="1"/>
      <x:c r="Q248" s="1"/>
      <x:c r="R248" s="1"/>
      <x:c r="S248" s="1"/>
      <x:c r="T248" s="1"/>
      <x:c r="U248" s="1"/>
      <x:c r="V248" s="1"/>
      <x:c r="W248" s="1"/>
      <x:c r="X248" s="1"/>
      <x:c r="Y248" s="1"/>
      <x:c r="Z248" s="1"/>
    </x:row>
    <x:row r="249">
      <x:c r="A249" s="1"/>
      <x:c r="B249" s="1"/>
      <x:c r="C249" s="1"/>
      <x:c r="D249" s="1"/>
      <x:c r="E249" s="1"/>
      <x:c r="F249" s="1"/>
      <x:c r="G249" s="1"/>
      <x:c r="H249" s="1"/>
      <x:c r="I249" s="1"/>
      <x:c r="J249" s="1"/>
      <x:c r="K249" s="1"/>
      <x:c r="L249" s="1"/>
      <x:c r="M249" s="1"/>
      <x:c r="N249" s="1"/>
      <x:c r="O249" s="1"/>
      <x:c r="P249" s="1"/>
      <x:c r="Q249" s="1"/>
      <x:c r="R249" s="1"/>
      <x:c r="S249" s="1"/>
      <x:c r="T249" s="1"/>
      <x:c r="U249" s="1"/>
      <x:c r="V249" s="1"/>
      <x:c r="W249" s="1"/>
      <x:c r="X249" s="1"/>
      <x:c r="Y249" s="1"/>
      <x:c r="Z249" s="1"/>
    </x:row>
    <x:row r="250">
      <x:c r="A250" s="1"/>
      <x:c r="B250" s="1"/>
      <x:c r="C250" s="1"/>
      <x:c r="D250" s="1"/>
      <x:c r="E250" s="1"/>
      <x:c r="F250" s="1"/>
      <x:c r="G250" s="1"/>
      <x:c r="H250" s="1"/>
      <x:c r="I250" s="1"/>
      <x:c r="J250" s="1"/>
      <x:c r="K250" s="1"/>
      <x:c r="L250" s="1"/>
      <x:c r="M250" s="1"/>
      <x:c r="N250" s="1"/>
      <x:c r="O250" s="1"/>
      <x:c r="P250" s="1"/>
      <x:c r="Q250" s="1"/>
      <x:c r="R250" s="1"/>
      <x:c r="S250" s="1"/>
      <x:c r="T250" s="1"/>
      <x:c r="U250" s="1"/>
      <x:c r="V250" s="1"/>
      <x:c r="W250" s="1"/>
      <x:c r="X250" s="1"/>
      <x:c r="Y250" s="1"/>
      <x:c r="Z250" s="1"/>
    </x:row>
    <x:row r="251">
      <x:c r="A251" s="1"/>
      <x:c r="B251" s="1"/>
      <x:c r="C251" s="1"/>
      <x:c r="D251" s="1"/>
      <x:c r="E251" s="1"/>
      <x:c r="F251" s="1"/>
      <x:c r="G251" s="1"/>
      <x:c r="H251" s="1"/>
      <x:c r="I251" s="1"/>
      <x:c r="J251" s="1"/>
      <x:c r="K251" s="1"/>
      <x:c r="L251" s="1"/>
      <x:c r="M251" s="1"/>
      <x:c r="N251" s="1"/>
      <x:c r="O251" s="1"/>
      <x:c r="P251" s="1"/>
      <x:c r="Q251" s="1"/>
      <x:c r="R251" s="1"/>
      <x:c r="S251" s="1"/>
      <x:c r="T251" s="1"/>
      <x:c r="U251" s="1"/>
      <x:c r="V251" s="1"/>
      <x:c r="W251" s="1"/>
      <x:c r="X251" s="1"/>
      <x:c r="Y251" s="1"/>
      <x:c r="Z251" s="1"/>
    </x:row>
    <x:row r="252">
      <x:c r="A252" s="1"/>
      <x:c r="B252" s="1"/>
      <x:c r="C252" s="1"/>
      <x:c r="D252" s="1"/>
      <x:c r="E252" s="1"/>
      <x:c r="F252" s="1"/>
      <x:c r="G252" s="1"/>
      <x:c r="H252" s="1"/>
      <x:c r="I252" s="1"/>
      <x:c r="J252" s="1"/>
      <x:c r="K252" s="1"/>
      <x:c r="L252" s="1"/>
      <x:c r="M252" s="1"/>
      <x:c r="N252" s="1"/>
      <x:c r="O252" s="1"/>
      <x:c r="P252" s="1"/>
      <x:c r="Q252" s="1"/>
      <x:c r="R252" s="1"/>
      <x:c r="S252" s="1"/>
      <x:c r="T252" s="1"/>
      <x:c r="U252" s="1"/>
      <x:c r="V252" s="1"/>
      <x:c r="W252" s="1"/>
      <x:c r="X252" s="1"/>
      <x:c r="Y252" s="1"/>
      <x:c r="Z252" s="1"/>
    </x:row>
    <x:row r="253">
      <x:c r="A253" s="1"/>
      <x:c r="B253" s="1"/>
      <x:c r="C253" s="1"/>
      <x:c r="D253" s="1"/>
      <x:c r="E253" s="1"/>
      <x:c r="F253" s="1"/>
      <x:c r="G253" s="1"/>
      <x:c r="H253" s="1"/>
      <x:c r="I253" s="1"/>
      <x:c r="J253" s="1"/>
      <x:c r="K253" s="1"/>
      <x:c r="L253" s="1"/>
      <x:c r="M253" s="1"/>
      <x:c r="N253" s="1"/>
      <x:c r="O253" s="1"/>
      <x:c r="P253" s="1"/>
      <x:c r="Q253" s="1"/>
      <x:c r="R253" s="1"/>
      <x:c r="S253" s="1"/>
      <x:c r="T253" s="1"/>
      <x:c r="U253" s="1"/>
      <x:c r="V253" s="1"/>
      <x:c r="W253" s="1"/>
      <x:c r="X253" s="1"/>
      <x:c r="Y253" s="1"/>
      <x:c r="Z253" s="1"/>
    </x:row>
    <x:row r="254">
      <x:c r="A254" s="1"/>
      <x:c r="B254" s="1"/>
      <x:c r="C254" s="1"/>
      <x:c r="D254" s="1"/>
      <x:c r="E254" s="1"/>
      <x:c r="F254" s="1"/>
      <x:c r="G254" s="1"/>
      <x:c r="H254" s="1"/>
      <x:c r="I254" s="1"/>
      <x:c r="J254" s="1"/>
      <x:c r="K254" s="1"/>
      <x:c r="L254" s="1"/>
      <x:c r="M254" s="1"/>
      <x:c r="N254" s="1"/>
      <x:c r="O254" s="1"/>
      <x:c r="P254" s="1"/>
      <x:c r="Q254" s="1"/>
      <x:c r="R254" s="1"/>
      <x:c r="S254" s="1"/>
      <x:c r="T254" s="1"/>
      <x:c r="U254" s="1"/>
      <x:c r="V254" s="1"/>
      <x:c r="W254" s="1"/>
      <x:c r="X254" s="1"/>
      <x:c r="Y254" s="1"/>
      <x:c r="Z254" s="1"/>
    </x:row>
    <x:row r="255">
      <x:c r="A255" s="1"/>
      <x:c r="B255" s="1"/>
      <x:c r="C255" s="1"/>
      <x:c r="D255" s="1"/>
      <x:c r="E255" s="1"/>
      <x:c r="F255" s="1"/>
      <x:c r="G255" s="1"/>
      <x:c r="H255" s="1"/>
      <x:c r="I255" s="1"/>
      <x:c r="J255" s="1"/>
      <x:c r="K255" s="1"/>
      <x:c r="L255" s="1"/>
      <x:c r="M255" s="1"/>
      <x:c r="N255" s="1"/>
      <x:c r="O255" s="1"/>
      <x:c r="P255" s="1"/>
      <x:c r="Q255" s="1"/>
      <x:c r="R255" s="1"/>
      <x:c r="S255" s="1"/>
      <x:c r="T255" s="1"/>
      <x:c r="U255" s="1"/>
      <x:c r="V255" s="1"/>
      <x:c r="W255" s="1"/>
      <x:c r="X255" s="1"/>
      <x:c r="Y255" s="1"/>
      <x:c r="Z255" s="1"/>
    </x:row>
    <x:row r="256">
      <x:c r="A256" s="1"/>
      <x:c r="B256" s="1"/>
      <x:c r="C256" s="1"/>
      <x:c r="D256" s="1"/>
      <x:c r="E256" s="1"/>
      <x:c r="F256" s="1"/>
      <x:c r="G256" s="1"/>
      <x:c r="H256" s="1"/>
      <x:c r="I256" s="1"/>
      <x:c r="J256" s="1"/>
      <x:c r="K256" s="1"/>
      <x:c r="L256" s="1"/>
      <x:c r="M256" s="1"/>
      <x:c r="N256" s="1"/>
      <x:c r="O256" s="1"/>
      <x:c r="P256" s="1"/>
      <x:c r="Q256" s="1"/>
      <x:c r="R256" s="1"/>
      <x:c r="S256" s="1"/>
      <x:c r="T256" s="1"/>
      <x:c r="U256" s="1"/>
      <x:c r="V256" s="1"/>
      <x:c r="W256" s="1"/>
      <x:c r="X256" s="1"/>
      <x:c r="Y256" s="1"/>
      <x:c r="Z256" s="1"/>
    </x:row>
    <x:row r="257">
      <x:c r="A257" s="1"/>
      <x:c r="B257" s="1"/>
      <x:c r="C257" s="1"/>
      <x:c r="D257" s="1"/>
      <x:c r="E257" s="1"/>
      <x:c r="F257" s="1"/>
      <x:c r="G257" s="1"/>
      <x:c r="H257" s="1"/>
      <x:c r="I257" s="1"/>
      <x:c r="J257" s="1"/>
      <x:c r="K257" s="1"/>
      <x:c r="L257" s="1"/>
      <x:c r="M257" s="1"/>
      <x:c r="N257" s="1"/>
      <x:c r="O257" s="1"/>
      <x:c r="P257" s="1"/>
      <x:c r="Q257" s="1"/>
      <x:c r="R257" s="1"/>
      <x:c r="S257" s="1"/>
      <x:c r="T257" s="1"/>
      <x:c r="U257" s="1"/>
      <x:c r="V257" s="1"/>
      <x:c r="W257" s="1"/>
      <x:c r="X257" s="1"/>
      <x:c r="Y257" s="1"/>
      <x:c r="Z257" s="1"/>
    </x:row>
    <x:row r="258">
      <x:c r="A258" s="1"/>
      <x:c r="B258" s="1"/>
      <x:c r="C258" s="1"/>
      <x:c r="D258" s="1"/>
      <x:c r="E258" s="1"/>
      <x:c r="F258" s="1"/>
      <x:c r="G258" s="1"/>
      <x:c r="H258" s="1"/>
      <x:c r="I258" s="1"/>
      <x:c r="J258" s="1"/>
      <x:c r="K258" s="1"/>
      <x:c r="L258" s="1"/>
      <x:c r="M258" s="1"/>
      <x:c r="N258" s="1"/>
      <x:c r="O258" s="1"/>
      <x:c r="P258" s="1"/>
      <x:c r="Q258" s="1"/>
      <x:c r="R258" s="1"/>
      <x:c r="S258" s="1"/>
      <x:c r="T258" s="1"/>
      <x:c r="U258" s="1"/>
      <x:c r="V258" s="1"/>
      <x:c r="W258" s="1"/>
      <x:c r="X258" s="1"/>
      <x:c r="Y258" s="1"/>
      <x:c r="Z258" s="1"/>
    </x:row>
    <x:row r="259">
      <x:c r="A259" s="1"/>
      <x:c r="B259" s="1"/>
      <x:c r="C259" s="1"/>
      <x:c r="D259" s="1"/>
      <x:c r="E259" s="1"/>
      <x:c r="F259" s="1"/>
      <x:c r="G259" s="1"/>
      <x:c r="H259" s="1"/>
      <x:c r="I259" s="1"/>
      <x:c r="J259" s="1"/>
      <x:c r="K259" s="1"/>
      <x:c r="L259" s="1"/>
      <x:c r="M259" s="1"/>
      <x:c r="N259" s="1"/>
      <x:c r="O259" s="1"/>
      <x:c r="P259" s="1"/>
      <x:c r="Q259" s="1"/>
      <x:c r="R259" s="1"/>
      <x:c r="S259" s="1"/>
      <x:c r="T259" s="1"/>
      <x:c r="U259" s="1"/>
      <x:c r="V259" s="1"/>
      <x:c r="W259" s="1"/>
      <x:c r="X259" s="1"/>
      <x:c r="Y259" s="1"/>
      <x:c r="Z259" s="1"/>
    </x:row>
    <x:row r="260">
      <x:c r="A260" s="1"/>
      <x:c r="B260" s="1"/>
      <x:c r="C260" s="1"/>
      <x:c r="D260" s="1"/>
      <x:c r="E260" s="1"/>
      <x:c r="F260" s="1"/>
      <x:c r="G260" s="1"/>
      <x:c r="H260" s="1"/>
      <x:c r="I260" s="1"/>
      <x:c r="J260" s="1"/>
      <x:c r="K260" s="1"/>
      <x:c r="L260" s="1"/>
      <x:c r="M260" s="1"/>
      <x:c r="N260" s="1"/>
      <x:c r="O260" s="1"/>
      <x:c r="P260" s="1"/>
      <x:c r="Q260" s="1"/>
      <x:c r="R260" s="1"/>
      <x:c r="S260" s="1"/>
      <x:c r="T260" s="1"/>
      <x:c r="U260" s="1"/>
      <x:c r="V260" s="1"/>
      <x:c r="W260" s="1"/>
      <x:c r="X260" s="1"/>
      <x:c r="Y260" s="1"/>
      <x:c r="Z260" s="1"/>
    </x:row>
    <x:row r="261">
      <x:c r="A261" s="1"/>
      <x:c r="B261" s="1"/>
      <x:c r="C261" s="1"/>
      <x:c r="D261" s="1"/>
      <x:c r="E261" s="1"/>
      <x:c r="F261" s="1"/>
      <x:c r="G261" s="1"/>
      <x:c r="H261" s="1"/>
      <x:c r="I261" s="1"/>
      <x:c r="J261" s="1"/>
      <x:c r="K261" s="1"/>
      <x:c r="L261" s="1"/>
      <x:c r="M261" s="1"/>
      <x:c r="N261" s="1"/>
      <x:c r="O261" s="1"/>
      <x:c r="P261" s="1"/>
      <x:c r="Q261" s="1"/>
      <x:c r="R261" s="1"/>
      <x:c r="S261" s="1"/>
      <x:c r="T261" s="1"/>
      <x:c r="U261" s="1"/>
      <x:c r="V261" s="1"/>
      <x:c r="W261" s="1"/>
      <x:c r="X261" s="1"/>
      <x:c r="Y261" s="1"/>
      <x:c r="Z261" s="1"/>
    </x:row>
    <x:row r="262">
      <x:c r="A262" s="1"/>
      <x:c r="B262" s="1"/>
      <x:c r="C262" s="1"/>
      <x:c r="D262" s="1"/>
      <x:c r="E262" s="1"/>
      <x:c r="F262" s="1"/>
      <x:c r="G262" s="1"/>
      <x:c r="H262" s="1"/>
      <x:c r="I262" s="1"/>
      <x:c r="J262" s="1"/>
      <x:c r="K262" s="1"/>
      <x:c r="L262" s="1"/>
      <x:c r="M262" s="1"/>
      <x:c r="N262" s="1"/>
      <x:c r="O262" s="1"/>
      <x:c r="P262" s="1"/>
      <x:c r="Q262" s="1"/>
      <x:c r="R262" s="1"/>
      <x:c r="S262" s="1"/>
      <x:c r="T262" s="1"/>
      <x:c r="U262" s="1"/>
      <x:c r="V262" s="1"/>
      <x:c r="W262" s="1"/>
      <x:c r="X262" s="1"/>
      <x:c r="Y262" s="1"/>
      <x:c r="Z262" s="1"/>
    </x:row>
    <x:row r="263">
      <x:c r="A263" s="1"/>
      <x:c r="B263" s="1"/>
      <x:c r="C263" s="1"/>
      <x:c r="D263" s="1"/>
      <x:c r="E263" s="1"/>
      <x:c r="F263" s="1"/>
      <x:c r="G263" s="1"/>
      <x:c r="H263" s="1"/>
      <x:c r="I263" s="1"/>
      <x:c r="J263" s="1"/>
      <x:c r="K263" s="1"/>
      <x:c r="L263" s="1"/>
      <x:c r="M263" s="1"/>
      <x:c r="N263" s="1"/>
      <x:c r="O263" s="1"/>
      <x:c r="P263" s="1"/>
      <x:c r="Q263" s="1"/>
      <x:c r="R263" s="1"/>
      <x:c r="S263" s="1"/>
      <x:c r="T263" s="1"/>
      <x:c r="U263" s="1"/>
      <x:c r="V263" s="1"/>
      <x:c r="W263" s="1"/>
      <x:c r="X263" s="1"/>
      <x:c r="Y263" s="1"/>
      <x:c r="Z263" s="1"/>
    </x:row>
    <x:row r="264">
      <x:c r="A264" s="1"/>
      <x:c r="B264" s="1"/>
      <x:c r="C264" s="1"/>
      <x:c r="D264" s="1"/>
      <x:c r="E264" s="1"/>
      <x:c r="F264" s="1"/>
      <x:c r="G264" s="1"/>
      <x:c r="H264" s="1"/>
      <x:c r="I264" s="1"/>
      <x:c r="J264" s="1"/>
      <x:c r="K264" s="1"/>
      <x:c r="L264" s="1"/>
      <x:c r="M264" s="1"/>
      <x:c r="N264" s="1"/>
      <x:c r="O264" s="1"/>
      <x:c r="P264" s="1"/>
      <x:c r="Q264" s="1"/>
      <x:c r="R264" s="1"/>
      <x:c r="S264" s="1"/>
      <x:c r="T264" s="1"/>
      <x:c r="U264" s="1"/>
      <x:c r="V264" s="1"/>
      <x:c r="W264" s="1"/>
      <x:c r="X264" s="1"/>
      <x:c r="Y264" s="1"/>
      <x:c r="Z264" s="1"/>
    </x:row>
    <x:row r="265">
      <x:c r="A265" s="1"/>
      <x:c r="B265" s="1"/>
      <x:c r="C265" s="1"/>
      <x:c r="D265" s="1"/>
      <x:c r="E265" s="1"/>
      <x:c r="F265" s="1"/>
      <x:c r="G265" s="1"/>
      <x:c r="H265" s="1"/>
      <x:c r="I265" s="1"/>
      <x:c r="J265" s="1"/>
      <x:c r="K265" s="1"/>
      <x:c r="L265" s="1"/>
      <x:c r="M265" s="1"/>
      <x:c r="N265" s="1"/>
      <x:c r="O265" s="1"/>
      <x:c r="P265" s="1"/>
      <x:c r="Q265" s="1"/>
      <x:c r="R265" s="1"/>
      <x:c r="S265" s="1"/>
      <x:c r="T265" s="1"/>
      <x:c r="U265" s="1"/>
      <x:c r="V265" s="1"/>
      <x:c r="W265" s="1"/>
      <x:c r="X265" s="1"/>
      <x:c r="Y265" s="1"/>
      <x:c r="Z265" s="1"/>
    </x:row>
    <x:row r="266">
      <x:c r="A266" s="1"/>
      <x:c r="B266" s="1"/>
      <x:c r="C266" s="1"/>
      <x:c r="D266" s="1"/>
      <x:c r="E266" s="1"/>
      <x:c r="F266" s="1"/>
      <x:c r="G266" s="1"/>
      <x:c r="H266" s="1"/>
      <x:c r="I266" s="1"/>
      <x:c r="J266" s="1"/>
      <x:c r="K266" s="1"/>
      <x:c r="L266" s="1"/>
      <x:c r="M266" s="1"/>
      <x:c r="N266" s="1"/>
      <x:c r="O266" s="1"/>
      <x:c r="P266" s="1"/>
      <x:c r="Q266" s="1"/>
      <x:c r="R266" s="1"/>
      <x:c r="S266" s="1"/>
      <x:c r="T266" s="1"/>
      <x:c r="U266" s="1"/>
      <x:c r="V266" s="1"/>
      <x:c r="W266" s="1"/>
      <x:c r="X266" s="1"/>
      <x:c r="Y266" s="1"/>
      <x:c r="Z266" s="1"/>
    </x:row>
    <x:row r="267">
      <x:c r="A267" s="1"/>
      <x:c r="B267" s="1"/>
      <x:c r="C267" s="1"/>
      <x:c r="D267" s="1"/>
      <x:c r="E267" s="1"/>
      <x:c r="F267" s="1"/>
      <x:c r="G267" s="1"/>
      <x:c r="H267" s="1"/>
      <x:c r="I267" s="1"/>
      <x:c r="J267" s="1"/>
      <x:c r="K267" s="1"/>
      <x:c r="L267" s="1"/>
      <x:c r="M267" s="1"/>
      <x:c r="N267" s="1"/>
      <x:c r="O267" s="1"/>
      <x:c r="P267" s="1"/>
      <x:c r="Q267" s="1"/>
      <x:c r="R267" s="1"/>
      <x:c r="S267" s="1"/>
      <x:c r="T267" s="1"/>
      <x:c r="U267" s="1"/>
      <x:c r="V267" s="1"/>
      <x:c r="W267" s="1"/>
      <x:c r="X267" s="1"/>
      <x:c r="Y267" s="1"/>
      <x:c r="Z267" s="1"/>
    </x:row>
    <x:row r="268">
      <x:c r="A268" s="1"/>
      <x:c r="B268" s="1"/>
      <x:c r="C268" s="1"/>
      <x:c r="D268" s="1"/>
      <x:c r="E268" s="1"/>
      <x:c r="F268" s="1"/>
      <x:c r="G268" s="1"/>
      <x:c r="H268" s="1"/>
      <x:c r="I268" s="1"/>
      <x:c r="J268" s="1"/>
      <x:c r="K268" s="1"/>
      <x:c r="L268" s="1"/>
      <x:c r="M268" s="1"/>
      <x:c r="N268" s="1"/>
      <x:c r="O268" s="1"/>
      <x:c r="P268" s="1"/>
      <x:c r="Q268" s="1"/>
      <x:c r="R268" s="1"/>
      <x:c r="S268" s="1"/>
      <x:c r="T268" s="1"/>
      <x:c r="U268" s="1"/>
      <x:c r="V268" s="1"/>
      <x:c r="W268" s="1"/>
      <x:c r="X268" s="1"/>
      <x:c r="Y268" s="1"/>
      <x:c r="Z268" s="1"/>
    </x:row>
    <x:row r="269">
      <x:c r="A269" s="1"/>
      <x:c r="B269" s="1"/>
      <x:c r="C269" s="1"/>
      <x:c r="D269" s="1"/>
      <x:c r="E269" s="1"/>
      <x:c r="F269" s="1"/>
      <x:c r="G269" s="1"/>
      <x:c r="H269" s="1"/>
      <x:c r="I269" s="1"/>
      <x:c r="J269" s="1"/>
      <x:c r="K269" s="1"/>
      <x:c r="L269" s="1"/>
      <x:c r="M269" s="1"/>
      <x:c r="N269" s="1"/>
      <x:c r="O269" s="1"/>
      <x:c r="P269" s="1"/>
      <x:c r="Q269" s="1"/>
      <x:c r="R269" s="1"/>
      <x:c r="S269" s="1"/>
      <x:c r="T269" s="1"/>
      <x:c r="U269" s="1"/>
      <x:c r="V269" s="1"/>
      <x:c r="W269" s="1"/>
      <x:c r="X269" s="1"/>
      <x:c r="Y269" s="1"/>
      <x:c r="Z269" s="1"/>
    </x:row>
    <x:row r="270">
      <x:c r="A270" s="1"/>
      <x:c r="B270" s="1"/>
      <x:c r="C270" s="1"/>
      <x:c r="D270" s="1"/>
      <x:c r="E270" s="1"/>
      <x:c r="F270" s="1"/>
      <x:c r="G270" s="1"/>
      <x:c r="H270" s="1"/>
      <x:c r="I270" s="1"/>
      <x:c r="J270" s="1"/>
      <x:c r="K270" s="1"/>
      <x:c r="L270" s="1"/>
      <x:c r="M270" s="1"/>
      <x:c r="N270" s="1"/>
      <x:c r="O270" s="1"/>
      <x:c r="P270" s="1"/>
      <x:c r="Q270" s="1"/>
      <x:c r="R270" s="1"/>
      <x:c r="S270" s="1"/>
      <x:c r="T270" s="1"/>
      <x:c r="U270" s="1"/>
      <x:c r="V270" s="1"/>
      <x:c r="W270" s="1"/>
      <x:c r="X270" s="1"/>
      <x:c r="Y270" s="1"/>
      <x:c r="Z270" s="1"/>
    </x:row>
    <x:row r="271">
      <x:c r="A271" s="1"/>
      <x:c r="B271" s="1"/>
      <x:c r="C271" s="1"/>
      <x:c r="D271" s="1"/>
      <x:c r="E271" s="1"/>
      <x:c r="F271" s="1"/>
      <x:c r="G271" s="1"/>
      <x:c r="H271" s="1"/>
      <x:c r="I271" s="1"/>
      <x:c r="J271" s="1"/>
      <x:c r="K271" s="1"/>
      <x:c r="L271" s="1"/>
      <x:c r="M271" s="1"/>
      <x:c r="N271" s="1"/>
      <x:c r="O271" s="1"/>
      <x:c r="P271" s="1"/>
      <x:c r="Q271" s="1"/>
      <x:c r="R271" s="1"/>
      <x:c r="S271" s="1"/>
      <x:c r="T271" s="1"/>
      <x:c r="U271" s="1"/>
      <x:c r="V271" s="1"/>
      <x:c r="W271" s="1"/>
      <x:c r="X271" s="1"/>
      <x:c r="Y271" s="1"/>
      <x:c r="Z271" s="1"/>
    </x:row>
    <x:row r="272">
      <x:c r="A272" s="1"/>
      <x:c r="B272" s="1"/>
      <x:c r="C272" s="1"/>
      <x:c r="D272" s="1"/>
      <x:c r="E272" s="1"/>
      <x:c r="F272" s="1"/>
      <x:c r="G272" s="1"/>
      <x:c r="H272" s="1"/>
      <x:c r="I272" s="1"/>
      <x:c r="J272" s="1"/>
      <x:c r="K272" s="1"/>
      <x:c r="L272" s="1"/>
      <x:c r="M272" s="1"/>
      <x:c r="N272" s="1"/>
      <x:c r="O272" s="1"/>
      <x:c r="P272" s="1"/>
      <x:c r="Q272" s="1"/>
      <x:c r="R272" s="1"/>
      <x:c r="S272" s="1"/>
      <x:c r="T272" s="1"/>
      <x:c r="U272" s="1"/>
      <x:c r="V272" s="1"/>
      <x:c r="W272" s="1"/>
      <x:c r="X272" s="1"/>
      <x:c r="Y272" s="1"/>
      <x:c r="Z272" s="1"/>
    </x:row>
    <x:row r="273">
      <x:c r="A273" s="1"/>
      <x:c r="B273" s="1"/>
      <x:c r="C273" s="1"/>
      <x:c r="D273" s="1"/>
      <x:c r="E273" s="1"/>
      <x:c r="F273" s="1"/>
      <x:c r="G273" s="1"/>
      <x:c r="H273" s="1"/>
      <x:c r="I273" s="1"/>
      <x:c r="J273" s="1"/>
      <x:c r="K273" s="1"/>
      <x:c r="L273" s="1"/>
      <x:c r="M273" s="1"/>
      <x:c r="N273" s="1"/>
      <x:c r="O273" s="1"/>
      <x:c r="P273" s="1"/>
      <x:c r="Q273" s="1"/>
      <x:c r="R273" s="1"/>
      <x:c r="S273" s="1"/>
      <x:c r="T273" s="1"/>
      <x:c r="U273" s="1"/>
      <x:c r="V273" s="1"/>
      <x:c r="W273" s="1"/>
      <x:c r="X273" s="1"/>
      <x:c r="Y273" s="1"/>
      <x:c r="Z273" s="1"/>
    </x:row>
    <x:row r="274">
      <x:c r="A274" s="1"/>
      <x:c r="B274" s="1"/>
      <x:c r="C274" s="1"/>
      <x:c r="D274" s="1"/>
      <x:c r="E274" s="1"/>
      <x:c r="F274" s="1"/>
      <x:c r="G274" s="1"/>
      <x:c r="H274" s="1"/>
      <x:c r="I274" s="1"/>
      <x:c r="J274" s="1"/>
      <x:c r="K274" s="1"/>
      <x:c r="L274" s="1"/>
      <x:c r="M274" s="1"/>
      <x:c r="N274" s="1"/>
      <x:c r="O274" s="1"/>
      <x:c r="P274" s="1"/>
      <x:c r="Q274" s="1"/>
      <x:c r="R274" s="1"/>
      <x:c r="S274" s="1"/>
      <x:c r="T274" s="1"/>
      <x:c r="U274" s="1"/>
      <x:c r="V274" s="1"/>
      <x:c r="W274" s="1"/>
      <x:c r="X274" s="1"/>
      <x:c r="Y274" s="1"/>
      <x:c r="Z274" s="1"/>
    </x:row>
    <x:row r="275">
      <x:c r="A275" s="1"/>
      <x:c r="B275" s="1"/>
      <x:c r="C275" s="1"/>
      <x:c r="D275" s="1"/>
      <x:c r="E275" s="1"/>
      <x:c r="F275" s="1"/>
      <x:c r="G275" s="1"/>
      <x:c r="H275" s="1"/>
      <x:c r="I275" s="1"/>
      <x:c r="J275" s="1"/>
      <x:c r="K275" s="1"/>
      <x:c r="L275" s="1"/>
      <x:c r="M275" s="1"/>
      <x:c r="N275" s="1"/>
      <x:c r="O275" s="1"/>
      <x:c r="P275" s="1"/>
      <x:c r="Q275" s="1"/>
      <x:c r="R275" s="1"/>
      <x:c r="S275" s="1"/>
      <x:c r="T275" s="1"/>
      <x:c r="U275" s="1"/>
      <x:c r="V275" s="1"/>
      <x:c r="W275" s="1"/>
      <x:c r="X275" s="1"/>
      <x:c r="Y275" s="1"/>
      <x:c r="Z275" s="1"/>
    </x:row>
    <x:row r="276">
      <x:c r="A276" s="1"/>
      <x:c r="B276" s="1"/>
      <x:c r="C276" s="1"/>
      <x:c r="D276" s="1"/>
      <x:c r="E276" s="1"/>
      <x:c r="F276" s="1"/>
      <x:c r="G276" s="1"/>
      <x:c r="H276" s="1"/>
      <x:c r="I276" s="1"/>
      <x:c r="J276" s="1"/>
      <x:c r="K276" s="1"/>
      <x:c r="L276" s="1"/>
      <x:c r="M276" s="1"/>
      <x:c r="N276" s="1"/>
      <x:c r="O276" s="1"/>
      <x:c r="P276" s="1"/>
      <x:c r="Q276" s="1"/>
      <x:c r="R276" s="1"/>
      <x:c r="S276" s="1"/>
      <x:c r="T276" s="1"/>
      <x:c r="U276" s="1"/>
      <x:c r="V276" s="1"/>
      <x:c r="W276" s="1"/>
      <x:c r="X276" s="1"/>
      <x:c r="Y276" s="1"/>
      <x:c r="Z276" s="1"/>
    </x:row>
    <x:row r="277">
      <x:c r="A277" s="1"/>
      <x:c r="B277" s="1"/>
      <x:c r="C277" s="1"/>
      <x:c r="D277" s="1"/>
      <x:c r="E277" s="1"/>
      <x:c r="F277" s="1"/>
      <x:c r="G277" s="1"/>
      <x:c r="H277" s="1"/>
      <x:c r="I277" s="1"/>
      <x:c r="J277" s="1"/>
      <x:c r="K277" s="1"/>
      <x:c r="L277" s="1"/>
      <x:c r="M277" s="1"/>
      <x:c r="N277" s="1"/>
      <x:c r="O277" s="1"/>
      <x:c r="P277" s="1"/>
      <x:c r="Q277" s="1"/>
      <x:c r="R277" s="1"/>
      <x:c r="S277" s="1"/>
      <x:c r="T277" s="1"/>
      <x:c r="U277" s="1"/>
      <x:c r="V277" s="1"/>
      <x:c r="W277" s="1"/>
      <x:c r="X277" s="1"/>
      <x:c r="Y277" s="1"/>
      <x:c r="Z277" s="1"/>
    </x:row>
    <x:row r="278">
      <x:c r="A278" s="1"/>
      <x:c r="B278" s="1"/>
      <x:c r="C278" s="1"/>
      <x:c r="D278" s="1"/>
      <x:c r="E278" s="1"/>
      <x:c r="F278" s="1"/>
      <x:c r="G278" s="1"/>
      <x:c r="H278" s="1"/>
      <x:c r="I278" s="1"/>
      <x:c r="J278" s="1"/>
      <x:c r="K278" s="1"/>
      <x:c r="L278" s="1"/>
      <x:c r="M278" s="1"/>
      <x:c r="N278" s="1"/>
      <x:c r="O278" s="1"/>
      <x:c r="P278" s="1"/>
      <x:c r="Q278" s="1"/>
      <x:c r="R278" s="1"/>
      <x:c r="S278" s="1"/>
      <x:c r="T278" s="1"/>
      <x:c r="U278" s="1"/>
      <x:c r="V278" s="1"/>
      <x:c r="W278" s="1"/>
      <x:c r="X278" s="1"/>
      <x:c r="Y278" s="1"/>
      <x:c r="Z278" s="1"/>
    </x:row>
    <x:row r="279">
      <x:c r="A279" s="1"/>
      <x:c r="B279" s="1"/>
      <x:c r="C279" s="1"/>
      <x:c r="D279" s="1"/>
      <x:c r="E279" s="1"/>
      <x:c r="F279" s="1"/>
      <x:c r="G279" s="1"/>
      <x:c r="H279" s="1"/>
      <x:c r="I279" s="1"/>
      <x:c r="J279" s="1"/>
      <x:c r="K279" s="1"/>
      <x:c r="L279" s="1"/>
      <x:c r="M279" s="1"/>
      <x:c r="N279" s="1"/>
      <x:c r="O279" s="1"/>
      <x:c r="P279" s="1"/>
      <x:c r="Q279" s="1"/>
      <x:c r="R279" s="1"/>
      <x:c r="S279" s="1"/>
      <x:c r="T279" s="1"/>
      <x:c r="U279" s="1"/>
      <x:c r="V279" s="1"/>
      <x:c r="W279" s="1"/>
      <x:c r="X279" s="1"/>
      <x:c r="Y279" s="1"/>
      <x:c r="Z279" s="1"/>
    </x:row>
    <x:row r="280">
      <x:c r="A280" s="1"/>
      <x:c r="B280" s="1"/>
      <x:c r="C280" s="1"/>
      <x:c r="D280" s="1"/>
      <x:c r="E280" s="1"/>
      <x:c r="F280" s="1"/>
      <x:c r="G280" s="1"/>
      <x:c r="H280" s="1"/>
      <x:c r="I280" s="1"/>
      <x:c r="J280" s="1"/>
      <x:c r="K280" s="1"/>
      <x:c r="L280" s="1"/>
      <x:c r="M280" s="1"/>
      <x:c r="N280" s="1"/>
      <x:c r="O280" s="1"/>
      <x:c r="P280" s="1"/>
      <x:c r="Q280" s="1"/>
      <x:c r="R280" s="1"/>
      <x:c r="S280" s="1"/>
      <x:c r="T280" s="1"/>
      <x:c r="U280" s="1"/>
      <x:c r="V280" s="1"/>
      <x:c r="W280" s="1"/>
      <x:c r="X280" s="1"/>
      <x:c r="Y280" s="1"/>
      <x:c r="Z280" s="1"/>
    </x:row>
    <x:row r="281">
      <x:c r="A281" s="1"/>
      <x:c r="B281" s="1"/>
      <x:c r="C281" s="1"/>
      <x:c r="D281" s="1"/>
      <x:c r="E281" s="1"/>
      <x:c r="F281" s="1"/>
      <x:c r="G281" s="1"/>
      <x:c r="H281" s="1"/>
      <x:c r="I281" s="1"/>
      <x:c r="J281" s="1"/>
      <x:c r="K281" s="1"/>
      <x:c r="L281" s="1"/>
      <x:c r="M281" s="1"/>
      <x:c r="N281" s="1"/>
      <x:c r="O281" s="1"/>
      <x:c r="P281" s="1"/>
      <x:c r="Q281" s="1"/>
      <x:c r="R281" s="1"/>
      <x:c r="S281" s="1"/>
      <x:c r="T281" s="1"/>
      <x:c r="U281" s="1"/>
      <x:c r="V281" s="1"/>
      <x:c r="W281" s="1"/>
      <x:c r="X281" s="1"/>
      <x:c r="Y281" s="1"/>
      <x:c r="Z281" s="1"/>
    </x:row>
    <x:row r="282">
      <x:c r="A282" s="1"/>
      <x:c r="B282" s="1"/>
      <x:c r="C282" s="1"/>
      <x:c r="D282" s="1"/>
      <x:c r="E282" s="1"/>
      <x:c r="F282" s="1"/>
      <x:c r="G282" s="1"/>
      <x:c r="H282" s="1"/>
      <x:c r="I282" s="1"/>
      <x:c r="J282" s="1"/>
      <x:c r="K282" s="1"/>
      <x:c r="L282" s="1"/>
      <x:c r="M282" s="1"/>
      <x:c r="N282" s="1"/>
      <x:c r="O282" s="1"/>
      <x:c r="P282" s="1"/>
      <x:c r="Q282" s="1"/>
      <x:c r="R282" s="1"/>
      <x:c r="S282" s="1"/>
      <x:c r="T282" s="1"/>
      <x:c r="U282" s="1"/>
      <x:c r="V282" s="1"/>
      <x:c r="W282" s="1"/>
      <x:c r="X282" s="1"/>
      <x:c r="Y282" s="1"/>
      <x:c r="Z282" s="1"/>
    </x:row>
    <x:row r="283">
      <x:c r="A283" s="1"/>
      <x:c r="B283" s="1"/>
      <x:c r="C283" s="1"/>
      <x:c r="D283" s="1"/>
      <x:c r="E283" s="1"/>
      <x:c r="F283" s="1"/>
      <x:c r="G283" s="1"/>
      <x:c r="H283" s="1"/>
      <x:c r="I283" s="1"/>
      <x:c r="J283" s="1"/>
      <x:c r="K283" s="1"/>
      <x:c r="L283" s="1"/>
      <x:c r="M283" s="1"/>
      <x:c r="N283" s="1"/>
      <x:c r="O283" s="1"/>
      <x:c r="P283" s="1"/>
      <x:c r="Q283" s="1"/>
      <x:c r="R283" s="1"/>
      <x:c r="S283" s="1"/>
      <x:c r="T283" s="1"/>
      <x:c r="U283" s="1"/>
      <x:c r="V283" s="1"/>
      <x:c r="W283" s="1"/>
      <x:c r="X283" s="1"/>
      <x:c r="Y283" s="1"/>
      <x:c r="Z283" s="1"/>
    </x:row>
    <x:row r="284">
      <x:c r="A284" s="1"/>
      <x:c r="B284" s="1"/>
      <x:c r="C284" s="1"/>
      <x:c r="D284" s="1"/>
      <x:c r="E284" s="1"/>
      <x:c r="F284" s="1"/>
      <x:c r="G284" s="1"/>
      <x:c r="H284" s="1"/>
      <x:c r="I284" s="1"/>
      <x:c r="J284" s="1"/>
      <x:c r="K284" s="1"/>
      <x:c r="L284" s="1"/>
      <x:c r="M284" s="1"/>
      <x:c r="N284" s="1"/>
      <x:c r="O284" s="1"/>
      <x:c r="P284" s="1"/>
      <x:c r="Q284" s="1"/>
      <x:c r="R284" s="1"/>
      <x:c r="S284" s="1"/>
      <x:c r="T284" s="1"/>
      <x:c r="U284" s="1"/>
      <x:c r="V284" s="1"/>
      <x:c r="W284" s="1"/>
      <x:c r="X284" s="1"/>
      <x:c r="Y284" s="1"/>
      <x:c r="Z284" s="1"/>
    </x:row>
    <x:row r="285">
      <x:c r="A285" s="1"/>
      <x:c r="B285" s="1"/>
      <x:c r="C285" s="1"/>
      <x:c r="D285" s="1"/>
      <x:c r="E285" s="1"/>
      <x:c r="F285" s="1"/>
      <x:c r="G285" s="1"/>
      <x:c r="H285" s="1"/>
      <x:c r="I285" s="1"/>
      <x:c r="J285" s="1"/>
      <x:c r="K285" s="1"/>
      <x:c r="L285" s="1"/>
      <x:c r="M285" s="1"/>
      <x:c r="N285" s="1"/>
      <x:c r="O285" s="1"/>
      <x:c r="P285" s="1"/>
      <x:c r="Q285" s="1"/>
      <x:c r="R285" s="1"/>
      <x:c r="S285" s="1"/>
      <x:c r="T285" s="1"/>
      <x:c r="U285" s="1"/>
      <x:c r="V285" s="1"/>
      <x:c r="W285" s="1"/>
      <x:c r="X285" s="1"/>
      <x:c r="Y285" s="1"/>
      <x:c r="Z285" s="1"/>
    </x:row>
    <x:row r="286">
      <x:c r="A286" s="1"/>
      <x:c r="B286" s="1"/>
      <x:c r="C286" s="1"/>
      <x:c r="D286" s="1"/>
      <x:c r="E286" s="1"/>
      <x:c r="F286" s="1"/>
      <x:c r="G286" s="1"/>
      <x:c r="H286" s="1"/>
      <x:c r="I286" s="1"/>
      <x:c r="J286" s="1"/>
      <x:c r="K286" s="1"/>
      <x:c r="L286" s="1"/>
      <x:c r="M286" s="1"/>
      <x:c r="N286" s="1"/>
      <x:c r="O286" s="1"/>
      <x:c r="P286" s="1"/>
      <x:c r="Q286" s="1"/>
      <x:c r="R286" s="1"/>
      <x:c r="S286" s="1"/>
      <x:c r="T286" s="1"/>
      <x:c r="U286" s="1"/>
      <x:c r="V286" s="1"/>
      <x:c r="W286" s="1"/>
      <x:c r="X286" s="1"/>
      <x:c r="Y286" s="1"/>
      <x:c r="Z286" s="1"/>
    </x:row>
    <x:row r="287">
      <x:c r="A287" s="1"/>
      <x:c r="B287" s="1"/>
      <x:c r="C287" s="1"/>
      <x:c r="D287" s="1"/>
      <x:c r="E287" s="1"/>
      <x:c r="F287" s="1"/>
      <x:c r="G287" s="1"/>
      <x:c r="H287" s="1"/>
      <x:c r="I287" s="1"/>
      <x:c r="J287" s="1"/>
      <x:c r="K287" s="1"/>
      <x:c r="L287" s="1"/>
      <x:c r="M287" s="1"/>
      <x:c r="N287" s="1"/>
      <x:c r="O287" s="1"/>
      <x:c r="P287" s="1"/>
      <x:c r="Q287" s="1"/>
      <x:c r="R287" s="1"/>
      <x:c r="S287" s="1"/>
      <x:c r="T287" s="1"/>
      <x:c r="U287" s="1"/>
      <x:c r="V287" s="1"/>
      <x:c r="W287" s="1"/>
      <x:c r="X287" s="1"/>
      <x:c r="Y287" s="1"/>
      <x:c r="Z287" s="1"/>
    </x:row>
    <x:row r="288">
      <x:c r="A288" s="1"/>
      <x:c r="B288" s="1"/>
      <x:c r="C288" s="1"/>
      <x:c r="D288" s="1"/>
      <x:c r="E288" s="1"/>
      <x:c r="F288" s="1"/>
      <x:c r="G288" s="1"/>
      <x:c r="H288" s="1"/>
      <x:c r="I288" s="1"/>
      <x:c r="J288" s="1"/>
      <x:c r="K288" s="1"/>
      <x:c r="L288" s="1"/>
      <x:c r="M288" s="1"/>
      <x:c r="N288" s="1"/>
      <x:c r="O288" s="1"/>
      <x:c r="P288" s="1"/>
      <x:c r="Q288" s="1"/>
      <x:c r="R288" s="1"/>
      <x:c r="S288" s="1"/>
      <x:c r="T288" s="1"/>
      <x:c r="U288" s="1"/>
      <x:c r="V288" s="1"/>
      <x:c r="W288" s="1"/>
      <x:c r="X288" s="1"/>
      <x:c r="Y288" s="1"/>
      <x:c r="Z288" s="1"/>
    </x:row>
    <x:row r="289">
      <x:c r="A289" s="1"/>
      <x:c r="B289" s="1"/>
      <x:c r="C289" s="1"/>
      <x:c r="D289" s="1"/>
      <x:c r="E289" s="1"/>
      <x:c r="F289" s="1"/>
      <x:c r="G289" s="1"/>
      <x:c r="H289" s="1"/>
      <x:c r="I289" s="1"/>
      <x:c r="J289" s="1"/>
      <x:c r="K289" s="1"/>
      <x:c r="L289" s="1"/>
      <x:c r="M289" s="1"/>
      <x:c r="N289" s="1"/>
      <x:c r="O289" s="1"/>
      <x:c r="P289" s="1"/>
      <x:c r="Q289" s="1"/>
      <x:c r="R289" s="1"/>
      <x:c r="S289" s="1"/>
      <x:c r="T289" s="1"/>
      <x:c r="U289" s="1"/>
      <x:c r="V289" s="1"/>
      <x:c r="W289" s="1"/>
      <x:c r="X289" s="1"/>
      <x:c r="Y289" s="1"/>
      <x:c r="Z289" s="1"/>
    </x:row>
    <x:row r="290">
      <x:c r="A290" s="1"/>
      <x:c r="B290" s="1"/>
      <x:c r="C290" s="1"/>
      <x:c r="D290" s="1"/>
      <x:c r="E290" s="1"/>
      <x:c r="F290" s="1"/>
      <x:c r="G290" s="1"/>
      <x:c r="H290" s="1"/>
      <x:c r="I290" s="1"/>
      <x:c r="J290" s="1"/>
      <x:c r="K290" s="1"/>
      <x:c r="L290" s="1"/>
      <x:c r="M290" s="1"/>
      <x:c r="N290" s="1"/>
      <x:c r="O290" s="1"/>
      <x:c r="P290" s="1"/>
      <x:c r="Q290" s="1"/>
      <x:c r="R290" s="1"/>
      <x:c r="S290" s="1"/>
      <x:c r="T290" s="1"/>
      <x:c r="U290" s="1"/>
      <x:c r="V290" s="1"/>
      <x:c r="W290" s="1"/>
      <x:c r="X290" s="1"/>
      <x:c r="Y290" s="1"/>
      <x:c r="Z290" s="1"/>
    </x:row>
    <x:row r="291">
      <x:c r="A291" s="1"/>
      <x:c r="B291" s="1"/>
      <x:c r="C291" s="1"/>
      <x:c r="D291" s="1"/>
      <x:c r="E291" s="1"/>
      <x:c r="F291" s="1"/>
      <x:c r="G291" s="1"/>
      <x:c r="H291" s="1"/>
      <x:c r="I291" s="1"/>
      <x:c r="J291" s="1"/>
      <x:c r="K291" s="1"/>
      <x:c r="L291" s="1"/>
      <x:c r="M291" s="1"/>
      <x:c r="N291" s="1"/>
      <x:c r="O291" s="1"/>
      <x:c r="P291" s="1"/>
      <x:c r="Q291" s="1"/>
      <x:c r="R291" s="1"/>
      <x:c r="S291" s="1"/>
      <x:c r="T291" s="1"/>
      <x:c r="U291" s="1"/>
      <x:c r="V291" s="1"/>
      <x:c r="W291" s="1"/>
      <x:c r="X291" s="1"/>
      <x:c r="Y291" s="1"/>
      <x:c r="Z291" s="1"/>
    </x:row>
    <x:row r="292">
      <x:c r="A292" s="1"/>
      <x:c r="B292" s="1"/>
      <x:c r="C292" s="1"/>
      <x:c r="D292" s="1"/>
      <x:c r="E292" s="1"/>
      <x:c r="F292" s="1"/>
      <x:c r="G292" s="1"/>
      <x:c r="H292" s="1"/>
      <x:c r="I292" s="1"/>
      <x:c r="J292" s="1"/>
      <x:c r="K292" s="1"/>
      <x:c r="L292" s="1"/>
      <x:c r="M292" s="1"/>
      <x:c r="N292" s="1"/>
      <x:c r="O292" s="1"/>
      <x:c r="P292" s="1"/>
      <x:c r="Q292" s="1"/>
      <x:c r="R292" s="1"/>
      <x:c r="S292" s="1"/>
      <x:c r="T292" s="1"/>
      <x:c r="U292" s="1"/>
      <x:c r="V292" s="1"/>
      <x:c r="W292" s="1"/>
      <x:c r="X292" s="1"/>
      <x:c r="Y292" s="1"/>
      <x:c r="Z292" s="1"/>
    </x:row>
    <x:row r="293">
      <x:c r="A293" s="1"/>
      <x:c r="B293" s="1"/>
      <x:c r="C293" s="1"/>
      <x:c r="D293" s="1"/>
      <x:c r="E293" s="1"/>
      <x:c r="F293" s="1"/>
      <x:c r="G293" s="1"/>
      <x:c r="H293" s="1"/>
      <x:c r="I293" s="1"/>
      <x:c r="J293" s="1"/>
      <x:c r="K293" s="1"/>
      <x:c r="L293" s="1"/>
      <x:c r="M293" s="1"/>
      <x:c r="N293" s="1"/>
      <x:c r="O293" s="1"/>
      <x:c r="P293" s="1"/>
      <x:c r="Q293" s="1"/>
      <x:c r="R293" s="1"/>
      <x:c r="S293" s="1"/>
      <x:c r="T293" s="1"/>
      <x:c r="U293" s="1"/>
      <x:c r="V293" s="1"/>
      <x:c r="W293" s="1"/>
      <x:c r="X293" s="1"/>
      <x:c r="Y293" s="1"/>
      <x:c r="Z293" s="1"/>
    </x:row>
    <x:row r="294">
      <x:c r="A294" s="1"/>
      <x:c r="B294" s="1"/>
      <x:c r="C294" s="1"/>
      <x:c r="D294" s="1"/>
      <x:c r="E294" s="1"/>
      <x:c r="F294" s="1"/>
      <x:c r="G294" s="1"/>
      <x:c r="H294" s="1"/>
      <x:c r="I294" s="1"/>
      <x:c r="J294" s="1"/>
      <x:c r="K294" s="1"/>
      <x:c r="L294" s="1"/>
      <x:c r="M294" s="1"/>
      <x:c r="N294" s="1"/>
      <x:c r="O294" s="1"/>
      <x:c r="P294" s="1"/>
      <x:c r="Q294" s="1"/>
      <x:c r="R294" s="1"/>
      <x:c r="S294" s="1"/>
      <x:c r="T294" s="1"/>
      <x:c r="U294" s="1"/>
      <x:c r="V294" s="1"/>
      <x:c r="W294" s="1"/>
      <x:c r="X294" s="1"/>
      <x:c r="Y294" s="1"/>
      <x:c r="Z294" s="1"/>
    </x:row>
    <x:row r="295">
      <x:c r="A295" s="1"/>
      <x:c r="B295" s="1"/>
      <x:c r="C295" s="1"/>
      <x:c r="D295" s="1"/>
      <x:c r="E295" s="1"/>
      <x:c r="F295" s="1"/>
      <x:c r="G295" s="1"/>
      <x:c r="H295" s="1"/>
      <x:c r="I295" s="1"/>
      <x:c r="J295" s="1"/>
      <x:c r="K295" s="1"/>
      <x:c r="L295" s="1"/>
      <x:c r="M295" s="1"/>
      <x:c r="N295" s="1"/>
      <x:c r="O295" s="1"/>
      <x:c r="P295" s="1"/>
      <x:c r="Q295" s="1"/>
      <x:c r="R295" s="1"/>
      <x:c r="S295" s="1"/>
      <x:c r="T295" s="1"/>
      <x:c r="U295" s="1"/>
      <x:c r="V295" s="1"/>
      <x:c r="W295" s="1"/>
      <x:c r="X295" s="1"/>
      <x:c r="Y295" s="1"/>
      <x:c r="Z295" s="1"/>
    </x:row>
    <x:row r="296">
      <x:c r="A296" s="1"/>
      <x:c r="B296" s="1"/>
      <x:c r="C296" s="1"/>
      <x:c r="D296" s="1"/>
      <x:c r="E296" s="1"/>
      <x:c r="F296" s="1"/>
      <x:c r="G296" s="1"/>
      <x:c r="H296" s="1"/>
      <x:c r="I296" s="1"/>
      <x:c r="J296" s="1"/>
      <x:c r="K296" s="1"/>
      <x:c r="L296" s="1"/>
      <x:c r="M296" s="1"/>
      <x:c r="N296" s="1"/>
      <x:c r="O296" s="1"/>
      <x:c r="P296" s="1"/>
      <x:c r="Q296" s="1"/>
      <x:c r="R296" s="1"/>
      <x:c r="S296" s="1"/>
      <x:c r="T296" s="1"/>
      <x:c r="U296" s="1"/>
      <x:c r="V296" s="1"/>
      <x:c r="W296" s="1"/>
      <x:c r="X296" s="1"/>
      <x:c r="Y296" s="1"/>
      <x:c r="Z296" s="1"/>
    </x:row>
    <x:row r="297">
      <x:c r="A297" s="1"/>
      <x:c r="B297" s="1"/>
      <x:c r="C297" s="1"/>
      <x:c r="D297" s="1"/>
      <x:c r="E297" s="1"/>
      <x:c r="F297" s="1"/>
      <x:c r="G297" s="1"/>
      <x:c r="H297" s="1"/>
      <x:c r="I297" s="1"/>
      <x:c r="J297" s="1"/>
      <x:c r="K297" s="1"/>
      <x:c r="L297" s="1"/>
      <x:c r="M297" s="1"/>
      <x:c r="N297" s="1"/>
      <x:c r="O297" s="1"/>
      <x:c r="P297" s="1"/>
      <x:c r="Q297" s="1"/>
      <x:c r="R297" s="1"/>
      <x:c r="S297" s="1"/>
      <x:c r="T297" s="1"/>
      <x:c r="U297" s="1"/>
      <x:c r="V297" s="1"/>
      <x:c r="W297" s="1"/>
      <x:c r="X297" s="1"/>
      <x:c r="Y297" s="1"/>
      <x:c r="Z297" s="1"/>
    </x:row>
    <x:row r="298">
      <x:c r="A298" s="1"/>
      <x:c r="B298" s="1"/>
      <x:c r="C298" s="1"/>
      <x:c r="D298" s="1"/>
      <x:c r="E298" s="1"/>
      <x:c r="F298" s="1"/>
      <x:c r="G298" s="1"/>
      <x:c r="H298" s="1"/>
      <x:c r="I298" s="1"/>
      <x:c r="J298" s="1"/>
      <x:c r="K298" s="1"/>
      <x:c r="L298" s="1"/>
      <x:c r="M298" s="1"/>
      <x:c r="N298" s="1"/>
      <x:c r="O298" s="1"/>
      <x:c r="P298" s="1"/>
      <x:c r="Q298" s="1"/>
      <x:c r="R298" s="1"/>
      <x:c r="S298" s="1"/>
      <x:c r="T298" s="1"/>
      <x:c r="U298" s="1"/>
      <x:c r="V298" s="1"/>
      <x:c r="W298" s="1"/>
      <x:c r="X298" s="1"/>
      <x:c r="Y298" s="1"/>
      <x:c r="Z298" s="1"/>
    </x:row>
    <x:row r="299">
      <x:c r="A299" s="1"/>
      <x:c r="B299" s="1"/>
      <x:c r="C299" s="1"/>
      <x:c r="D299" s="1"/>
      <x:c r="E299" s="1"/>
      <x:c r="F299" s="1"/>
      <x:c r="G299" s="1"/>
      <x:c r="H299" s="1"/>
      <x:c r="I299" s="1"/>
      <x:c r="J299" s="1"/>
      <x:c r="K299" s="1"/>
      <x:c r="L299" s="1"/>
      <x:c r="M299" s="1"/>
      <x:c r="N299" s="1"/>
      <x:c r="O299" s="1"/>
      <x:c r="P299" s="1"/>
      <x:c r="Q299" s="1"/>
      <x:c r="R299" s="1"/>
      <x:c r="S299" s="1"/>
      <x:c r="T299" s="1"/>
      <x:c r="U299" s="1"/>
      <x:c r="V299" s="1"/>
      <x:c r="W299" s="1"/>
      <x:c r="X299" s="1"/>
      <x:c r="Y299" s="1"/>
      <x:c r="Z299" s="1"/>
    </x:row>
    <x:row r="300">
      <x:c r="A300" s="1"/>
      <x:c r="B300" s="1"/>
      <x:c r="C300" s="1"/>
      <x:c r="D300" s="1"/>
      <x:c r="E300" s="1"/>
      <x:c r="F300" s="1"/>
      <x:c r="G300" s="1"/>
      <x:c r="H300" s="1"/>
      <x:c r="I300" s="1"/>
      <x:c r="J300" s="1"/>
      <x:c r="K300" s="1"/>
      <x:c r="L300" s="1"/>
      <x:c r="M300" s="1"/>
      <x:c r="N300" s="1"/>
      <x:c r="O300" s="1"/>
      <x:c r="P300" s="1"/>
      <x:c r="Q300" s="1"/>
      <x:c r="R300" s="1"/>
      <x:c r="S300" s="1"/>
      <x:c r="T300" s="1"/>
      <x:c r="U300" s="1"/>
      <x:c r="V300" s="1"/>
      <x:c r="W300" s="1"/>
      <x:c r="X300" s="1"/>
      <x:c r="Y300" s="1"/>
      <x:c r="Z300" s="1"/>
    </x:row>
  </x:sheetData>
  <x:mergeCells>
    <x:mergeCell ref="A1:N1"/>
    <x:mergeCell ref="A2:N3"/>
    <x:mergeCell ref="A5:D5"/>
    <x:mergeCell ref="F5:I5"/>
    <x:mergeCell ref="A17:H17"/>
    <x:mergeCell ref="J5:N5"/>
  </x:mergeCells>
  <x:pageMargins left="0.7" right="0.7" top="0.75" bottom="0.75" header="0.3" footer="0.3"/>
  <x:tableParts count="3">
    <x:tablePart xmlns:r="http://schemas.openxmlformats.org/officeDocument/2006/relationships" r:id="R6cc88b0e4ad642c1"/>
    <x:tablePart xmlns:r="http://schemas.openxmlformats.org/officeDocument/2006/relationships" r:id="R971a600dffa14636"/>
    <x:tablePart xmlns:r="http://schemas.openxmlformats.org/officeDocument/2006/relationships" r:id="Rb8d299652bb34b8a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5" hidden="0" customWidth="1"/>
    <x:col min="3" max="3" width="16" hidden="0" customWidth="1"/>
    <x:col min="4" max="4" width="21" hidden="0" customWidth="1"/>
    <x:col min="5" max="5" width="21" hidden="0" customWidth="1"/>
    <x:col min="6" max="6" width="21" hidden="0" customWidth="1"/>
    <x:col min="7" max="7" width="21" hidden="0" customWidth="1"/>
    <x:col min="8" max="8" width="31" hidden="0" customWidth="1"/>
    <x:col min="9" max="9" width="31" hidden="0" customWidth="1"/>
  </x:cols>
  <x:sheetData>
    <x:row r="1" ht="30" customHeight="1">
      <x:c r="A1" s="4" t="str">
        <x:v>Mapa de variables: núcleo y extensiones</x:v>
      </x:c>
      <x:c r="B1" s="4" t="str">
        <x:v>Mapa de variables: núcleo y extensiones</x:v>
      </x:c>
      <x:c r="C1" s="4" t="str">
        <x:v>Mapa de variables: núcleo y extensiones</x:v>
      </x:c>
      <x:c r="D1" s="4" t="str">
        <x:v>Mapa de variables: núcleo y extensiones</x:v>
      </x:c>
      <x:c r="E1" s="4" t="str">
        <x:v>Mapa de variables: núcleo y extensiones</x:v>
      </x:c>
      <x:c r="F1" s="4" t="str">
        <x:v>Mapa de variables: núcleo y extensiones</x:v>
      </x:c>
      <x:c r="G1" s="4" t="str">
        <x:v>Mapa de variables: núcleo y extensiones</x:v>
      </x:c>
      <x:c r="H1" s="4" t="str">
        <x:v>Mapa de variables: núcleo y extensiones</x:v>
      </x:c>
      <x:c r="I1" s="4" t="str">
        <x:v>Mapa de variables: núcleo y extensiones</x:v>
      </x:c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 ht="36" customHeight="1">
      <x:c r="A2" s="7" t="str">
        <x:v>La especificación base es deliberadamente parsimoniosa. Las extensiones deben probarse por bloques para evitar multicolinealidad, sobreajuste y doble conteo del mismo shock.</x:v>
      </x:c>
      <x:c r="B2" s="7" t="str">
        <x:v>La especificación base es deliberadamente parsimoniosa. Las extensiones deben probarse por bloques para evitar multicolinealidad, sobreajuste y doble conteo del mismo shock.</x:v>
      </x:c>
      <x:c r="C2" s="7" t="str">
        <x:v>La especificación base es deliberadamente parsimoniosa. Las extensiones deben probarse por bloques para evitar multicolinealidad, sobreajuste y doble conteo del mismo shock.</x:v>
      </x:c>
      <x:c r="D2" s="7" t="str">
        <x:v>La especificación base es deliberadamente parsimoniosa. Las extensiones deben probarse por bloques para evitar multicolinealidad, sobreajuste y doble conteo del mismo shock.</x:v>
      </x:c>
      <x:c r="E2" s="7" t="str">
        <x:v>La especificación base es deliberadamente parsimoniosa. Las extensiones deben probarse por bloques para evitar multicolinealidad, sobreajuste y doble conteo del mismo shock.</x:v>
      </x:c>
      <x:c r="F2" s="7" t="str">
        <x:v>La especificación base es deliberadamente parsimoniosa. Las extensiones deben probarse por bloques para evitar multicolinealidad, sobreajuste y doble conteo del mismo shock.</x:v>
      </x:c>
      <x:c r="G2" s="7" t="str">
        <x:v>La especificación base es deliberadamente parsimoniosa. Las extensiones deben probarse por bloques para evitar multicolinealidad, sobreajuste y doble conteo del mismo shock.</x:v>
      </x:c>
      <x:c r="H2" s="7" t="str">
        <x:v>La especificación base es deliberadamente parsimoniosa. Las extensiones deben probarse por bloques para evitar multicolinealidad, sobreajuste y doble conteo del mismo shock.</x:v>
      </x:c>
      <x:c r="I2" s="7" t="str">
        <x:v>La especificación base es deliberadamente parsimoniosa. Las extensiones deben probarse por bloques para evitar multicolinealidad, sobreajuste y doble conteo del mismo shock.</x:v>
      </x:c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 ht="36" customHeight="1">
      <x:c r="A3" s="7" t="str">
        <x:v>La especificación base es deliberadamente parsimoniosa. Las extensiones deben probarse por bloques para evitar multicolinealidad, sobreajuste y doble conteo del mismo shock.</x:v>
      </x:c>
      <x:c r="B3" s="7" t="str">
        <x:v>La especificación base es deliberadamente parsimoniosa. Las extensiones deben probarse por bloques para evitar multicolinealidad, sobreajuste y doble conteo del mismo shock.</x:v>
      </x:c>
      <x:c r="C3" s="7" t="str">
        <x:v>La especificación base es deliberadamente parsimoniosa. Las extensiones deben probarse por bloques para evitar multicolinealidad, sobreajuste y doble conteo del mismo shock.</x:v>
      </x:c>
      <x:c r="D3" s="7" t="str">
        <x:v>La especificación base es deliberadamente parsimoniosa. Las extensiones deben probarse por bloques para evitar multicolinealidad, sobreajuste y doble conteo del mismo shock.</x:v>
      </x:c>
      <x:c r="E3" s="7" t="str">
        <x:v>La especificación base es deliberadamente parsimoniosa. Las extensiones deben probarse por bloques para evitar multicolinealidad, sobreajuste y doble conteo del mismo shock.</x:v>
      </x:c>
      <x:c r="F3" s="7" t="str">
        <x:v>La especificación base es deliberadamente parsimoniosa. Las extensiones deben probarse por bloques para evitar multicolinealidad, sobreajuste y doble conteo del mismo shock.</x:v>
      </x:c>
      <x:c r="G3" s="7" t="str">
        <x:v>La especificación base es deliberadamente parsimoniosa. Las extensiones deben probarse por bloques para evitar multicolinealidad, sobreajuste y doble conteo del mismo shock.</x:v>
      </x:c>
      <x:c r="H3" s="7" t="str">
        <x:v>La especificación base es deliberadamente parsimoniosa. Las extensiones deben probarse por bloques para evitar multicolinealidad, sobreajuste y doble conteo del mismo shock.</x:v>
      </x:c>
      <x:c r="I3" s="7" t="str">
        <x:v>La especificación base es deliberadamente parsimoniosa. Las extensiones deben probarse por bloques para evitar multicolinealidad, sobreajuste y doble conteo del mismo shock.</x:v>
      </x:c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 ht="40" customHeight="1">
      <x:c r="A5" s="54" t="str">
        <x:v>Bloque</x:v>
      </x:c>
      <x:c r="B5" s="54" t="str">
        <x:v>Variable</x:v>
      </x:c>
      <x:c r="C5" s="54" t="str">
        <x:v>Estatus</x:v>
      </x:c>
      <x:c r="D5" s="54" t="str">
        <x:v>Proxy/medición</x:v>
      </x:c>
      <x:c r="E5" s="54" t="str">
        <x:v>Transformación</x:v>
      </x:c>
      <x:c r="F5" s="54" t="str">
        <x:v>Signo sobre COP/USD</x:v>
      </x:c>
      <x:c r="G5" s="54" t="str">
        <x:v>Canal</x:v>
      </x:c>
      <x:c r="H5" s="54" t="str">
        <x:v>Justificación</x:v>
      </x:c>
      <x:c r="I5" s="54" t="str">
        <x:v>Cautela</x:v>
      </x:c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 ht="38" customHeight="1">
      <x:c r="A6" s="56" t="str">
        <x:v>Objetivo</x:v>
      </x:c>
      <x:c r="B6" s="56" t="str">
        <x:v>TRM promedio mensual</x:v>
      </x:c>
      <x:c r="C6" s="107" t="str">
        <x:v>Incluida</x:v>
      </x:c>
      <x:c r="D6" s="56" t="str">
        <x:v>COP por USD</x:v>
      </x:c>
      <x:c r="E6" s="56" t="str">
        <x:v>Δln</x:v>
      </x:c>
      <x:c r="F6" s="56" t="str">
        <x:v>+ = depreciación</x:v>
      </x:c>
      <x:c r="G6" s="56" t="str">
        <x:v>Variable dependiente</x:v>
      </x:c>
      <x:c r="H6" s="56" t="str">
        <x:v>Precio del dólar en Colombia</x:v>
      </x:c>
      <x:c r="I6" s="56" t="str">
        <x:v>Promedios mensuales ocultan movimientos diarios</x:v>
      </x:c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 ht="38" customHeight="1">
      <x:c r="A7" s="56" t="str">
        <x:v>Commodities</x:v>
      </x:c>
      <x:c r="B7" s="56" t="str">
        <x:v>Brent</x:v>
      </x:c>
      <x:c r="C7" s="107" t="str">
        <x:v>Incluida</x:v>
      </x:c>
      <x:c r="D7" s="56" t="str">
        <x:v>USD/barril</x:v>
      </x:c>
      <x:c r="E7" s="56" t="str">
        <x:v>Δln contemporáneo</x:v>
      </x:c>
      <x:c r="F7" s="56" t="str">
        <x:v>−</x:v>
      </x:c>
      <x:c r="G7" s="56" t="str">
        <x:v>Ingreso externo</x:v>
      </x:c>
      <x:c r="H7" s="56" t="str">
        <x:v>Exportaciones, IED e ingresos fiscales</x:v>
      </x:c>
      <x:c r="I7" s="56" t="str">
        <x:v>No acompañar con términos de intercambio en el núcleo</x:v>
      </x:c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 ht="38" customHeight="1">
      <x:c r="A8" s="56" t="str">
        <x:v>Divisas</x:v>
      </x:c>
      <x:c r="B8" s="56" t="str">
        <x:v>Remesas recibidas</x:v>
      </x:c>
      <x:c r="C8" s="107" t="str">
        <x:v>Incluida</x:v>
      </x:c>
      <x:c r="D8" s="56" t="str">
        <x:v>Acumulado 12m en USD</x:v>
      </x:c>
      <x:c r="E8" s="56" t="str">
        <x:v>Δln, rezago 1</x:v>
      </x:c>
      <x:c r="F8" s="56" t="str">
        <x:v>− esperado</x:v>
      </x:c>
      <x:c r="G8" s="56" t="str">
        <x:v>Oferta de divisas</x:v>
      </x:c>
      <x:c r="H8" s="56" t="str">
        <x:v>Flujo estable de dólares</x:v>
      </x:c>
      <x:c r="I8" s="56" t="str">
        <x:v>Puede responder a la propia depreciación</x:v>
      </x:c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 ht="38" customHeight="1">
      <x:c r="A9" s="56" t="str">
        <x:v>Monetario</x:v>
      </x:c>
      <x:c r="B9" s="56" t="str">
        <x:v>Diferencial tasas CO−EE. UU.</x:v>
      </x:c>
      <x:c r="C9" s="107" t="str">
        <x:v>Incluida</x:v>
      </x:c>
      <x:c r="D9" s="56" t="str">
        <x:v>Tasa política − Fed funds</x:v>
      </x:c>
      <x:c r="E9" s="56" t="str">
        <x:v>Δ pp, rezago 1</x:v>
      </x:c>
      <x:c r="F9" s="56" t="str">
        <x:v>−</x:v>
      </x:c>
      <x:c r="G9" s="56" t="str">
        <x:v>Retorno relativo</x:v>
      </x:c>
      <x:c r="H9" s="56" t="str">
        <x:v>Carry e ingreso de capital</x:v>
      </x:c>
      <x:c r="I9" s="56" t="str">
        <x:v>Tasas nominales; endógenas a inflación y TRM</x:v>
      </x:c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 ht="38" customHeight="1">
      <x:c r="A10" s="56" t="str">
        <x:v>Fiscal</x:v>
      </x:c>
      <x:c r="B10" s="56" t="str">
        <x:v>Déficit GNC</x:v>
      </x:c>
      <x:c r="C10" s="107" t="str">
        <x:v>Incluida</x:v>
      </x:c>
      <x:c r="D10" s="56" t="str">
        <x:v>Acumulado 12m / PIB</x:v>
      </x:c>
      <x:c r="E10" s="56" t="str">
        <x:v>Δ pp, rezago 1</x:v>
      </x:c>
      <x:c r="F10" s="56" t="str">
        <x:v>+</x:v>
      </x:c>
      <x:c r="G10" s="56" t="str">
        <x:v>Riesgo fiscal</x:v>
      </x:c>
      <x:c r="H10" s="56" t="str">
        <x:v>Financiación y prima de riesgo</x:v>
      </x:c>
      <x:c r="I10" s="56" t="str">
        <x:v>Dato observado no es un shock fiscal exógeno</x:v>
      </x:c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 ht="38" customHeight="1">
      <x:c r="A11" s="56" t="str">
        <x:v>Global</x:v>
      </x:c>
      <x:c r="B11" s="56" t="str">
        <x:v>Índice amplio del dólar</x:v>
      </x:c>
      <x:c r="C11" s="107" t="str">
        <x:v>Incluida</x:v>
      </x:c>
      <x:c r="D11" s="56" t="str">
        <x:v>Fed DTWEXBGS</x:v>
      </x:c>
      <x:c r="E11" s="56" t="str">
        <x:v>Δln contemporáneo</x:v>
      </x:c>
      <x:c r="F11" s="56" t="str">
        <x:v>+</x:v>
      </x:c>
      <x:c r="G11" s="56" t="str">
        <x:v>Fortaleza global USD</x:v>
      </x:c>
      <x:c r="H11" s="56" t="str">
        <x:v>Factor global común</x:v>
      </x:c>
      <x:c r="I11" s="56" t="str">
        <x:v>No es el DXY comercial de ICE</x:v>
      </x:c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 ht="38" customHeight="1">
      <x:c r="A12" s="56" t="str">
        <x:v>Global</x:v>
      </x:c>
      <x:c r="B12" s="56" t="str">
        <x:v>VIX</x:v>
      </x:c>
      <x:c r="C12" s="107" t="str">
        <x:v>Incluida</x:v>
      </x:c>
      <x:c r="D12" s="56" t="str">
        <x:v>Promedio mensual</x:v>
      </x:c>
      <x:c r="E12" s="56" t="str">
        <x:v>Δln contemporáneo</x:v>
      </x:c>
      <x:c r="F12" s="56" t="str">
        <x:v>+</x:v>
      </x:c>
      <x:c r="G12" s="56" t="str">
        <x:v>Aversión al riesgo</x:v>
      </x:c>
      <x:c r="H12" s="56" t="str">
        <x:v>Risk-off y salida de emergentes</x:v>
      </x:c>
      <x:c r="I12" s="56" t="str">
        <x:v>Correlacionado con dólar global</x:v>
      </x:c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 ht="38" customHeight="1">
      <x:c r="A13" s="56" t="str">
        <x:v>Externo</x:v>
      </x:c>
      <x:c r="B13" s="56" t="str">
        <x:v>Términos de intercambio</x:v>
      </x:c>
      <x:c r="C13" s="6" t="str">
        <x:v>Robustez alta</x:v>
      </x:c>
      <x:c r="D13" s="56" t="str">
        <x:v>BanRep 15360</x:v>
      </x:c>
      <x:c r="E13" s="56" t="str">
        <x:v>Δln</x:v>
      </x:c>
      <x:c r="F13" s="56" t="str">
        <x:v>−</x:v>
      </x:c>
      <x:c r="G13" s="56" t="str">
        <x:v>Poder de compra externo</x:v>
      </x:c>
      <x:c r="H13" s="56" t="str">
        <x:v>Incluye más exportaciones que petróleo</x:v>
      </x:c>
      <x:c r="I13" s="56" t="str">
        <x:v>Sustituir a Brent, no sumarlo automáticamente</x:v>
      </x:c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 ht="38" customHeight="1">
      <x:c r="A14" s="56" t="str">
        <x:v>Riesgo</x:v>
      </x:c>
      <x:c r="B14" s="56" t="str">
        <x:v>EMBI/CDS Colombia</x:v>
      </x:c>
      <x:c r="C14" s="6" t="str">
        <x:v>Prioridad alta</x:v>
      </x:c>
      <x:c r="D14" s="56" t="str">
        <x:v>Spread soberano</x:v>
      </x:c>
      <x:c r="E14" s="56" t="str">
        <x:v>Nivel o Δ</x:v>
      </x:c>
      <x:c r="F14" s="56" t="str">
        <x:v>+</x:v>
      </x:c>
      <x:c r="G14" s="56" t="str">
        <x:v>Riesgo específico</x:v>
      </x:c>
      <x:c r="H14" s="56" t="str">
        <x:v>Fiscal, político y refinanciación</x:v>
      </x:c>
      <x:c r="I14" s="56" t="str">
        <x:v>EMBI no tiene descarga oficial pública estable</x:v>
      </x:c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 ht="38" customHeight="1">
      <x:c r="A15" s="56" t="str">
        <x:v>Reservas</x:v>
      </x:c>
      <x:c r="B15" s="56" t="str">
        <x:v>Reservas internacionales netas</x:v>
      </x:c>
      <x:c r="C15" s="95" t="str">
        <x:v>Prioridad media</x:v>
      </x:c>
      <x:c r="D15" s="56" t="str">
        <x:v>BanRep 15053</x:v>
      </x:c>
      <x:c r="E15" s="56" t="str">
        <x:v>Δln, rezago 1</x:v>
      </x:c>
      <x:c r="F15" s="56" t="str">
        <x:v>−</x:v>
      </x:c>
      <x:c r="G15" s="56" t="str">
        <x:v>Colchón externo</x:v>
      </x:c>
      <x:c r="H15" s="56" t="str">
        <x:v>Capacidad de intervención y liquidez</x:v>
      </x:c>
      <x:c r="I15" s="56" t="str">
        <x:v>Intervención responde a la TRM</x:v>
      </x:c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 ht="38" customHeight="1">
      <x:c r="A16" s="56" t="str">
        <x:v>Comercio</x:v>
      </x:c>
      <x:c r="B16" s="56" t="str">
        <x:v>Balanza comercial/cambiaria</x:v>
      </x:c>
      <x:c r="C16" s="95" t="str">
        <x:v>Prioridad media</x:v>
      </x:c>
      <x:c r="D16" s="56" t="str">
        <x:v>BanRep 16702 o DANE</x:v>
      </x:c>
      <x:c r="E16" s="56" t="str">
        <x:v>USD o % PIB</x:v>
      </x:c>
      <x:c r="F16" s="56" t="str">
        <x:v>−</x:v>
      </x:c>
      <x:c r="G16" s="56" t="str">
        <x:v>Oferta neta de divisas</x:v>
      </x:c>
      <x:c r="H16" s="56" t="str">
        <x:v>Exportaciones menos importaciones</x:v>
      </x:c>
      <x:c r="I16" s="56" t="str">
        <x:v>Simultánea con la depreciación</x:v>
      </x:c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 ht="38" customHeight="1">
      <x:c r="A17" s="56" t="str">
        <x:v>Precios</x:v>
      </x:c>
      <x:c r="B17" s="56" t="str">
        <x:v>Inflación esperada CO−EE. UU.</x:v>
      </x:c>
      <x:c r="C17" s="6" t="str">
        <x:v>Prioridad alta</x:v>
      </x:c>
      <x:c r="D17" s="56" t="str">
        <x:v>Encuestas/breakeven</x:v>
      </x:c>
      <x:c r="E17" s="56" t="str">
        <x:v>Diferencial</x:v>
      </x:c>
      <x:c r="F17" s="56" t="str">
        <x:v>+ largo plazo</x:v>
      </x:c>
      <x:c r="G17" s="56" t="str">
        <x:v>Paridad de poder de compra</x:v>
      </x:c>
      <x:c r="H17" s="56" t="str">
        <x:v>Mejora diferencial real de tasas</x:v>
      </x:c>
      <x:c r="I17" s="56" t="str">
        <x:v>Disponibilidad histórica homogénea</x:v>
      </x:c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 ht="38" customHeight="1">
      <x:c r="A18" s="56" t="str">
        <x:v>Mercado</x:v>
      </x:c>
      <x:c r="B18" s="56" t="str">
        <x:v>Monedas regionales</x:v>
      </x:c>
      <x:c r="C18" s="6" t="str">
        <x:v>Prioridad alta</x:v>
      </x:c>
      <x:c r="D18" s="56" t="str">
        <x:v>BRL, CLP, MXN, PEN</x:v>
      </x:c>
      <x:c r="E18" s="56" t="str">
        <x:v>Factor o promedio Δln</x:v>
      </x:c>
      <x:c r="F18" s="56" t="str">
        <x:v>+</x:v>
      </x:c>
      <x:c r="G18" s="56" t="str">
        <x:v>Contagio regional</x:v>
      </x:c>
      <x:c r="H18" s="56" t="str">
        <x:v>Captura shocks emergentes comunes</x:v>
      </x:c>
      <x:c r="I18" s="56" t="str">
        <x:v>Evitar duplicar VIX y dólar global</x:v>
      </x:c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 ht="38" customHeight="1">
      <x:c r="A19" s="56" t="str">
        <x:v>Flujos</x:v>
      </x:c>
      <x:c r="B19" s="56" t="str">
        <x:v>Capital de portafolio/IED</x:v>
      </x:c>
      <x:c r="C19" s="95" t="str">
        <x:v>Prioridad media</x:v>
      </x:c>
      <x:c r="D19" s="56" t="str">
        <x:v>BanRep 16708</x:v>
      </x:c>
      <x:c r="E19" s="56" t="str">
        <x:v>USD, rezago</x:v>
      </x:c>
      <x:c r="F19" s="56" t="str">
        <x:v>−</x:v>
      </x:c>
      <x:c r="G19" s="56" t="str">
        <x:v>Demanda de activos COP</x:v>
      </x:c>
      <x:c r="H19" s="56" t="str">
        <x:v>Explica episodios de entrada/salida</x:v>
      </x:c>
      <x:c r="I19" s="56" t="str">
        <x:v>Altamente endógeno</x:v>
      </x:c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 ht="38" customHeight="1">
      <x:c r="A20" s="56" t="str">
        <x:v>Política</x:v>
      </x:c>
      <x:c r="B20" s="56" t="str">
        <x:v>Intervención cambiaria</x:v>
      </x:c>
      <x:c r="C20" s="95" t="str">
        <x:v>Prioridad media</x:v>
      </x:c>
      <x:c r="D20" s="56" t="str">
        <x:v>Compras/ventas BanRep</x:v>
      </x:c>
      <x:c r="E20" s="56" t="str">
        <x:v>USD, rezago</x:v>
      </x:c>
      <x:c r="F20" s="56" t="str">
        <x:v>+ compras</x:v>
      </x:c>
      <x:c r="G20" s="56" t="str">
        <x:v>Demanda oficial de USD</x:v>
      </x:c>
      <x:c r="H20" s="56" t="str">
        <x:v>Importante en episodios puntuales</x:v>
      </x:c>
      <x:c r="I20" s="56" t="str">
        <x:v>Respuesta de política, no shock puro</x:v>
      </x:c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  <x:c r="P101" s="1"/>
      <x:c r="Q101" s="1"/>
      <x:c r="R101" s="1"/>
      <x:c r="S101" s="1"/>
      <x:c r="T101" s="1"/>
      <x:c r="U101" s="1"/>
      <x:c r="V101" s="1"/>
      <x:c r="W101" s="1"/>
      <x:c r="X101" s="1"/>
      <x:c r="Y101" s="1"/>
      <x:c r="Z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  <x:c r="P102" s="1"/>
      <x:c r="Q102" s="1"/>
      <x:c r="R102" s="1"/>
      <x:c r="S102" s="1"/>
      <x:c r="T102" s="1"/>
      <x:c r="U102" s="1"/>
      <x:c r="V102" s="1"/>
      <x:c r="W102" s="1"/>
      <x:c r="X102" s="1"/>
      <x:c r="Y102" s="1"/>
      <x:c r="Z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  <x:c r="P103" s="1"/>
      <x:c r="Q103" s="1"/>
      <x:c r="R103" s="1"/>
      <x:c r="S103" s="1"/>
      <x:c r="T103" s="1"/>
      <x:c r="U103" s="1"/>
      <x:c r="V103" s="1"/>
      <x:c r="W103" s="1"/>
      <x:c r="X103" s="1"/>
      <x:c r="Y103" s="1"/>
      <x:c r="Z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  <x:c r="P104" s="1"/>
      <x:c r="Q104" s="1"/>
      <x:c r="R104" s="1"/>
      <x:c r="S104" s="1"/>
      <x:c r="T104" s="1"/>
      <x:c r="U104" s="1"/>
      <x:c r="V104" s="1"/>
      <x:c r="W104" s="1"/>
      <x:c r="X104" s="1"/>
      <x:c r="Y104" s="1"/>
      <x:c r="Z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  <x:c r="P105" s="1"/>
      <x:c r="Q105" s="1"/>
      <x:c r="R105" s="1"/>
      <x:c r="S105" s="1"/>
      <x:c r="T105" s="1"/>
      <x:c r="U105" s="1"/>
      <x:c r="V105" s="1"/>
      <x:c r="W105" s="1"/>
      <x:c r="X105" s="1"/>
      <x:c r="Y105" s="1"/>
      <x:c r="Z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  <x:c r="P106" s="1"/>
      <x:c r="Q106" s="1"/>
      <x:c r="R106" s="1"/>
      <x:c r="S106" s="1"/>
      <x:c r="T106" s="1"/>
      <x:c r="U106" s="1"/>
      <x:c r="V106" s="1"/>
      <x:c r="W106" s="1"/>
      <x:c r="X106" s="1"/>
      <x:c r="Y106" s="1"/>
      <x:c r="Z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  <x:c r="P107" s="1"/>
      <x:c r="Q107" s="1"/>
      <x:c r="R107" s="1"/>
      <x:c r="S107" s="1"/>
      <x:c r="T107" s="1"/>
      <x:c r="U107" s="1"/>
      <x:c r="V107" s="1"/>
      <x:c r="W107" s="1"/>
      <x:c r="X107" s="1"/>
      <x:c r="Y107" s="1"/>
      <x:c r="Z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  <x:c r="P108" s="1"/>
      <x:c r="Q108" s="1"/>
      <x:c r="R108" s="1"/>
      <x:c r="S108" s="1"/>
      <x:c r="T108" s="1"/>
      <x:c r="U108" s="1"/>
      <x:c r="V108" s="1"/>
      <x:c r="W108" s="1"/>
      <x:c r="X108" s="1"/>
      <x:c r="Y108" s="1"/>
      <x:c r="Z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  <x:c r="P109" s="1"/>
      <x:c r="Q109" s="1"/>
      <x:c r="R109" s="1"/>
      <x:c r="S109" s="1"/>
      <x:c r="T109" s="1"/>
      <x:c r="U109" s="1"/>
      <x:c r="V109" s="1"/>
      <x:c r="W109" s="1"/>
      <x:c r="X109" s="1"/>
      <x:c r="Y109" s="1"/>
      <x:c r="Z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  <x:c r="P110" s="1"/>
      <x:c r="Q110" s="1"/>
      <x:c r="R110" s="1"/>
      <x:c r="S110" s="1"/>
      <x:c r="T110" s="1"/>
      <x:c r="U110" s="1"/>
      <x:c r="V110" s="1"/>
      <x:c r="W110" s="1"/>
      <x:c r="X110" s="1"/>
      <x:c r="Y110" s="1"/>
      <x:c r="Z110" s="1"/>
    </x:row>
    <x:row r="11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  <x:c r="P111" s="1"/>
      <x:c r="Q111" s="1"/>
      <x:c r="R111" s="1"/>
      <x:c r="S111" s="1"/>
      <x:c r="T111" s="1"/>
      <x:c r="U111" s="1"/>
      <x:c r="V111" s="1"/>
      <x:c r="W111" s="1"/>
      <x:c r="X111" s="1"/>
      <x:c r="Y111" s="1"/>
      <x:c r="Z111" s="1"/>
    </x:row>
    <x:row r="112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  <x:c r="P112" s="1"/>
      <x:c r="Q112" s="1"/>
      <x:c r="R112" s="1"/>
      <x:c r="S112" s="1"/>
      <x:c r="T112" s="1"/>
      <x:c r="U112" s="1"/>
      <x:c r="V112" s="1"/>
      <x:c r="W112" s="1"/>
      <x:c r="X112" s="1"/>
      <x:c r="Y112" s="1"/>
      <x:c r="Z112" s="1"/>
    </x:row>
    <x:row r="113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  <x:c r="P113" s="1"/>
      <x:c r="Q113" s="1"/>
      <x:c r="R113" s="1"/>
      <x:c r="S113" s="1"/>
      <x:c r="T113" s="1"/>
      <x:c r="U113" s="1"/>
      <x:c r="V113" s="1"/>
      <x:c r="W113" s="1"/>
      <x:c r="X113" s="1"/>
      <x:c r="Y113" s="1"/>
      <x:c r="Z113" s="1"/>
    </x:row>
    <x:row r="114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  <x:c r="P114" s="1"/>
      <x:c r="Q114" s="1"/>
      <x:c r="R114" s="1"/>
      <x:c r="S114" s="1"/>
      <x:c r="T114" s="1"/>
      <x:c r="U114" s="1"/>
      <x:c r="V114" s="1"/>
      <x:c r="W114" s="1"/>
      <x:c r="X114" s="1"/>
      <x:c r="Y114" s="1"/>
      <x:c r="Z114" s="1"/>
    </x:row>
    <x:row r="115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  <x:c r="P115" s="1"/>
      <x:c r="Q115" s="1"/>
      <x:c r="R115" s="1"/>
      <x:c r="S115" s="1"/>
      <x:c r="T115" s="1"/>
      <x:c r="U115" s="1"/>
      <x:c r="V115" s="1"/>
      <x:c r="W115" s="1"/>
      <x:c r="X115" s="1"/>
      <x:c r="Y115" s="1"/>
      <x:c r="Z115" s="1"/>
    </x:row>
    <x:row r="116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  <x:c r="P116" s="1"/>
      <x:c r="Q116" s="1"/>
      <x:c r="R116" s="1"/>
      <x:c r="S116" s="1"/>
      <x:c r="T116" s="1"/>
      <x:c r="U116" s="1"/>
      <x:c r="V116" s="1"/>
      <x:c r="W116" s="1"/>
      <x:c r="X116" s="1"/>
      <x:c r="Y116" s="1"/>
      <x:c r="Z116" s="1"/>
    </x:row>
    <x:row r="117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  <x:c r="P117" s="1"/>
      <x:c r="Q117" s="1"/>
      <x:c r="R117" s="1"/>
      <x:c r="S117" s="1"/>
      <x:c r="T117" s="1"/>
      <x:c r="U117" s="1"/>
      <x:c r="V117" s="1"/>
      <x:c r="W117" s="1"/>
      <x:c r="X117" s="1"/>
      <x:c r="Y117" s="1"/>
      <x:c r="Z117" s="1"/>
    </x:row>
    <x:row r="118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  <x:c r="P118" s="1"/>
      <x:c r="Q118" s="1"/>
      <x:c r="R118" s="1"/>
      <x:c r="S118" s="1"/>
      <x:c r="T118" s="1"/>
      <x:c r="U118" s="1"/>
      <x:c r="V118" s="1"/>
      <x:c r="W118" s="1"/>
      <x:c r="X118" s="1"/>
      <x:c r="Y118" s="1"/>
      <x:c r="Z118" s="1"/>
    </x:row>
    <x:row r="119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  <x:c r="P119" s="1"/>
      <x:c r="Q119" s="1"/>
      <x:c r="R119" s="1"/>
      <x:c r="S119" s="1"/>
      <x:c r="T119" s="1"/>
      <x:c r="U119" s="1"/>
      <x:c r="V119" s="1"/>
      <x:c r="W119" s="1"/>
      <x:c r="X119" s="1"/>
      <x:c r="Y119" s="1"/>
      <x:c r="Z119" s="1"/>
    </x:row>
    <x:row r="12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  <x:c r="P120" s="1"/>
      <x:c r="Q120" s="1"/>
      <x:c r="R120" s="1"/>
      <x:c r="S120" s="1"/>
      <x:c r="T120" s="1"/>
      <x:c r="U120" s="1"/>
      <x:c r="V120" s="1"/>
      <x:c r="W120" s="1"/>
      <x:c r="X120" s="1"/>
      <x:c r="Y120" s="1"/>
      <x:c r="Z120" s="1"/>
    </x:row>
    <x:row r="12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1"/>
      <x:c r="O121" s="1"/>
      <x:c r="P121" s="1"/>
      <x:c r="Q121" s="1"/>
      <x:c r="R121" s="1"/>
      <x:c r="S121" s="1"/>
      <x:c r="T121" s="1"/>
      <x:c r="U121" s="1"/>
      <x:c r="V121" s="1"/>
      <x:c r="W121" s="1"/>
      <x:c r="X121" s="1"/>
      <x:c r="Y121" s="1"/>
      <x:c r="Z121" s="1"/>
    </x:row>
    <x:row r="122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1"/>
      <x:c r="O122" s="1"/>
      <x:c r="P122" s="1"/>
      <x:c r="Q122" s="1"/>
      <x:c r="R122" s="1"/>
      <x:c r="S122" s="1"/>
      <x:c r="T122" s="1"/>
      <x:c r="U122" s="1"/>
      <x:c r="V122" s="1"/>
      <x:c r="W122" s="1"/>
      <x:c r="X122" s="1"/>
      <x:c r="Y122" s="1"/>
      <x:c r="Z122" s="1"/>
    </x:row>
    <x:row r="123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1"/>
      <x:c r="O123" s="1"/>
      <x:c r="P123" s="1"/>
      <x:c r="Q123" s="1"/>
      <x:c r="R123" s="1"/>
      <x:c r="S123" s="1"/>
      <x:c r="T123" s="1"/>
      <x:c r="U123" s="1"/>
      <x:c r="V123" s="1"/>
      <x:c r="W123" s="1"/>
      <x:c r="X123" s="1"/>
      <x:c r="Y123" s="1"/>
      <x:c r="Z123" s="1"/>
    </x:row>
    <x:row r="124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1"/>
      <x:c r="O124" s="1"/>
      <x:c r="P124" s="1"/>
      <x:c r="Q124" s="1"/>
      <x:c r="R124" s="1"/>
      <x:c r="S124" s="1"/>
      <x:c r="T124" s="1"/>
      <x:c r="U124" s="1"/>
      <x:c r="V124" s="1"/>
      <x:c r="W124" s="1"/>
      <x:c r="X124" s="1"/>
      <x:c r="Y124" s="1"/>
      <x:c r="Z124" s="1"/>
    </x:row>
    <x:row r="125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1"/>
      <x:c r="O125" s="1"/>
      <x:c r="P125" s="1"/>
      <x:c r="Q125" s="1"/>
      <x:c r="R125" s="1"/>
      <x:c r="S125" s="1"/>
      <x:c r="T125" s="1"/>
      <x:c r="U125" s="1"/>
      <x:c r="V125" s="1"/>
      <x:c r="W125" s="1"/>
      <x:c r="X125" s="1"/>
      <x:c r="Y125" s="1"/>
      <x:c r="Z125" s="1"/>
    </x:row>
    <x:row r="126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  <x:c r="O126" s="1"/>
      <x:c r="P126" s="1"/>
      <x:c r="Q126" s="1"/>
      <x:c r="R126" s="1"/>
      <x:c r="S126" s="1"/>
      <x:c r="T126" s="1"/>
      <x:c r="U126" s="1"/>
      <x:c r="V126" s="1"/>
      <x:c r="W126" s="1"/>
      <x:c r="X126" s="1"/>
      <x:c r="Y126" s="1"/>
      <x:c r="Z126" s="1"/>
    </x:row>
    <x:row r="127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  <x:c r="O127" s="1"/>
      <x:c r="P127" s="1"/>
      <x:c r="Q127" s="1"/>
      <x:c r="R127" s="1"/>
      <x:c r="S127" s="1"/>
      <x:c r="T127" s="1"/>
      <x:c r="U127" s="1"/>
      <x:c r="V127" s="1"/>
      <x:c r="W127" s="1"/>
      <x:c r="X127" s="1"/>
      <x:c r="Y127" s="1"/>
      <x:c r="Z127" s="1"/>
    </x:row>
    <x:row r="128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  <x:c r="O128" s="1"/>
      <x:c r="P128" s="1"/>
      <x:c r="Q128" s="1"/>
      <x:c r="R128" s="1"/>
      <x:c r="S128" s="1"/>
      <x:c r="T128" s="1"/>
      <x:c r="U128" s="1"/>
      <x:c r="V128" s="1"/>
      <x:c r="W128" s="1"/>
      <x:c r="X128" s="1"/>
      <x:c r="Y128" s="1"/>
      <x:c r="Z128" s="1"/>
    </x:row>
    <x:row r="129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1"/>
      <x:c r="O129" s="1"/>
      <x:c r="P129" s="1"/>
      <x:c r="Q129" s="1"/>
      <x:c r="R129" s="1"/>
      <x:c r="S129" s="1"/>
      <x:c r="T129" s="1"/>
      <x:c r="U129" s="1"/>
      <x:c r="V129" s="1"/>
      <x:c r="W129" s="1"/>
      <x:c r="X129" s="1"/>
      <x:c r="Y129" s="1"/>
      <x:c r="Z129" s="1"/>
    </x:row>
    <x:row r="130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1"/>
      <x:c r="O130" s="1"/>
      <x:c r="P130" s="1"/>
      <x:c r="Q130" s="1"/>
      <x:c r="R130" s="1"/>
      <x:c r="S130" s="1"/>
      <x:c r="T130" s="1"/>
      <x:c r="U130" s="1"/>
      <x:c r="V130" s="1"/>
      <x:c r="W130" s="1"/>
      <x:c r="X130" s="1"/>
      <x:c r="Y130" s="1"/>
      <x:c r="Z130" s="1"/>
    </x:row>
    <x:row r="13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1"/>
      <x:c r="O131" s="1"/>
      <x:c r="P131" s="1"/>
      <x:c r="Q131" s="1"/>
      <x:c r="R131" s="1"/>
      <x:c r="S131" s="1"/>
      <x:c r="T131" s="1"/>
      <x:c r="U131" s="1"/>
      <x:c r="V131" s="1"/>
      <x:c r="W131" s="1"/>
      <x:c r="X131" s="1"/>
      <x:c r="Y131" s="1"/>
      <x:c r="Z131" s="1"/>
    </x:row>
    <x:row r="132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1"/>
      <x:c r="O132" s="1"/>
      <x:c r="P132" s="1"/>
      <x:c r="Q132" s="1"/>
      <x:c r="R132" s="1"/>
      <x:c r="S132" s="1"/>
      <x:c r="T132" s="1"/>
      <x:c r="U132" s="1"/>
      <x:c r="V132" s="1"/>
      <x:c r="W132" s="1"/>
      <x:c r="X132" s="1"/>
      <x:c r="Y132" s="1"/>
      <x:c r="Z132" s="1"/>
    </x:row>
    <x:row r="133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  <x:c r="O133" s="1"/>
      <x:c r="P133" s="1"/>
      <x:c r="Q133" s="1"/>
      <x:c r="R133" s="1"/>
      <x:c r="S133" s="1"/>
      <x:c r="T133" s="1"/>
      <x:c r="U133" s="1"/>
      <x:c r="V133" s="1"/>
      <x:c r="W133" s="1"/>
      <x:c r="X133" s="1"/>
      <x:c r="Y133" s="1"/>
      <x:c r="Z133" s="1"/>
    </x:row>
    <x:row r="134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  <x:c r="O134" s="1"/>
      <x:c r="P134" s="1"/>
      <x:c r="Q134" s="1"/>
      <x:c r="R134" s="1"/>
      <x:c r="S134" s="1"/>
      <x:c r="T134" s="1"/>
      <x:c r="U134" s="1"/>
      <x:c r="V134" s="1"/>
      <x:c r="W134" s="1"/>
      <x:c r="X134" s="1"/>
      <x:c r="Y134" s="1"/>
      <x:c r="Z134" s="1"/>
    </x:row>
    <x:row r="135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  <x:c r="O135" s="1"/>
      <x:c r="P135" s="1"/>
      <x:c r="Q135" s="1"/>
      <x:c r="R135" s="1"/>
      <x:c r="S135" s="1"/>
      <x:c r="T135" s="1"/>
      <x:c r="U135" s="1"/>
      <x:c r="V135" s="1"/>
      <x:c r="W135" s="1"/>
      <x:c r="X135" s="1"/>
      <x:c r="Y135" s="1"/>
      <x:c r="Z135" s="1"/>
    </x:row>
    <x:row r="136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  <x:c r="O136" s="1"/>
      <x:c r="P136" s="1"/>
      <x:c r="Q136" s="1"/>
      <x:c r="R136" s="1"/>
      <x:c r="S136" s="1"/>
      <x:c r="T136" s="1"/>
      <x:c r="U136" s="1"/>
      <x:c r="V136" s="1"/>
      <x:c r="W136" s="1"/>
      <x:c r="X136" s="1"/>
      <x:c r="Y136" s="1"/>
      <x:c r="Z136" s="1"/>
    </x:row>
    <x:row r="137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  <x:c r="O137" s="1"/>
      <x:c r="P137" s="1"/>
      <x:c r="Q137" s="1"/>
      <x:c r="R137" s="1"/>
      <x:c r="S137" s="1"/>
      <x:c r="T137" s="1"/>
      <x:c r="U137" s="1"/>
      <x:c r="V137" s="1"/>
      <x:c r="W137" s="1"/>
      <x:c r="X137" s="1"/>
      <x:c r="Y137" s="1"/>
      <x:c r="Z137" s="1"/>
    </x:row>
    <x:row r="138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  <x:c r="O138" s="1"/>
      <x:c r="P138" s="1"/>
      <x:c r="Q138" s="1"/>
      <x:c r="R138" s="1"/>
      <x:c r="S138" s="1"/>
      <x:c r="T138" s="1"/>
      <x:c r="U138" s="1"/>
      <x:c r="V138" s="1"/>
      <x:c r="W138" s="1"/>
      <x:c r="X138" s="1"/>
      <x:c r="Y138" s="1"/>
      <x:c r="Z138" s="1"/>
    </x:row>
    <x:row r="139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  <x:c r="O139" s="1"/>
      <x:c r="P139" s="1"/>
      <x:c r="Q139" s="1"/>
      <x:c r="R139" s="1"/>
      <x:c r="S139" s="1"/>
      <x:c r="T139" s="1"/>
      <x:c r="U139" s="1"/>
      <x:c r="V139" s="1"/>
      <x:c r="W139" s="1"/>
      <x:c r="X139" s="1"/>
      <x:c r="Y139" s="1"/>
      <x:c r="Z139" s="1"/>
    </x:row>
    <x:row r="140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  <x:c r="O140" s="1"/>
      <x:c r="P140" s="1"/>
      <x:c r="Q140" s="1"/>
      <x:c r="R140" s="1"/>
      <x:c r="S140" s="1"/>
      <x:c r="T140" s="1"/>
      <x:c r="U140" s="1"/>
      <x:c r="V140" s="1"/>
      <x:c r="W140" s="1"/>
      <x:c r="X140" s="1"/>
      <x:c r="Y140" s="1"/>
      <x:c r="Z140" s="1"/>
    </x:row>
    <x:row r="14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  <x:c r="O141" s="1"/>
      <x:c r="P141" s="1"/>
      <x:c r="Q141" s="1"/>
      <x:c r="R141" s="1"/>
      <x:c r="S141" s="1"/>
      <x:c r="T141" s="1"/>
      <x:c r="U141" s="1"/>
      <x:c r="V141" s="1"/>
      <x:c r="W141" s="1"/>
      <x:c r="X141" s="1"/>
      <x:c r="Y141" s="1"/>
      <x:c r="Z141" s="1"/>
    </x:row>
    <x:row r="142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  <x:c r="O142" s="1"/>
      <x:c r="P142" s="1"/>
      <x:c r="Q142" s="1"/>
      <x:c r="R142" s="1"/>
      <x:c r="S142" s="1"/>
      <x:c r="T142" s="1"/>
      <x:c r="U142" s="1"/>
      <x:c r="V142" s="1"/>
      <x:c r="W142" s="1"/>
      <x:c r="X142" s="1"/>
      <x:c r="Y142" s="1"/>
      <x:c r="Z142" s="1"/>
    </x:row>
    <x:row r="143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  <x:c r="O143" s="1"/>
      <x:c r="P143" s="1"/>
      <x:c r="Q143" s="1"/>
      <x:c r="R143" s="1"/>
      <x:c r="S143" s="1"/>
      <x:c r="T143" s="1"/>
      <x:c r="U143" s="1"/>
      <x:c r="V143" s="1"/>
      <x:c r="W143" s="1"/>
      <x:c r="X143" s="1"/>
      <x:c r="Y143" s="1"/>
      <x:c r="Z143" s="1"/>
    </x:row>
    <x:row r="144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  <x:c r="O144" s="1"/>
      <x:c r="P144" s="1"/>
      <x:c r="Q144" s="1"/>
      <x:c r="R144" s="1"/>
      <x:c r="S144" s="1"/>
      <x:c r="T144" s="1"/>
      <x:c r="U144" s="1"/>
      <x:c r="V144" s="1"/>
      <x:c r="W144" s="1"/>
      <x:c r="X144" s="1"/>
      <x:c r="Y144" s="1"/>
      <x:c r="Z144" s="1"/>
    </x:row>
    <x:row r="145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  <x:c r="O145" s="1"/>
      <x:c r="P145" s="1"/>
      <x:c r="Q145" s="1"/>
      <x:c r="R145" s="1"/>
      <x:c r="S145" s="1"/>
      <x:c r="T145" s="1"/>
      <x:c r="U145" s="1"/>
      <x:c r="V145" s="1"/>
      <x:c r="W145" s="1"/>
      <x:c r="X145" s="1"/>
      <x:c r="Y145" s="1"/>
      <x:c r="Z145" s="1"/>
    </x:row>
    <x:row r="146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  <x:c r="O146" s="1"/>
      <x:c r="P146" s="1"/>
      <x:c r="Q146" s="1"/>
      <x:c r="R146" s="1"/>
      <x:c r="S146" s="1"/>
      <x:c r="T146" s="1"/>
      <x:c r="U146" s="1"/>
      <x:c r="V146" s="1"/>
      <x:c r="W146" s="1"/>
      <x:c r="X146" s="1"/>
      <x:c r="Y146" s="1"/>
      <x:c r="Z146" s="1"/>
    </x:row>
    <x:row r="147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  <x:c r="O147" s="1"/>
      <x:c r="P147" s="1"/>
      <x:c r="Q147" s="1"/>
      <x:c r="R147" s="1"/>
      <x:c r="S147" s="1"/>
      <x:c r="T147" s="1"/>
      <x:c r="U147" s="1"/>
      <x:c r="V147" s="1"/>
      <x:c r="W147" s="1"/>
      <x:c r="X147" s="1"/>
      <x:c r="Y147" s="1"/>
      <x:c r="Z147" s="1"/>
    </x:row>
    <x:row r="148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  <x:c r="O148" s="1"/>
      <x:c r="P148" s="1"/>
      <x:c r="Q148" s="1"/>
      <x:c r="R148" s="1"/>
      <x:c r="S148" s="1"/>
      <x:c r="T148" s="1"/>
      <x:c r="U148" s="1"/>
      <x:c r="V148" s="1"/>
      <x:c r="W148" s="1"/>
      <x:c r="X148" s="1"/>
      <x:c r="Y148" s="1"/>
      <x:c r="Z148" s="1"/>
    </x:row>
    <x:row r="149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  <x:c r="O149" s="1"/>
      <x:c r="P149" s="1"/>
      <x:c r="Q149" s="1"/>
      <x:c r="R149" s="1"/>
      <x:c r="S149" s="1"/>
      <x:c r="T149" s="1"/>
      <x:c r="U149" s="1"/>
      <x:c r="V149" s="1"/>
      <x:c r="W149" s="1"/>
      <x:c r="X149" s="1"/>
      <x:c r="Y149" s="1"/>
      <x:c r="Z149" s="1"/>
    </x:row>
    <x:row r="150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  <x:c r="O150" s="1"/>
      <x:c r="P150" s="1"/>
      <x:c r="Q150" s="1"/>
      <x:c r="R150" s="1"/>
      <x:c r="S150" s="1"/>
      <x:c r="T150" s="1"/>
      <x:c r="U150" s="1"/>
      <x:c r="V150" s="1"/>
      <x:c r="W150" s="1"/>
      <x:c r="X150" s="1"/>
      <x:c r="Y150" s="1"/>
      <x:c r="Z150" s="1"/>
    </x:row>
    <x:row r="15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  <x:c r="O151" s="1"/>
      <x:c r="P151" s="1"/>
      <x:c r="Q151" s="1"/>
      <x:c r="R151" s="1"/>
      <x:c r="S151" s="1"/>
      <x:c r="T151" s="1"/>
      <x:c r="U151" s="1"/>
      <x:c r="V151" s="1"/>
      <x:c r="W151" s="1"/>
      <x:c r="X151" s="1"/>
      <x:c r="Y151" s="1"/>
      <x:c r="Z151" s="1"/>
    </x:row>
    <x:row r="152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  <x:c r="O152" s="1"/>
      <x:c r="P152" s="1"/>
      <x:c r="Q152" s="1"/>
      <x:c r="R152" s="1"/>
      <x:c r="S152" s="1"/>
      <x:c r="T152" s="1"/>
      <x:c r="U152" s="1"/>
      <x:c r="V152" s="1"/>
      <x:c r="W152" s="1"/>
      <x:c r="X152" s="1"/>
      <x:c r="Y152" s="1"/>
      <x:c r="Z152" s="1"/>
    </x:row>
    <x:row r="153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  <x:c r="O153" s="1"/>
      <x:c r="P153" s="1"/>
      <x:c r="Q153" s="1"/>
      <x:c r="R153" s="1"/>
      <x:c r="S153" s="1"/>
      <x:c r="T153" s="1"/>
      <x:c r="U153" s="1"/>
      <x:c r="V153" s="1"/>
      <x:c r="W153" s="1"/>
      <x:c r="X153" s="1"/>
      <x:c r="Y153" s="1"/>
      <x:c r="Z153" s="1"/>
    </x:row>
    <x:row r="154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  <x:c r="O154" s="1"/>
      <x:c r="P154" s="1"/>
      <x:c r="Q154" s="1"/>
      <x:c r="R154" s="1"/>
      <x:c r="S154" s="1"/>
      <x:c r="T154" s="1"/>
      <x:c r="U154" s="1"/>
      <x:c r="V154" s="1"/>
      <x:c r="W154" s="1"/>
      <x:c r="X154" s="1"/>
      <x:c r="Y154" s="1"/>
      <x:c r="Z154" s="1"/>
    </x:row>
    <x:row r="155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  <x:c r="O155" s="1"/>
      <x:c r="P155" s="1"/>
      <x:c r="Q155" s="1"/>
      <x:c r="R155" s="1"/>
      <x:c r="S155" s="1"/>
      <x:c r="T155" s="1"/>
      <x:c r="U155" s="1"/>
      <x:c r="V155" s="1"/>
      <x:c r="W155" s="1"/>
      <x:c r="X155" s="1"/>
      <x:c r="Y155" s="1"/>
      <x:c r="Z155" s="1"/>
    </x:row>
    <x:row r="156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  <x:c r="O156" s="1"/>
      <x:c r="P156" s="1"/>
      <x:c r="Q156" s="1"/>
      <x:c r="R156" s="1"/>
      <x:c r="S156" s="1"/>
      <x:c r="T156" s="1"/>
      <x:c r="U156" s="1"/>
      <x:c r="V156" s="1"/>
      <x:c r="W156" s="1"/>
      <x:c r="X156" s="1"/>
      <x:c r="Y156" s="1"/>
      <x:c r="Z156" s="1"/>
    </x:row>
    <x:row r="157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  <x:c r="O157" s="1"/>
      <x:c r="P157" s="1"/>
      <x:c r="Q157" s="1"/>
      <x:c r="R157" s="1"/>
      <x:c r="S157" s="1"/>
      <x:c r="T157" s="1"/>
      <x:c r="U157" s="1"/>
      <x:c r="V157" s="1"/>
      <x:c r="W157" s="1"/>
      <x:c r="X157" s="1"/>
      <x:c r="Y157" s="1"/>
      <x:c r="Z157" s="1"/>
    </x:row>
    <x:row r="158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  <x:c r="O158" s="1"/>
      <x:c r="P158" s="1"/>
      <x:c r="Q158" s="1"/>
      <x:c r="R158" s="1"/>
      <x:c r="S158" s="1"/>
      <x:c r="T158" s="1"/>
      <x:c r="U158" s="1"/>
      <x:c r="V158" s="1"/>
      <x:c r="W158" s="1"/>
      <x:c r="X158" s="1"/>
      <x:c r="Y158" s="1"/>
      <x:c r="Z158" s="1"/>
    </x:row>
    <x:row r="159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  <x:c r="O159" s="1"/>
      <x:c r="P159" s="1"/>
      <x:c r="Q159" s="1"/>
      <x:c r="R159" s="1"/>
      <x:c r="S159" s="1"/>
      <x:c r="T159" s="1"/>
      <x:c r="U159" s="1"/>
      <x:c r="V159" s="1"/>
      <x:c r="W159" s="1"/>
      <x:c r="X159" s="1"/>
      <x:c r="Y159" s="1"/>
      <x:c r="Z159" s="1"/>
    </x:row>
    <x:row r="160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  <x:c r="O160" s="1"/>
      <x:c r="P160" s="1"/>
      <x:c r="Q160" s="1"/>
      <x:c r="R160" s="1"/>
      <x:c r="S160" s="1"/>
      <x:c r="T160" s="1"/>
      <x:c r="U160" s="1"/>
      <x:c r="V160" s="1"/>
      <x:c r="W160" s="1"/>
      <x:c r="X160" s="1"/>
      <x:c r="Y160" s="1"/>
      <x:c r="Z160" s="1"/>
    </x:row>
    <x:row r="16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  <x:c r="O161" s="1"/>
      <x:c r="P161" s="1"/>
      <x:c r="Q161" s="1"/>
      <x:c r="R161" s="1"/>
      <x:c r="S161" s="1"/>
      <x:c r="T161" s="1"/>
      <x:c r="U161" s="1"/>
      <x:c r="V161" s="1"/>
      <x:c r="W161" s="1"/>
      <x:c r="X161" s="1"/>
      <x:c r="Y161" s="1"/>
      <x:c r="Z161" s="1"/>
    </x:row>
    <x:row r="162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  <x:c r="O162" s="1"/>
      <x:c r="P162" s="1"/>
      <x:c r="Q162" s="1"/>
      <x:c r="R162" s="1"/>
      <x:c r="S162" s="1"/>
      <x:c r="T162" s="1"/>
      <x:c r="U162" s="1"/>
      <x:c r="V162" s="1"/>
      <x:c r="W162" s="1"/>
      <x:c r="X162" s="1"/>
      <x:c r="Y162" s="1"/>
      <x:c r="Z162" s="1"/>
    </x:row>
    <x:row r="163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  <x:c r="O163" s="1"/>
      <x:c r="P163" s="1"/>
      <x:c r="Q163" s="1"/>
      <x:c r="R163" s="1"/>
      <x:c r="S163" s="1"/>
      <x:c r="T163" s="1"/>
      <x:c r="U163" s="1"/>
      <x:c r="V163" s="1"/>
      <x:c r="W163" s="1"/>
      <x:c r="X163" s="1"/>
      <x:c r="Y163" s="1"/>
      <x:c r="Z163" s="1"/>
    </x:row>
    <x:row r="164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  <x:c r="O164" s="1"/>
      <x:c r="P164" s="1"/>
      <x:c r="Q164" s="1"/>
      <x:c r="R164" s="1"/>
      <x:c r="S164" s="1"/>
      <x:c r="T164" s="1"/>
      <x:c r="U164" s="1"/>
      <x:c r="V164" s="1"/>
      <x:c r="W164" s="1"/>
      <x:c r="X164" s="1"/>
      <x:c r="Y164" s="1"/>
      <x:c r="Z164" s="1"/>
    </x:row>
    <x:row r="165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  <x:c r="O165" s="1"/>
      <x:c r="P165" s="1"/>
      <x:c r="Q165" s="1"/>
      <x:c r="R165" s="1"/>
      <x:c r="S165" s="1"/>
      <x:c r="T165" s="1"/>
      <x:c r="U165" s="1"/>
      <x:c r="V165" s="1"/>
      <x:c r="W165" s="1"/>
      <x:c r="X165" s="1"/>
      <x:c r="Y165" s="1"/>
      <x:c r="Z165" s="1"/>
    </x:row>
    <x:row r="166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  <x:c r="O166" s="1"/>
      <x:c r="P166" s="1"/>
      <x:c r="Q166" s="1"/>
      <x:c r="R166" s="1"/>
      <x:c r="S166" s="1"/>
      <x:c r="T166" s="1"/>
      <x:c r="U166" s="1"/>
      <x:c r="V166" s="1"/>
      <x:c r="W166" s="1"/>
      <x:c r="X166" s="1"/>
      <x:c r="Y166" s="1"/>
      <x:c r="Z166" s="1"/>
    </x:row>
    <x:row r="167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  <x:c r="O167" s="1"/>
      <x:c r="P167" s="1"/>
      <x:c r="Q167" s="1"/>
      <x:c r="R167" s="1"/>
      <x:c r="S167" s="1"/>
      <x:c r="T167" s="1"/>
      <x:c r="U167" s="1"/>
      <x:c r="V167" s="1"/>
      <x:c r="W167" s="1"/>
      <x:c r="X167" s="1"/>
      <x:c r="Y167" s="1"/>
      <x:c r="Z167" s="1"/>
    </x:row>
    <x:row r="168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  <x:c r="O168" s="1"/>
      <x:c r="P168" s="1"/>
      <x:c r="Q168" s="1"/>
      <x:c r="R168" s="1"/>
      <x:c r="S168" s="1"/>
      <x:c r="T168" s="1"/>
      <x:c r="U168" s="1"/>
      <x:c r="V168" s="1"/>
      <x:c r="W168" s="1"/>
      <x:c r="X168" s="1"/>
      <x:c r="Y168" s="1"/>
      <x:c r="Z168" s="1"/>
    </x:row>
    <x:row r="169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  <x:c r="O169" s="1"/>
      <x:c r="P169" s="1"/>
      <x:c r="Q169" s="1"/>
      <x:c r="R169" s="1"/>
      <x:c r="S169" s="1"/>
      <x:c r="T169" s="1"/>
      <x:c r="U169" s="1"/>
      <x:c r="V169" s="1"/>
      <x:c r="W169" s="1"/>
      <x:c r="X169" s="1"/>
      <x:c r="Y169" s="1"/>
      <x:c r="Z169" s="1"/>
    </x:row>
    <x:row r="170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  <x:c r="O170" s="1"/>
      <x:c r="P170" s="1"/>
      <x:c r="Q170" s="1"/>
      <x:c r="R170" s="1"/>
      <x:c r="S170" s="1"/>
      <x:c r="T170" s="1"/>
      <x:c r="U170" s="1"/>
      <x:c r="V170" s="1"/>
      <x:c r="W170" s="1"/>
      <x:c r="X170" s="1"/>
      <x:c r="Y170" s="1"/>
      <x:c r="Z170" s="1"/>
    </x:row>
    <x:row r="17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  <x:c r="O171" s="1"/>
      <x:c r="P171" s="1"/>
      <x:c r="Q171" s="1"/>
      <x:c r="R171" s="1"/>
      <x:c r="S171" s="1"/>
      <x:c r="T171" s="1"/>
      <x:c r="U171" s="1"/>
      <x:c r="V171" s="1"/>
      <x:c r="W171" s="1"/>
      <x:c r="X171" s="1"/>
      <x:c r="Y171" s="1"/>
      <x:c r="Z171" s="1"/>
    </x:row>
    <x:row r="172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  <x:c r="O172" s="1"/>
      <x:c r="P172" s="1"/>
      <x:c r="Q172" s="1"/>
      <x:c r="R172" s="1"/>
      <x:c r="S172" s="1"/>
      <x:c r="T172" s="1"/>
      <x:c r="U172" s="1"/>
      <x:c r="V172" s="1"/>
      <x:c r="W172" s="1"/>
      <x:c r="X172" s="1"/>
      <x:c r="Y172" s="1"/>
      <x:c r="Z172" s="1"/>
    </x:row>
    <x:row r="173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  <x:c r="O173" s="1"/>
      <x:c r="P173" s="1"/>
      <x:c r="Q173" s="1"/>
      <x:c r="R173" s="1"/>
      <x:c r="S173" s="1"/>
      <x:c r="T173" s="1"/>
      <x:c r="U173" s="1"/>
      <x:c r="V173" s="1"/>
      <x:c r="W173" s="1"/>
      <x:c r="X173" s="1"/>
      <x:c r="Y173" s="1"/>
      <x:c r="Z173" s="1"/>
    </x:row>
    <x:row r="174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  <x:c r="O174" s="1"/>
      <x:c r="P174" s="1"/>
      <x:c r="Q174" s="1"/>
      <x:c r="R174" s="1"/>
      <x:c r="S174" s="1"/>
      <x:c r="T174" s="1"/>
      <x:c r="U174" s="1"/>
      <x:c r="V174" s="1"/>
      <x:c r="W174" s="1"/>
      <x:c r="X174" s="1"/>
      <x:c r="Y174" s="1"/>
      <x:c r="Z174" s="1"/>
    </x:row>
    <x:row r="175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  <x:c r="O175" s="1"/>
      <x:c r="P175" s="1"/>
      <x:c r="Q175" s="1"/>
      <x:c r="R175" s="1"/>
      <x:c r="S175" s="1"/>
      <x:c r="T175" s="1"/>
      <x:c r="U175" s="1"/>
      <x:c r="V175" s="1"/>
      <x:c r="W175" s="1"/>
      <x:c r="X175" s="1"/>
      <x:c r="Y175" s="1"/>
      <x:c r="Z175" s="1"/>
    </x:row>
    <x:row r="176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  <x:c r="O176" s="1"/>
      <x:c r="P176" s="1"/>
      <x:c r="Q176" s="1"/>
      <x:c r="R176" s="1"/>
      <x:c r="S176" s="1"/>
      <x:c r="T176" s="1"/>
      <x:c r="U176" s="1"/>
      <x:c r="V176" s="1"/>
      <x:c r="W176" s="1"/>
      <x:c r="X176" s="1"/>
      <x:c r="Y176" s="1"/>
      <x:c r="Z176" s="1"/>
    </x:row>
    <x:row r="177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  <x:c r="O177" s="1"/>
      <x:c r="P177" s="1"/>
      <x:c r="Q177" s="1"/>
      <x:c r="R177" s="1"/>
      <x:c r="S177" s="1"/>
      <x:c r="T177" s="1"/>
      <x:c r="U177" s="1"/>
      <x:c r="V177" s="1"/>
      <x:c r="W177" s="1"/>
      <x:c r="X177" s="1"/>
      <x:c r="Y177" s="1"/>
      <x:c r="Z177" s="1"/>
    </x:row>
    <x:row r="178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  <x:c r="O178" s="1"/>
      <x:c r="P178" s="1"/>
      <x:c r="Q178" s="1"/>
      <x:c r="R178" s="1"/>
      <x:c r="S178" s="1"/>
      <x:c r="T178" s="1"/>
      <x:c r="U178" s="1"/>
      <x:c r="V178" s="1"/>
      <x:c r="W178" s="1"/>
      <x:c r="X178" s="1"/>
      <x:c r="Y178" s="1"/>
      <x:c r="Z178" s="1"/>
    </x:row>
    <x:row r="179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  <x:c r="O179" s="1"/>
      <x:c r="P179" s="1"/>
      <x:c r="Q179" s="1"/>
      <x:c r="R179" s="1"/>
      <x:c r="S179" s="1"/>
      <x:c r="T179" s="1"/>
      <x:c r="U179" s="1"/>
      <x:c r="V179" s="1"/>
      <x:c r="W179" s="1"/>
      <x:c r="X179" s="1"/>
      <x:c r="Y179" s="1"/>
      <x:c r="Z179" s="1"/>
    </x:row>
    <x:row r="180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  <x:c r="O180" s="1"/>
      <x:c r="P180" s="1"/>
      <x:c r="Q180" s="1"/>
      <x:c r="R180" s="1"/>
      <x:c r="S180" s="1"/>
      <x:c r="T180" s="1"/>
      <x:c r="U180" s="1"/>
      <x:c r="V180" s="1"/>
      <x:c r="W180" s="1"/>
      <x:c r="X180" s="1"/>
      <x:c r="Y180" s="1"/>
      <x:c r="Z180" s="1"/>
    </x:row>
    <x:row r="18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  <x:c r="O181" s="1"/>
      <x:c r="P181" s="1"/>
      <x:c r="Q181" s="1"/>
      <x:c r="R181" s="1"/>
      <x:c r="S181" s="1"/>
      <x:c r="T181" s="1"/>
      <x:c r="U181" s="1"/>
      <x:c r="V181" s="1"/>
      <x:c r="W181" s="1"/>
      <x:c r="X181" s="1"/>
      <x:c r="Y181" s="1"/>
      <x:c r="Z181" s="1"/>
    </x:row>
    <x:row r="182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  <x:c r="O182" s="1"/>
      <x:c r="P182" s="1"/>
      <x:c r="Q182" s="1"/>
      <x:c r="R182" s="1"/>
      <x:c r="S182" s="1"/>
      <x:c r="T182" s="1"/>
      <x:c r="U182" s="1"/>
      <x:c r="V182" s="1"/>
      <x:c r="W182" s="1"/>
      <x:c r="X182" s="1"/>
      <x:c r="Y182" s="1"/>
      <x:c r="Z182" s="1"/>
    </x:row>
    <x:row r="183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  <x:c r="O183" s="1"/>
      <x:c r="P183" s="1"/>
      <x:c r="Q183" s="1"/>
      <x:c r="R183" s="1"/>
      <x:c r="S183" s="1"/>
      <x:c r="T183" s="1"/>
      <x:c r="U183" s="1"/>
      <x:c r="V183" s="1"/>
      <x:c r="W183" s="1"/>
      <x:c r="X183" s="1"/>
      <x:c r="Y183" s="1"/>
      <x:c r="Z183" s="1"/>
    </x:row>
    <x:row r="184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  <x:c r="O184" s="1"/>
      <x:c r="P184" s="1"/>
      <x:c r="Q184" s="1"/>
      <x:c r="R184" s="1"/>
      <x:c r="S184" s="1"/>
      <x:c r="T184" s="1"/>
      <x:c r="U184" s="1"/>
      <x:c r="V184" s="1"/>
      <x:c r="W184" s="1"/>
      <x:c r="X184" s="1"/>
      <x:c r="Y184" s="1"/>
      <x:c r="Z184" s="1"/>
    </x:row>
    <x:row r="185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  <x:c r="O185" s="1"/>
      <x:c r="P185" s="1"/>
      <x:c r="Q185" s="1"/>
      <x:c r="R185" s="1"/>
      <x:c r="S185" s="1"/>
      <x:c r="T185" s="1"/>
      <x:c r="U185" s="1"/>
      <x:c r="V185" s="1"/>
      <x:c r="W185" s="1"/>
      <x:c r="X185" s="1"/>
      <x:c r="Y185" s="1"/>
      <x:c r="Z185" s="1"/>
    </x:row>
    <x:row r="186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  <x:c r="O186" s="1"/>
      <x:c r="P186" s="1"/>
      <x:c r="Q186" s="1"/>
      <x:c r="R186" s="1"/>
      <x:c r="S186" s="1"/>
      <x:c r="T186" s="1"/>
      <x:c r="U186" s="1"/>
      <x:c r="V186" s="1"/>
      <x:c r="W186" s="1"/>
      <x:c r="X186" s="1"/>
      <x:c r="Y186" s="1"/>
      <x:c r="Z186" s="1"/>
    </x:row>
    <x:row r="187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  <x:c r="O187" s="1"/>
      <x:c r="P187" s="1"/>
      <x:c r="Q187" s="1"/>
      <x:c r="R187" s="1"/>
      <x:c r="S187" s="1"/>
      <x:c r="T187" s="1"/>
      <x:c r="U187" s="1"/>
      <x:c r="V187" s="1"/>
      <x:c r="W187" s="1"/>
      <x:c r="X187" s="1"/>
      <x:c r="Y187" s="1"/>
      <x:c r="Z187" s="1"/>
    </x:row>
    <x:row r="188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  <x:c r="O188" s="1"/>
      <x:c r="P188" s="1"/>
      <x:c r="Q188" s="1"/>
      <x:c r="R188" s="1"/>
      <x:c r="S188" s="1"/>
      <x:c r="T188" s="1"/>
      <x:c r="U188" s="1"/>
      <x:c r="V188" s="1"/>
      <x:c r="W188" s="1"/>
      <x:c r="X188" s="1"/>
      <x:c r="Y188" s="1"/>
      <x:c r="Z188" s="1"/>
    </x:row>
    <x:row r="189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  <x:c r="O189" s="1"/>
      <x:c r="P189" s="1"/>
      <x:c r="Q189" s="1"/>
      <x:c r="R189" s="1"/>
      <x:c r="S189" s="1"/>
      <x:c r="T189" s="1"/>
      <x:c r="U189" s="1"/>
      <x:c r="V189" s="1"/>
      <x:c r="W189" s="1"/>
      <x:c r="X189" s="1"/>
      <x:c r="Y189" s="1"/>
      <x:c r="Z189" s="1"/>
    </x:row>
    <x:row r="190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  <x:c r="O190" s="1"/>
      <x:c r="P190" s="1"/>
      <x:c r="Q190" s="1"/>
      <x:c r="R190" s="1"/>
      <x:c r="S190" s="1"/>
      <x:c r="T190" s="1"/>
      <x:c r="U190" s="1"/>
      <x:c r="V190" s="1"/>
      <x:c r="W190" s="1"/>
      <x:c r="X190" s="1"/>
      <x:c r="Y190" s="1"/>
      <x:c r="Z190" s="1"/>
    </x:row>
    <x:row r="19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  <x:c r="O191" s="1"/>
      <x:c r="P191" s="1"/>
      <x:c r="Q191" s="1"/>
      <x:c r="R191" s="1"/>
      <x:c r="S191" s="1"/>
      <x:c r="T191" s="1"/>
      <x:c r="U191" s="1"/>
      <x:c r="V191" s="1"/>
      <x:c r="W191" s="1"/>
      <x:c r="X191" s="1"/>
      <x:c r="Y191" s="1"/>
      <x:c r="Z191" s="1"/>
    </x:row>
    <x:row r="192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  <x:c r="O192" s="1"/>
      <x:c r="P192" s="1"/>
      <x:c r="Q192" s="1"/>
      <x:c r="R192" s="1"/>
      <x:c r="S192" s="1"/>
      <x:c r="T192" s="1"/>
      <x:c r="U192" s="1"/>
      <x:c r="V192" s="1"/>
      <x:c r="W192" s="1"/>
      <x:c r="X192" s="1"/>
      <x:c r="Y192" s="1"/>
      <x:c r="Z192" s="1"/>
    </x:row>
    <x:row r="193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  <x:c r="O193" s="1"/>
      <x:c r="P193" s="1"/>
      <x:c r="Q193" s="1"/>
      <x:c r="R193" s="1"/>
      <x:c r="S193" s="1"/>
      <x:c r="T193" s="1"/>
      <x:c r="U193" s="1"/>
      <x:c r="V193" s="1"/>
      <x:c r="W193" s="1"/>
      <x:c r="X193" s="1"/>
      <x:c r="Y193" s="1"/>
      <x:c r="Z193" s="1"/>
    </x:row>
    <x:row r="194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  <x:c r="O194" s="1"/>
      <x:c r="P194" s="1"/>
      <x:c r="Q194" s="1"/>
      <x:c r="R194" s="1"/>
      <x:c r="S194" s="1"/>
      <x:c r="T194" s="1"/>
      <x:c r="U194" s="1"/>
      <x:c r="V194" s="1"/>
      <x:c r="W194" s="1"/>
      <x:c r="X194" s="1"/>
      <x:c r="Y194" s="1"/>
      <x:c r="Z194" s="1"/>
    </x:row>
    <x:row r="195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  <x:c r="O195" s="1"/>
      <x:c r="P195" s="1"/>
      <x:c r="Q195" s="1"/>
      <x:c r="R195" s="1"/>
      <x:c r="S195" s="1"/>
      <x:c r="T195" s="1"/>
      <x:c r="U195" s="1"/>
      <x:c r="V195" s="1"/>
      <x:c r="W195" s="1"/>
      <x:c r="X195" s="1"/>
      <x:c r="Y195" s="1"/>
      <x:c r="Z195" s="1"/>
    </x:row>
    <x:row r="196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  <x:c r="O196" s="1"/>
      <x:c r="P196" s="1"/>
      <x:c r="Q196" s="1"/>
      <x:c r="R196" s="1"/>
      <x:c r="S196" s="1"/>
      <x:c r="T196" s="1"/>
      <x:c r="U196" s="1"/>
      <x:c r="V196" s="1"/>
      <x:c r="W196" s="1"/>
      <x:c r="X196" s="1"/>
      <x:c r="Y196" s="1"/>
      <x:c r="Z196" s="1"/>
    </x:row>
    <x:row r="197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  <x:c r="O197" s="1"/>
      <x:c r="P197" s="1"/>
      <x:c r="Q197" s="1"/>
      <x:c r="R197" s="1"/>
      <x:c r="S197" s="1"/>
      <x:c r="T197" s="1"/>
      <x:c r="U197" s="1"/>
      <x:c r="V197" s="1"/>
      <x:c r="W197" s="1"/>
      <x:c r="X197" s="1"/>
      <x:c r="Y197" s="1"/>
      <x:c r="Z197" s="1"/>
    </x:row>
    <x:row r="198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  <x:c r="O198" s="1"/>
      <x:c r="P198" s="1"/>
      <x:c r="Q198" s="1"/>
      <x:c r="R198" s="1"/>
      <x:c r="S198" s="1"/>
      <x:c r="T198" s="1"/>
      <x:c r="U198" s="1"/>
      <x:c r="V198" s="1"/>
      <x:c r="W198" s="1"/>
      <x:c r="X198" s="1"/>
      <x:c r="Y198" s="1"/>
      <x:c r="Z198" s="1"/>
    </x:row>
    <x:row r="199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  <x:c r="O199" s="1"/>
      <x:c r="P199" s="1"/>
      <x:c r="Q199" s="1"/>
      <x:c r="R199" s="1"/>
      <x:c r="S199" s="1"/>
      <x:c r="T199" s="1"/>
      <x:c r="U199" s="1"/>
      <x:c r="V199" s="1"/>
      <x:c r="W199" s="1"/>
      <x:c r="X199" s="1"/>
      <x:c r="Y199" s="1"/>
      <x:c r="Z199" s="1"/>
    </x:row>
    <x:row r="200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  <x:c r="O200" s="1"/>
      <x:c r="P200" s="1"/>
      <x:c r="Q200" s="1"/>
      <x:c r="R200" s="1"/>
      <x:c r="S200" s="1"/>
      <x:c r="T200" s="1"/>
      <x:c r="U200" s="1"/>
      <x:c r="V200" s="1"/>
      <x:c r="W200" s="1"/>
      <x:c r="X200" s="1"/>
      <x:c r="Y200" s="1"/>
      <x:c r="Z200" s="1"/>
    </x:row>
    <x:row r="201">
      <x:c r="A201" s="1"/>
      <x:c r="B201" s="1"/>
      <x:c r="C201" s="1"/>
      <x:c r="D201" s="1"/>
      <x:c r="E201" s="1"/>
      <x:c r="F201" s="1"/>
      <x:c r="G201" s="1"/>
      <x:c r="H201" s="1"/>
      <x:c r="I201" s="1"/>
      <x:c r="J201" s="1"/>
      <x:c r="K201" s="1"/>
      <x:c r="L201" s="1"/>
      <x:c r="M201" s="1"/>
      <x:c r="N201" s="1"/>
      <x:c r="O201" s="1"/>
      <x:c r="P201" s="1"/>
      <x:c r="Q201" s="1"/>
      <x:c r="R201" s="1"/>
      <x:c r="S201" s="1"/>
      <x:c r="T201" s="1"/>
      <x:c r="U201" s="1"/>
      <x:c r="V201" s="1"/>
      <x:c r="W201" s="1"/>
      <x:c r="X201" s="1"/>
      <x:c r="Y201" s="1"/>
      <x:c r="Z201" s="1"/>
    </x:row>
    <x:row r="202">
      <x:c r="A202" s="1"/>
      <x:c r="B202" s="1"/>
      <x:c r="C202" s="1"/>
      <x:c r="D202" s="1"/>
      <x:c r="E202" s="1"/>
      <x:c r="F202" s="1"/>
      <x:c r="G202" s="1"/>
      <x:c r="H202" s="1"/>
      <x:c r="I202" s="1"/>
      <x:c r="J202" s="1"/>
      <x:c r="K202" s="1"/>
      <x:c r="L202" s="1"/>
      <x:c r="M202" s="1"/>
      <x:c r="N202" s="1"/>
      <x:c r="O202" s="1"/>
      <x:c r="P202" s="1"/>
      <x:c r="Q202" s="1"/>
      <x:c r="R202" s="1"/>
      <x:c r="S202" s="1"/>
      <x:c r="T202" s="1"/>
      <x:c r="U202" s="1"/>
      <x:c r="V202" s="1"/>
      <x:c r="W202" s="1"/>
      <x:c r="X202" s="1"/>
      <x:c r="Y202" s="1"/>
      <x:c r="Z202" s="1"/>
    </x:row>
    <x:row r="203">
      <x:c r="A203" s="1"/>
      <x:c r="B203" s="1"/>
      <x:c r="C203" s="1"/>
      <x:c r="D203" s="1"/>
      <x:c r="E203" s="1"/>
      <x:c r="F203" s="1"/>
      <x:c r="G203" s="1"/>
      <x:c r="H203" s="1"/>
      <x:c r="I203" s="1"/>
      <x:c r="J203" s="1"/>
      <x:c r="K203" s="1"/>
      <x:c r="L203" s="1"/>
      <x:c r="M203" s="1"/>
      <x:c r="N203" s="1"/>
      <x:c r="O203" s="1"/>
      <x:c r="P203" s="1"/>
      <x:c r="Q203" s="1"/>
      <x:c r="R203" s="1"/>
      <x:c r="S203" s="1"/>
      <x:c r="T203" s="1"/>
      <x:c r="U203" s="1"/>
      <x:c r="V203" s="1"/>
      <x:c r="W203" s="1"/>
      <x:c r="X203" s="1"/>
      <x:c r="Y203" s="1"/>
      <x:c r="Z203" s="1"/>
    </x:row>
    <x:row r="204">
      <x:c r="A204" s="1"/>
      <x:c r="B204" s="1"/>
      <x:c r="C204" s="1"/>
      <x:c r="D204" s="1"/>
      <x:c r="E204" s="1"/>
      <x:c r="F204" s="1"/>
      <x:c r="G204" s="1"/>
      <x:c r="H204" s="1"/>
      <x:c r="I204" s="1"/>
      <x:c r="J204" s="1"/>
      <x:c r="K204" s="1"/>
      <x:c r="L204" s="1"/>
      <x:c r="M204" s="1"/>
      <x:c r="N204" s="1"/>
      <x:c r="O204" s="1"/>
      <x:c r="P204" s="1"/>
      <x:c r="Q204" s="1"/>
      <x:c r="R204" s="1"/>
      <x:c r="S204" s="1"/>
      <x:c r="T204" s="1"/>
      <x:c r="U204" s="1"/>
      <x:c r="V204" s="1"/>
      <x:c r="W204" s="1"/>
      <x:c r="X204" s="1"/>
      <x:c r="Y204" s="1"/>
      <x:c r="Z204" s="1"/>
    </x:row>
    <x:row r="205">
      <x:c r="A205" s="1"/>
      <x:c r="B205" s="1"/>
      <x:c r="C205" s="1"/>
      <x:c r="D205" s="1"/>
      <x:c r="E205" s="1"/>
      <x:c r="F205" s="1"/>
      <x:c r="G205" s="1"/>
      <x:c r="H205" s="1"/>
      <x:c r="I205" s="1"/>
      <x:c r="J205" s="1"/>
      <x:c r="K205" s="1"/>
      <x:c r="L205" s="1"/>
      <x:c r="M205" s="1"/>
      <x:c r="N205" s="1"/>
      <x:c r="O205" s="1"/>
      <x:c r="P205" s="1"/>
      <x:c r="Q205" s="1"/>
      <x:c r="R205" s="1"/>
      <x:c r="S205" s="1"/>
      <x:c r="T205" s="1"/>
      <x:c r="U205" s="1"/>
      <x:c r="V205" s="1"/>
      <x:c r="W205" s="1"/>
      <x:c r="X205" s="1"/>
      <x:c r="Y205" s="1"/>
      <x:c r="Z205" s="1"/>
    </x:row>
    <x:row r="206">
      <x:c r="A206" s="1"/>
      <x:c r="B206" s="1"/>
      <x:c r="C206" s="1"/>
      <x:c r="D206" s="1"/>
      <x:c r="E206" s="1"/>
      <x:c r="F206" s="1"/>
      <x:c r="G206" s="1"/>
      <x:c r="H206" s="1"/>
      <x:c r="I206" s="1"/>
      <x:c r="J206" s="1"/>
      <x:c r="K206" s="1"/>
      <x:c r="L206" s="1"/>
      <x:c r="M206" s="1"/>
      <x:c r="N206" s="1"/>
      <x:c r="O206" s="1"/>
      <x:c r="P206" s="1"/>
      <x:c r="Q206" s="1"/>
      <x:c r="R206" s="1"/>
      <x:c r="S206" s="1"/>
      <x:c r="T206" s="1"/>
      <x:c r="U206" s="1"/>
      <x:c r="V206" s="1"/>
      <x:c r="W206" s="1"/>
      <x:c r="X206" s="1"/>
      <x:c r="Y206" s="1"/>
      <x:c r="Z206" s="1"/>
    </x:row>
    <x:row r="207">
      <x:c r="A207" s="1"/>
      <x:c r="B207" s="1"/>
      <x:c r="C207" s="1"/>
      <x:c r="D207" s="1"/>
      <x:c r="E207" s="1"/>
      <x:c r="F207" s="1"/>
      <x:c r="G207" s="1"/>
      <x:c r="H207" s="1"/>
      <x:c r="I207" s="1"/>
      <x:c r="J207" s="1"/>
      <x:c r="K207" s="1"/>
      <x:c r="L207" s="1"/>
      <x:c r="M207" s="1"/>
      <x:c r="N207" s="1"/>
      <x:c r="O207" s="1"/>
      <x:c r="P207" s="1"/>
      <x:c r="Q207" s="1"/>
      <x:c r="R207" s="1"/>
      <x:c r="S207" s="1"/>
      <x:c r="T207" s="1"/>
      <x:c r="U207" s="1"/>
      <x:c r="V207" s="1"/>
      <x:c r="W207" s="1"/>
      <x:c r="X207" s="1"/>
      <x:c r="Y207" s="1"/>
      <x:c r="Z207" s="1"/>
    </x:row>
    <x:row r="208">
      <x:c r="A208" s="1"/>
      <x:c r="B208" s="1"/>
      <x:c r="C208" s="1"/>
      <x:c r="D208" s="1"/>
      <x:c r="E208" s="1"/>
      <x:c r="F208" s="1"/>
      <x:c r="G208" s="1"/>
      <x:c r="H208" s="1"/>
      <x:c r="I208" s="1"/>
      <x:c r="J208" s="1"/>
      <x:c r="K208" s="1"/>
      <x:c r="L208" s="1"/>
      <x:c r="M208" s="1"/>
      <x:c r="N208" s="1"/>
      <x:c r="O208" s="1"/>
      <x:c r="P208" s="1"/>
      <x:c r="Q208" s="1"/>
      <x:c r="R208" s="1"/>
      <x:c r="S208" s="1"/>
      <x:c r="T208" s="1"/>
      <x:c r="U208" s="1"/>
      <x:c r="V208" s="1"/>
      <x:c r="W208" s="1"/>
      <x:c r="X208" s="1"/>
      <x:c r="Y208" s="1"/>
      <x:c r="Z208" s="1"/>
    </x:row>
    <x:row r="209">
      <x:c r="A209" s="1"/>
      <x:c r="B209" s="1"/>
      <x:c r="C209" s="1"/>
      <x:c r="D209" s="1"/>
      <x:c r="E209" s="1"/>
      <x:c r="F209" s="1"/>
      <x:c r="G209" s="1"/>
      <x:c r="H209" s="1"/>
      <x:c r="I209" s="1"/>
      <x:c r="J209" s="1"/>
      <x:c r="K209" s="1"/>
      <x:c r="L209" s="1"/>
      <x:c r="M209" s="1"/>
      <x:c r="N209" s="1"/>
      <x:c r="O209" s="1"/>
      <x:c r="P209" s="1"/>
      <x:c r="Q209" s="1"/>
      <x:c r="R209" s="1"/>
      <x:c r="S209" s="1"/>
      <x:c r="T209" s="1"/>
      <x:c r="U209" s="1"/>
      <x:c r="V209" s="1"/>
      <x:c r="W209" s="1"/>
      <x:c r="X209" s="1"/>
      <x:c r="Y209" s="1"/>
      <x:c r="Z209" s="1"/>
    </x:row>
    <x:row r="210">
      <x:c r="A210" s="1"/>
      <x:c r="B210" s="1"/>
      <x:c r="C210" s="1"/>
      <x:c r="D210" s="1"/>
      <x:c r="E210" s="1"/>
      <x:c r="F210" s="1"/>
      <x:c r="G210" s="1"/>
      <x:c r="H210" s="1"/>
      <x:c r="I210" s="1"/>
      <x:c r="J210" s="1"/>
      <x:c r="K210" s="1"/>
      <x:c r="L210" s="1"/>
      <x:c r="M210" s="1"/>
      <x:c r="N210" s="1"/>
      <x:c r="O210" s="1"/>
      <x:c r="P210" s="1"/>
      <x:c r="Q210" s="1"/>
      <x:c r="R210" s="1"/>
      <x:c r="S210" s="1"/>
      <x:c r="T210" s="1"/>
      <x:c r="U210" s="1"/>
      <x:c r="V210" s="1"/>
      <x:c r="W210" s="1"/>
      <x:c r="X210" s="1"/>
      <x:c r="Y210" s="1"/>
      <x:c r="Z210" s="1"/>
    </x:row>
    <x:row r="211">
      <x:c r="A211" s="1"/>
      <x:c r="B211" s="1"/>
      <x:c r="C211" s="1"/>
      <x:c r="D211" s="1"/>
      <x:c r="E211" s="1"/>
      <x:c r="F211" s="1"/>
      <x:c r="G211" s="1"/>
      <x:c r="H211" s="1"/>
      <x:c r="I211" s="1"/>
      <x:c r="J211" s="1"/>
      <x:c r="K211" s="1"/>
      <x:c r="L211" s="1"/>
      <x:c r="M211" s="1"/>
      <x:c r="N211" s="1"/>
      <x:c r="O211" s="1"/>
      <x:c r="P211" s="1"/>
      <x:c r="Q211" s="1"/>
      <x:c r="R211" s="1"/>
      <x:c r="S211" s="1"/>
      <x:c r="T211" s="1"/>
      <x:c r="U211" s="1"/>
      <x:c r="V211" s="1"/>
      <x:c r="W211" s="1"/>
      <x:c r="X211" s="1"/>
      <x:c r="Y211" s="1"/>
      <x:c r="Z211" s="1"/>
    </x:row>
    <x:row r="212">
      <x:c r="A212" s="1"/>
      <x:c r="B212" s="1"/>
      <x:c r="C212" s="1"/>
      <x:c r="D212" s="1"/>
      <x:c r="E212" s="1"/>
      <x:c r="F212" s="1"/>
      <x:c r="G212" s="1"/>
      <x:c r="H212" s="1"/>
      <x:c r="I212" s="1"/>
      <x:c r="J212" s="1"/>
      <x:c r="K212" s="1"/>
      <x:c r="L212" s="1"/>
      <x:c r="M212" s="1"/>
      <x:c r="N212" s="1"/>
      <x:c r="O212" s="1"/>
      <x:c r="P212" s="1"/>
      <x:c r="Q212" s="1"/>
      <x:c r="R212" s="1"/>
      <x:c r="S212" s="1"/>
      <x:c r="T212" s="1"/>
      <x:c r="U212" s="1"/>
      <x:c r="V212" s="1"/>
      <x:c r="W212" s="1"/>
      <x:c r="X212" s="1"/>
      <x:c r="Y212" s="1"/>
      <x:c r="Z212" s="1"/>
    </x:row>
    <x:row r="213">
      <x:c r="A213" s="1"/>
      <x:c r="B213" s="1"/>
      <x:c r="C213" s="1"/>
      <x:c r="D213" s="1"/>
      <x:c r="E213" s="1"/>
      <x:c r="F213" s="1"/>
      <x:c r="G213" s="1"/>
      <x:c r="H213" s="1"/>
      <x:c r="I213" s="1"/>
      <x:c r="J213" s="1"/>
      <x:c r="K213" s="1"/>
      <x:c r="L213" s="1"/>
      <x:c r="M213" s="1"/>
      <x:c r="N213" s="1"/>
      <x:c r="O213" s="1"/>
      <x:c r="P213" s="1"/>
      <x:c r="Q213" s="1"/>
      <x:c r="R213" s="1"/>
      <x:c r="S213" s="1"/>
      <x:c r="T213" s="1"/>
      <x:c r="U213" s="1"/>
      <x:c r="V213" s="1"/>
      <x:c r="W213" s="1"/>
      <x:c r="X213" s="1"/>
      <x:c r="Y213" s="1"/>
      <x:c r="Z213" s="1"/>
    </x:row>
    <x:row r="214">
      <x:c r="A214" s="1"/>
      <x:c r="B214" s="1"/>
      <x:c r="C214" s="1"/>
      <x:c r="D214" s="1"/>
      <x:c r="E214" s="1"/>
      <x:c r="F214" s="1"/>
      <x:c r="G214" s="1"/>
      <x:c r="H214" s="1"/>
      <x:c r="I214" s="1"/>
      <x:c r="J214" s="1"/>
      <x:c r="K214" s="1"/>
      <x:c r="L214" s="1"/>
      <x:c r="M214" s="1"/>
      <x:c r="N214" s="1"/>
      <x:c r="O214" s="1"/>
      <x:c r="P214" s="1"/>
      <x:c r="Q214" s="1"/>
      <x:c r="R214" s="1"/>
      <x:c r="S214" s="1"/>
      <x:c r="T214" s="1"/>
      <x:c r="U214" s="1"/>
      <x:c r="V214" s="1"/>
      <x:c r="W214" s="1"/>
      <x:c r="X214" s="1"/>
      <x:c r="Y214" s="1"/>
      <x:c r="Z214" s="1"/>
    </x:row>
    <x:row r="215">
      <x:c r="A215" s="1"/>
      <x:c r="B215" s="1"/>
      <x:c r="C215" s="1"/>
      <x:c r="D215" s="1"/>
      <x:c r="E215" s="1"/>
      <x:c r="F215" s="1"/>
      <x:c r="G215" s="1"/>
      <x:c r="H215" s="1"/>
      <x:c r="I215" s="1"/>
      <x:c r="J215" s="1"/>
      <x:c r="K215" s="1"/>
      <x:c r="L215" s="1"/>
      <x:c r="M215" s="1"/>
      <x:c r="N215" s="1"/>
      <x:c r="O215" s="1"/>
      <x:c r="P215" s="1"/>
      <x:c r="Q215" s="1"/>
      <x:c r="R215" s="1"/>
      <x:c r="S215" s="1"/>
      <x:c r="T215" s="1"/>
      <x:c r="U215" s="1"/>
      <x:c r="V215" s="1"/>
      <x:c r="W215" s="1"/>
      <x:c r="X215" s="1"/>
      <x:c r="Y215" s="1"/>
      <x:c r="Z215" s="1"/>
    </x:row>
    <x:row r="216">
      <x:c r="A216" s="1"/>
      <x:c r="B216" s="1"/>
      <x:c r="C216" s="1"/>
      <x:c r="D216" s="1"/>
      <x:c r="E216" s="1"/>
      <x:c r="F216" s="1"/>
      <x:c r="G216" s="1"/>
      <x:c r="H216" s="1"/>
      <x:c r="I216" s="1"/>
      <x:c r="J216" s="1"/>
      <x:c r="K216" s="1"/>
      <x:c r="L216" s="1"/>
      <x:c r="M216" s="1"/>
      <x:c r="N216" s="1"/>
      <x:c r="O216" s="1"/>
      <x:c r="P216" s="1"/>
      <x:c r="Q216" s="1"/>
      <x:c r="R216" s="1"/>
      <x:c r="S216" s="1"/>
      <x:c r="T216" s="1"/>
      <x:c r="U216" s="1"/>
      <x:c r="V216" s="1"/>
      <x:c r="W216" s="1"/>
      <x:c r="X216" s="1"/>
      <x:c r="Y216" s="1"/>
      <x:c r="Z216" s="1"/>
    </x:row>
    <x:row r="217">
      <x:c r="A217" s="1"/>
      <x:c r="B217" s="1"/>
      <x:c r="C217" s="1"/>
      <x:c r="D217" s="1"/>
      <x:c r="E217" s="1"/>
      <x:c r="F217" s="1"/>
      <x:c r="G217" s="1"/>
      <x:c r="H217" s="1"/>
      <x:c r="I217" s="1"/>
      <x:c r="J217" s="1"/>
      <x:c r="K217" s="1"/>
      <x:c r="L217" s="1"/>
      <x:c r="M217" s="1"/>
      <x:c r="N217" s="1"/>
      <x:c r="O217" s="1"/>
      <x:c r="P217" s="1"/>
      <x:c r="Q217" s="1"/>
      <x:c r="R217" s="1"/>
      <x:c r="S217" s="1"/>
      <x:c r="T217" s="1"/>
      <x:c r="U217" s="1"/>
      <x:c r="V217" s="1"/>
      <x:c r="W217" s="1"/>
      <x:c r="X217" s="1"/>
      <x:c r="Y217" s="1"/>
      <x:c r="Z217" s="1"/>
    </x:row>
    <x:row r="218">
      <x:c r="A218" s="1"/>
      <x:c r="B218" s="1"/>
      <x:c r="C218" s="1"/>
      <x:c r="D218" s="1"/>
      <x:c r="E218" s="1"/>
      <x:c r="F218" s="1"/>
      <x:c r="G218" s="1"/>
      <x:c r="H218" s="1"/>
      <x:c r="I218" s="1"/>
      <x:c r="J218" s="1"/>
      <x:c r="K218" s="1"/>
      <x:c r="L218" s="1"/>
      <x:c r="M218" s="1"/>
      <x:c r="N218" s="1"/>
      <x:c r="O218" s="1"/>
      <x:c r="P218" s="1"/>
      <x:c r="Q218" s="1"/>
      <x:c r="R218" s="1"/>
      <x:c r="S218" s="1"/>
      <x:c r="T218" s="1"/>
      <x:c r="U218" s="1"/>
      <x:c r="V218" s="1"/>
      <x:c r="W218" s="1"/>
      <x:c r="X218" s="1"/>
      <x:c r="Y218" s="1"/>
      <x:c r="Z218" s="1"/>
    </x:row>
    <x:row r="219">
      <x:c r="A219" s="1"/>
      <x:c r="B219" s="1"/>
      <x:c r="C219" s="1"/>
      <x:c r="D219" s="1"/>
      <x:c r="E219" s="1"/>
      <x:c r="F219" s="1"/>
      <x:c r="G219" s="1"/>
      <x:c r="H219" s="1"/>
      <x:c r="I219" s="1"/>
      <x:c r="J219" s="1"/>
      <x:c r="K219" s="1"/>
      <x:c r="L219" s="1"/>
      <x:c r="M219" s="1"/>
      <x:c r="N219" s="1"/>
      <x:c r="O219" s="1"/>
      <x:c r="P219" s="1"/>
      <x:c r="Q219" s="1"/>
      <x:c r="R219" s="1"/>
      <x:c r="S219" s="1"/>
      <x:c r="T219" s="1"/>
      <x:c r="U219" s="1"/>
      <x:c r="V219" s="1"/>
      <x:c r="W219" s="1"/>
      <x:c r="X219" s="1"/>
      <x:c r="Y219" s="1"/>
      <x:c r="Z219" s="1"/>
    </x:row>
    <x:row r="220">
      <x:c r="A220" s="1"/>
      <x:c r="B220" s="1"/>
      <x:c r="C220" s="1"/>
      <x:c r="D220" s="1"/>
      <x:c r="E220" s="1"/>
      <x:c r="F220" s="1"/>
      <x:c r="G220" s="1"/>
      <x:c r="H220" s="1"/>
      <x:c r="I220" s="1"/>
      <x:c r="J220" s="1"/>
      <x:c r="K220" s="1"/>
      <x:c r="L220" s="1"/>
      <x:c r="M220" s="1"/>
      <x:c r="N220" s="1"/>
      <x:c r="O220" s="1"/>
      <x:c r="P220" s="1"/>
      <x:c r="Q220" s="1"/>
      <x:c r="R220" s="1"/>
      <x:c r="S220" s="1"/>
      <x:c r="T220" s="1"/>
      <x:c r="U220" s="1"/>
      <x:c r="V220" s="1"/>
      <x:c r="W220" s="1"/>
      <x:c r="X220" s="1"/>
      <x:c r="Y220" s="1"/>
      <x:c r="Z220" s="1"/>
    </x:row>
    <x:row r="221">
      <x:c r="A221" s="1"/>
      <x:c r="B221" s="1"/>
      <x:c r="C221" s="1"/>
      <x:c r="D221" s="1"/>
      <x:c r="E221" s="1"/>
      <x:c r="F221" s="1"/>
      <x:c r="G221" s="1"/>
      <x:c r="H221" s="1"/>
      <x:c r="I221" s="1"/>
      <x:c r="J221" s="1"/>
      <x:c r="K221" s="1"/>
      <x:c r="L221" s="1"/>
      <x:c r="M221" s="1"/>
      <x:c r="N221" s="1"/>
      <x:c r="O221" s="1"/>
      <x:c r="P221" s="1"/>
      <x:c r="Q221" s="1"/>
      <x:c r="R221" s="1"/>
      <x:c r="S221" s="1"/>
      <x:c r="T221" s="1"/>
      <x:c r="U221" s="1"/>
      <x:c r="V221" s="1"/>
      <x:c r="W221" s="1"/>
      <x:c r="X221" s="1"/>
      <x:c r="Y221" s="1"/>
      <x:c r="Z221" s="1"/>
    </x:row>
    <x:row r="222">
      <x:c r="A222" s="1"/>
      <x:c r="B222" s="1"/>
      <x:c r="C222" s="1"/>
      <x:c r="D222" s="1"/>
      <x:c r="E222" s="1"/>
      <x:c r="F222" s="1"/>
      <x:c r="G222" s="1"/>
      <x:c r="H222" s="1"/>
      <x:c r="I222" s="1"/>
      <x:c r="J222" s="1"/>
      <x:c r="K222" s="1"/>
      <x:c r="L222" s="1"/>
      <x:c r="M222" s="1"/>
      <x:c r="N222" s="1"/>
      <x:c r="O222" s="1"/>
      <x:c r="P222" s="1"/>
      <x:c r="Q222" s="1"/>
      <x:c r="R222" s="1"/>
      <x:c r="S222" s="1"/>
      <x:c r="T222" s="1"/>
      <x:c r="U222" s="1"/>
      <x:c r="V222" s="1"/>
      <x:c r="W222" s="1"/>
      <x:c r="X222" s="1"/>
      <x:c r="Y222" s="1"/>
      <x:c r="Z222" s="1"/>
    </x:row>
    <x:row r="223">
      <x:c r="A223" s="1"/>
      <x:c r="B223" s="1"/>
      <x:c r="C223" s="1"/>
      <x:c r="D223" s="1"/>
      <x:c r="E223" s="1"/>
      <x:c r="F223" s="1"/>
      <x:c r="G223" s="1"/>
      <x:c r="H223" s="1"/>
      <x:c r="I223" s="1"/>
      <x:c r="J223" s="1"/>
      <x:c r="K223" s="1"/>
      <x:c r="L223" s="1"/>
      <x:c r="M223" s="1"/>
      <x:c r="N223" s="1"/>
      <x:c r="O223" s="1"/>
      <x:c r="P223" s="1"/>
      <x:c r="Q223" s="1"/>
      <x:c r="R223" s="1"/>
      <x:c r="S223" s="1"/>
      <x:c r="T223" s="1"/>
      <x:c r="U223" s="1"/>
      <x:c r="V223" s="1"/>
      <x:c r="W223" s="1"/>
      <x:c r="X223" s="1"/>
      <x:c r="Y223" s="1"/>
      <x:c r="Z223" s="1"/>
    </x:row>
    <x:row r="224">
      <x:c r="A224" s="1"/>
      <x:c r="B224" s="1"/>
      <x:c r="C224" s="1"/>
      <x:c r="D224" s="1"/>
      <x:c r="E224" s="1"/>
      <x:c r="F224" s="1"/>
      <x:c r="G224" s="1"/>
      <x:c r="H224" s="1"/>
      <x:c r="I224" s="1"/>
      <x:c r="J224" s="1"/>
      <x:c r="K224" s="1"/>
      <x:c r="L224" s="1"/>
      <x:c r="M224" s="1"/>
      <x:c r="N224" s="1"/>
      <x:c r="O224" s="1"/>
      <x:c r="P224" s="1"/>
      <x:c r="Q224" s="1"/>
      <x:c r="R224" s="1"/>
      <x:c r="S224" s="1"/>
      <x:c r="T224" s="1"/>
      <x:c r="U224" s="1"/>
      <x:c r="V224" s="1"/>
      <x:c r="W224" s="1"/>
      <x:c r="X224" s="1"/>
      <x:c r="Y224" s="1"/>
      <x:c r="Z224" s="1"/>
    </x:row>
    <x:row r="225">
      <x:c r="A225" s="1"/>
      <x:c r="B225" s="1"/>
      <x:c r="C225" s="1"/>
      <x:c r="D225" s="1"/>
      <x:c r="E225" s="1"/>
      <x:c r="F225" s="1"/>
      <x:c r="G225" s="1"/>
      <x:c r="H225" s="1"/>
      <x:c r="I225" s="1"/>
      <x:c r="J225" s="1"/>
      <x:c r="K225" s="1"/>
      <x:c r="L225" s="1"/>
      <x:c r="M225" s="1"/>
      <x:c r="N225" s="1"/>
      <x:c r="O225" s="1"/>
      <x:c r="P225" s="1"/>
      <x:c r="Q225" s="1"/>
      <x:c r="R225" s="1"/>
      <x:c r="S225" s="1"/>
      <x:c r="T225" s="1"/>
      <x:c r="U225" s="1"/>
      <x:c r="V225" s="1"/>
      <x:c r="W225" s="1"/>
      <x:c r="X225" s="1"/>
      <x:c r="Y225" s="1"/>
      <x:c r="Z225" s="1"/>
    </x:row>
    <x:row r="226">
      <x:c r="A226" s="1"/>
      <x:c r="B226" s="1"/>
      <x:c r="C226" s="1"/>
      <x:c r="D226" s="1"/>
      <x:c r="E226" s="1"/>
      <x:c r="F226" s="1"/>
      <x:c r="G226" s="1"/>
      <x:c r="H226" s="1"/>
      <x:c r="I226" s="1"/>
      <x:c r="J226" s="1"/>
      <x:c r="K226" s="1"/>
      <x:c r="L226" s="1"/>
      <x:c r="M226" s="1"/>
      <x:c r="N226" s="1"/>
      <x:c r="O226" s="1"/>
      <x:c r="P226" s="1"/>
      <x:c r="Q226" s="1"/>
      <x:c r="R226" s="1"/>
      <x:c r="S226" s="1"/>
      <x:c r="T226" s="1"/>
      <x:c r="U226" s="1"/>
      <x:c r="V226" s="1"/>
      <x:c r="W226" s="1"/>
      <x:c r="X226" s="1"/>
      <x:c r="Y226" s="1"/>
      <x:c r="Z226" s="1"/>
    </x:row>
    <x:row r="227">
      <x:c r="A227" s="1"/>
      <x:c r="B227" s="1"/>
      <x:c r="C227" s="1"/>
      <x:c r="D227" s="1"/>
      <x:c r="E227" s="1"/>
      <x:c r="F227" s="1"/>
      <x:c r="G227" s="1"/>
      <x:c r="H227" s="1"/>
      <x:c r="I227" s="1"/>
      <x:c r="J227" s="1"/>
      <x:c r="K227" s="1"/>
      <x:c r="L227" s="1"/>
      <x:c r="M227" s="1"/>
      <x:c r="N227" s="1"/>
      <x:c r="O227" s="1"/>
      <x:c r="P227" s="1"/>
      <x:c r="Q227" s="1"/>
      <x:c r="R227" s="1"/>
      <x:c r="S227" s="1"/>
      <x:c r="T227" s="1"/>
      <x:c r="U227" s="1"/>
      <x:c r="V227" s="1"/>
      <x:c r="W227" s="1"/>
      <x:c r="X227" s="1"/>
      <x:c r="Y227" s="1"/>
      <x:c r="Z227" s="1"/>
    </x:row>
    <x:row r="228">
      <x:c r="A228" s="1"/>
      <x:c r="B228" s="1"/>
      <x:c r="C228" s="1"/>
      <x:c r="D228" s="1"/>
      <x:c r="E228" s="1"/>
      <x:c r="F228" s="1"/>
      <x:c r="G228" s="1"/>
      <x:c r="H228" s="1"/>
      <x:c r="I228" s="1"/>
      <x:c r="J228" s="1"/>
      <x:c r="K228" s="1"/>
      <x:c r="L228" s="1"/>
      <x:c r="M228" s="1"/>
      <x:c r="N228" s="1"/>
      <x:c r="O228" s="1"/>
      <x:c r="P228" s="1"/>
      <x:c r="Q228" s="1"/>
      <x:c r="R228" s="1"/>
      <x:c r="S228" s="1"/>
      <x:c r="T228" s="1"/>
      <x:c r="U228" s="1"/>
      <x:c r="V228" s="1"/>
      <x:c r="W228" s="1"/>
      <x:c r="X228" s="1"/>
      <x:c r="Y228" s="1"/>
      <x:c r="Z228" s="1"/>
    </x:row>
    <x:row r="229">
      <x:c r="A229" s="1"/>
      <x:c r="B229" s="1"/>
      <x:c r="C229" s="1"/>
      <x:c r="D229" s="1"/>
      <x:c r="E229" s="1"/>
      <x:c r="F229" s="1"/>
      <x:c r="G229" s="1"/>
      <x:c r="H229" s="1"/>
      <x:c r="I229" s="1"/>
      <x:c r="J229" s="1"/>
      <x:c r="K229" s="1"/>
      <x:c r="L229" s="1"/>
      <x:c r="M229" s="1"/>
      <x:c r="N229" s="1"/>
      <x:c r="O229" s="1"/>
      <x:c r="P229" s="1"/>
      <x:c r="Q229" s="1"/>
      <x:c r="R229" s="1"/>
      <x:c r="S229" s="1"/>
      <x:c r="T229" s="1"/>
      <x:c r="U229" s="1"/>
      <x:c r="V229" s="1"/>
      <x:c r="W229" s="1"/>
      <x:c r="X229" s="1"/>
      <x:c r="Y229" s="1"/>
      <x:c r="Z229" s="1"/>
    </x:row>
    <x:row r="230">
      <x:c r="A230" s="1"/>
      <x:c r="B230" s="1"/>
      <x:c r="C230" s="1"/>
      <x:c r="D230" s="1"/>
      <x:c r="E230" s="1"/>
      <x:c r="F230" s="1"/>
      <x:c r="G230" s="1"/>
      <x:c r="H230" s="1"/>
      <x:c r="I230" s="1"/>
      <x:c r="J230" s="1"/>
      <x:c r="K230" s="1"/>
      <x:c r="L230" s="1"/>
      <x:c r="M230" s="1"/>
      <x:c r="N230" s="1"/>
      <x:c r="O230" s="1"/>
      <x:c r="P230" s="1"/>
      <x:c r="Q230" s="1"/>
      <x:c r="R230" s="1"/>
      <x:c r="S230" s="1"/>
      <x:c r="T230" s="1"/>
      <x:c r="U230" s="1"/>
      <x:c r="V230" s="1"/>
      <x:c r="W230" s="1"/>
      <x:c r="X230" s="1"/>
      <x:c r="Y230" s="1"/>
      <x:c r="Z230" s="1"/>
    </x:row>
    <x:row r="231">
      <x:c r="A231" s="1"/>
      <x:c r="B231" s="1"/>
      <x:c r="C231" s="1"/>
      <x:c r="D231" s="1"/>
      <x:c r="E231" s="1"/>
      <x:c r="F231" s="1"/>
      <x:c r="G231" s="1"/>
      <x:c r="H231" s="1"/>
      <x:c r="I231" s="1"/>
      <x:c r="J231" s="1"/>
      <x:c r="K231" s="1"/>
      <x:c r="L231" s="1"/>
      <x:c r="M231" s="1"/>
      <x:c r="N231" s="1"/>
      <x:c r="O231" s="1"/>
      <x:c r="P231" s="1"/>
      <x:c r="Q231" s="1"/>
      <x:c r="R231" s="1"/>
      <x:c r="S231" s="1"/>
      <x:c r="T231" s="1"/>
      <x:c r="U231" s="1"/>
      <x:c r="V231" s="1"/>
      <x:c r="W231" s="1"/>
      <x:c r="X231" s="1"/>
      <x:c r="Y231" s="1"/>
      <x:c r="Z231" s="1"/>
    </x:row>
    <x:row r="232">
      <x:c r="A232" s="1"/>
      <x:c r="B232" s="1"/>
      <x:c r="C232" s="1"/>
      <x:c r="D232" s="1"/>
      <x:c r="E232" s="1"/>
      <x:c r="F232" s="1"/>
      <x:c r="G232" s="1"/>
      <x:c r="H232" s="1"/>
      <x:c r="I232" s="1"/>
      <x:c r="J232" s="1"/>
      <x:c r="K232" s="1"/>
      <x:c r="L232" s="1"/>
      <x:c r="M232" s="1"/>
      <x:c r="N232" s="1"/>
      <x:c r="O232" s="1"/>
      <x:c r="P232" s="1"/>
      <x:c r="Q232" s="1"/>
      <x:c r="R232" s="1"/>
      <x:c r="S232" s="1"/>
      <x:c r="T232" s="1"/>
      <x:c r="U232" s="1"/>
      <x:c r="V232" s="1"/>
      <x:c r="W232" s="1"/>
      <x:c r="X232" s="1"/>
      <x:c r="Y232" s="1"/>
      <x:c r="Z232" s="1"/>
    </x:row>
    <x:row r="233">
      <x:c r="A233" s="1"/>
      <x:c r="B233" s="1"/>
      <x:c r="C233" s="1"/>
      <x:c r="D233" s="1"/>
      <x:c r="E233" s="1"/>
      <x:c r="F233" s="1"/>
      <x:c r="G233" s="1"/>
      <x:c r="H233" s="1"/>
      <x:c r="I233" s="1"/>
      <x:c r="J233" s="1"/>
      <x:c r="K233" s="1"/>
      <x:c r="L233" s="1"/>
      <x:c r="M233" s="1"/>
      <x:c r="N233" s="1"/>
      <x:c r="O233" s="1"/>
      <x:c r="P233" s="1"/>
      <x:c r="Q233" s="1"/>
      <x:c r="R233" s="1"/>
      <x:c r="S233" s="1"/>
      <x:c r="T233" s="1"/>
      <x:c r="U233" s="1"/>
      <x:c r="V233" s="1"/>
      <x:c r="W233" s="1"/>
      <x:c r="X233" s="1"/>
      <x:c r="Y233" s="1"/>
      <x:c r="Z233" s="1"/>
    </x:row>
    <x:row r="234">
      <x:c r="A234" s="1"/>
      <x:c r="B234" s="1"/>
      <x:c r="C234" s="1"/>
      <x:c r="D234" s="1"/>
      <x:c r="E234" s="1"/>
      <x:c r="F234" s="1"/>
      <x:c r="G234" s="1"/>
      <x:c r="H234" s="1"/>
      <x:c r="I234" s="1"/>
      <x:c r="J234" s="1"/>
      <x:c r="K234" s="1"/>
      <x:c r="L234" s="1"/>
      <x:c r="M234" s="1"/>
      <x:c r="N234" s="1"/>
      <x:c r="O234" s="1"/>
      <x:c r="P234" s="1"/>
      <x:c r="Q234" s="1"/>
      <x:c r="R234" s="1"/>
      <x:c r="S234" s="1"/>
      <x:c r="T234" s="1"/>
      <x:c r="U234" s="1"/>
      <x:c r="V234" s="1"/>
      <x:c r="W234" s="1"/>
      <x:c r="X234" s="1"/>
      <x:c r="Y234" s="1"/>
      <x:c r="Z234" s="1"/>
    </x:row>
    <x:row r="235">
      <x:c r="A235" s="1"/>
      <x:c r="B235" s="1"/>
      <x:c r="C235" s="1"/>
      <x:c r="D235" s="1"/>
      <x:c r="E235" s="1"/>
      <x:c r="F235" s="1"/>
      <x:c r="G235" s="1"/>
      <x:c r="H235" s="1"/>
      <x:c r="I235" s="1"/>
      <x:c r="J235" s="1"/>
      <x:c r="K235" s="1"/>
      <x:c r="L235" s="1"/>
      <x:c r="M235" s="1"/>
      <x:c r="N235" s="1"/>
      <x:c r="O235" s="1"/>
      <x:c r="P235" s="1"/>
      <x:c r="Q235" s="1"/>
      <x:c r="R235" s="1"/>
      <x:c r="S235" s="1"/>
      <x:c r="T235" s="1"/>
      <x:c r="U235" s="1"/>
      <x:c r="V235" s="1"/>
      <x:c r="W235" s="1"/>
      <x:c r="X235" s="1"/>
      <x:c r="Y235" s="1"/>
      <x:c r="Z235" s="1"/>
    </x:row>
    <x:row r="236">
      <x:c r="A236" s="1"/>
      <x:c r="B236" s="1"/>
      <x:c r="C236" s="1"/>
      <x:c r="D236" s="1"/>
      <x:c r="E236" s="1"/>
      <x:c r="F236" s="1"/>
      <x:c r="G236" s="1"/>
      <x:c r="H236" s="1"/>
      <x:c r="I236" s="1"/>
      <x:c r="J236" s="1"/>
      <x:c r="K236" s="1"/>
      <x:c r="L236" s="1"/>
      <x:c r="M236" s="1"/>
      <x:c r="N236" s="1"/>
      <x:c r="O236" s="1"/>
      <x:c r="P236" s="1"/>
      <x:c r="Q236" s="1"/>
      <x:c r="R236" s="1"/>
      <x:c r="S236" s="1"/>
      <x:c r="T236" s="1"/>
      <x:c r="U236" s="1"/>
      <x:c r="V236" s="1"/>
      <x:c r="W236" s="1"/>
      <x:c r="X236" s="1"/>
      <x:c r="Y236" s="1"/>
      <x:c r="Z236" s="1"/>
    </x:row>
    <x:row r="237">
      <x:c r="A237" s="1"/>
      <x:c r="B237" s="1"/>
      <x:c r="C237" s="1"/>
      <x:c r="D237" s="1"/>
      <x:c r="E237" s="1"/>
      <x:c r="F237" s="1"/>
      <x:c r="G237" s="1"/>
      <x:c r="H237" s="1"/>
      <x:c r="I237" s="1"/>
      <x:c r="J237" s="1"/>
      <x:c r="K237" s="1"/>
      <x:c r="L237" s="1"/>
      <x:c r="M237" s="1"/>
      <x:c r="N237" s="1"/>
      <x:c r="O237" s="1"/>
      <x:c r="P237" s="1"/>
      <x:c r="Q237" s="1"/>
      <x:c r="R237" s="1"/>
      <x:c r="S237" s="1"/>
      <x:c r="T237" s="1"/>
      <x:c r="U237" s="1"/>
      <x:c r="V237" s="1"/>
      <x:c r="W237" s="1"/>
      <x:c r="X237" s="1"/>
      <x:c r="Y237" s="1"/>
      <x:c r="Z237" s="1"/>
    </x:row>
    <x:row r="238">
      <x:c r="A238" s="1"/>
      <x:c r="B238" s="1"/>
      <x:c r="C238" s="1"/>
      <x:c r="D238" s="1"/>
      <x:c r="E238" s="1"/>
      <x:c r="F238" s="1"/>
      <x:c r="G238" s="1"/>
      <x:c r="H238" s="1"/>
      <x:c r="I238" s="1"/>
      <x:c r="J238" s="1"/>
      <x:c r="K238" s="1"/>
      <x:c r="L238" s="1"/>
      <x:c r="M238" s="1"/>
      <x:c r="N238" s="1"/>
      <x:c r="O238" s="1"/>
      <x:c r="P238" s="1"/>
      <x:c r="Q238" s="1"/>
      <x:c r="R238" s="1"/>
      <x:c r="S238" s="1"/>
      <x:c r="T238" s="1"/>
      <x:c r="U238" s="1"/>
      <x:c r="V238" s="1"/>
      <x:c r="W238" s="1"/>
      <x:c r="X238" s="1"/>
      <x:c r="Y238" s="1"/>
      <x:c r="Z238" s="1"/>
    </x:row>
    <x:row r="239">
      <x:c r="A239" s="1"/>
      <x:c r="B239" s="1"/>
      <x:c r="C239" s="1"/>
      <x:c r="D239" s="1"/>
      <x:c r="E239" s="1"/>
      <x:c r="F239" s="1"/>
      <x:c r="G239" s="1"/>
      <x:c r="H239" s="1"/>
      <x:c r="I239" s="1"/>
      <x:c r="J239" s="1"/>
      <x:c r="K239" s="1"/>
      <x:c r="L239" s="1"/>
      <x:c r="M239" s="1"/>
      <x:c r="N239" s="1"/>
      <x:c r="O239" s="1"/>
      <x:c r="P239" s="1"/>
      <x:c r="Q239" s="1"/>
      <x:c r="R239" s="1"/>
      <x:c r="S239" s="1"/>
      <x:c r="T239" s="1"/>
      <x:c r="U239" s="1"/>
      <x:c r="V239" s="1"/>
      <x:c r="W239" s="1"/>
      <x:c r="X239" s="1"/>
      <x:c r="Y239" s="1"/>
      <x:c r="Z239" s="1"/>
    </x:row>
    <x:row r="240">
      <x:c r="A240" s="1"/>
      <x:c r="B240" s="1"/>
      <x:c r="C240" s="1"/>
      <x:c r="D240" s="1"/>
      <x:c r="E240" s="1"/>
      <x:c r="F240" s="1"/>
      <x:c r="G240" s="1"/>
      <x:c r="H240" s="1"/>
      <x:c r="I240" s="1"/>
      <x:c r="J240" s="1"/>
      <x:c r="K240" s="1"/>
      <x:c r="L240" s="1"/>
      <x:c r="M240" s="1"/>
      <x:c r="N240" s="1"/>
      <x:c r="O240" s="1"/>
      <x:c r="P240" s="1"/>
      <x:c r="Q240" s="1"/>
      <x:c r="R240" s="1"/>
      <x:c r="S240" s="1"/>
      <x:c r="T240" s="1"/>
      <x:c r="U240" s="1"/>
      <x:c r="V240" s="1"/>
      <x:c r="W240" s="1"/>
      <x:c r="X240" s="1"/>
      <x:c r="Y240" s="1"/>
      <x:c r="Z240" s="1"/>
    </x:row>
    <x:row r="241">
      <x:c r="A241" s="1"/>
      <x:c r="B241" s="1"/>
      <x:c r="C241" s="1"/>
      <x:c r="D241" s="1"/>
      <x:c r="E241" s="1"/>
      <x:c r="F241" s="1"/>
      <x:c r="G241" s="1"/>
      <x:c r="H241" s="1"/>
      <x:c r="I241" s="1"/>
      <x:c r="J241" s="1"/>
      <x:c r="K241" s="1"/>
      <x:c r="L241" s="1"/>
      <x:c r="M241" s="1"/>
      <x:c r="N241" s="1"/>
      <x:c r="O241" s="1"/>
      <x:c r="P241" s="1"/>
      <x:c r="Q241" s="1"/>
      <x:c r="R241" s="1"/>
      <x:c r="S241" s="1"/>
      <x:c r="T241" s="1"/>
      <x:c r="U241" s="1"/>
      <x:c r="V241" s="1"/>
      <x:c r="W241" s="1"/>
      <x:c r="X241" s="1"/>
      <x:c r="Y241" s="1"/>
      <x:c r="Z241" s="1"/>
    </x:row>
    <x:row r="242">
      <x:c r="A242" s="1"/>
      <x:c r="B242" s="1"/>
      <x:c r="C242" s="1"/>
      <x:c r="D242" s="1"/>
      <x:c r="E242" s="1"/>
      <x:c r="F242" s="1"/>
      <x:c r="G242" s="1"/>
      <x:c r="H242" s="1"/>
      <x:c r="I242" s="1"/>
      <x:c r="J242" s="1"/>
      <x:c r="K242" s="1"/>
      <x:c r="L242" s="1"/>
      <x:c r="M242" s="1"/>
      <x:c r="N242" s="1"/>
      <x:c r="O242" s="1"/>
      <x:c r="P242" s="1"/>
      <x:c r="Q242" s="1"/>
      <x:c r="R242" s="1"/>
      <x:c r="S242" s="1"/>
      <x:c r="T242" s="1"/>
      <x:c r="U242" s="1"/>
      <x:c r="V242" s="1"/>
      <x:c r="W242" s="1"/>
      <x:c r="X242" s="1"/>
      <x:c r="Y242" s="1"/>
      <x:c r="Z242" s="1"/>
    </x:row>
    <x:row r="243">
      <x:c r="A243" s="1"/>
      <x:c r="B243" s="1"/>
      <x:c r="C243" s="1"/>
      <x:c r="D243" s="1"/>
      <x:c r="E243" s="1"/>
      <x:c r="F243" s="1"/>
      <x:c r="G243" s="1"/>
      <x:c r="H243" s="1"/>
      <x:c r="I243" s="1"/>
      <x:c r="J243" s="1"/>
      <x:c r="K243" s="1"/>
      <x:c r="L243" s="1"/>
      <x:c r="M243" s="1"/>
      <x:c r="N243" s="1"/>
      <x:c r="O243" s="1"/>
      <x:c r="P243" s="1"/>
      <x:c r="Q243" s="1"/>
      <x:c r="R243" s="1"/>
      <x:c r="S243" s="1"/>
      <x:c r="T243" s="1"/>
      <x:c r="U243" s="1"/>
      <x:c r="V243" s="1"/>
      <x:c r="W243" s="1"/>
      <x:c r="X243" s="1"/>
      <x:c r="Y243" s="1"/>
      <x:c r="Z243" s="1"/>
    </x:row>
    <x:row r="244">
      <x:c r="A244" s="1"/>
      <x:c r="B244" s="1"/>
      <x:c r="C244" s="1"/>
      <x:c r="D244" s="1"/>
      <x:c r="E244" s="1"/>
      <x:c r="F244" s="1"/>
      <x:c r="G244" s="1"/>
      <x:c r="H244" s="1"/>
      <x:c r="I244" s="1"/>
      <x:c r="J244" s="1"/>
      <x:c r="K244" s="1"/>
      <x:c r="L244" s="1"/>
      <x:c r="M244" s="1"/>
      <x:c r="N244" s="1"/>
      <x:c r="O244" s="1"/>
      <x:c r="P244" s="1"/>
      <x:c r="Q244" s="1"/>
      <x:c r="R244" s="1"/>
      <x:c r="S244" s="1"/>
      <x:c r="T244" s="1"/>
      <x:c r="U244" s="1"/>
      <x:c r="V244" s="1"/>
      <x:c r="W244" s="1"/>
      <x:c r="X244" s="1"/>
      <x:c r="Y244" s="1"/>
      <x:c r="Z244" s="1"/>
    </x:row>
    <x:row r="245">
      <x:c r="A245" s="1"/>
      <x:c r="B245" s="1"/>
      <x:c r="C245" s="1"/>
      <x:c r="D245" s="1"/>
      <x:c r="E245" s="1"/>
      <x:c r="F245" s="1"/>
      <x:c r="G245" s="1"/>
      <x:c r="H245" s="1"/>
      <x:c r="I245" s="1"/>
      <x:c r="J245" s="1"/>
      <x:c r="K245" s="1"/>
      <x:c r="L245" s="1"/>
      <x:c r="M245" s="1"/>
      <x:c r="N245" s="1"/>
      <x:c r="O245" s="1"/>
      <x:c r="P245" s="1"/>
      <x:c r="Q245" s="1"/>
      <x:c r="R245" s="1"/>
      <x:c r="S245" s="1"/>
      <x:c r="T245" s="1"/>
      <x:c r="U245" s="1"/>
      <x:c r="V245" s="1"/>
      <x:c r="W245" s="1"/>
      <x:c r="X245" s="1"/>
      <x:c r="Y245" s="1"/>
      <x:c r="Z245" s="1"/>
    </x:row>
    <x:row r="246">
      <x:c r="A246" s="1"/>
      <x:c r="B246" s="1"/>
      <x:c r="C246" s="1"/>
      <x:c r="D246" s="1"/>
      <x:c r="E246" s="1"/>
      <x:c r="F246" s="1"/>
      <x:c r="G246" s="1"/>
      <x:c r="H246" s="1"/>
      <x:c r="I246" s="1"/>
      <x:c r="J246" s="1"/>
      <x:c r="K246" s="1"/>
      <x:c r="L246" s="1"/>
      <x:c r="M246" s="1"/>
      <x:c r="N246" s="1"/>
      <x:c r="O246" s="1"/>
      <x:c r="P246" s="1"/>
      <x:c r="Q246" s="1"/>
      <x:c r="R246" s="1"/>
      <x:c r="S246" s="1"/>
      <x:c r="T246" s="1"/>
      <x:c r="U246" s="1"/>
      <x:c r="V246" s="1"/>
      <x:c r="W246" s="1"/>
      <x:c r="X246" s="1"/>
      <x:c r="Y246" s="1"/>
      <x:c r="Z246" s="1"/>
    </x:row>
    <x:row r="247">
      <x:c r="A247" s="1"/>
      <x:c r="B247" s="1"/>
      <x:c r="C247" s="1"/>
      <x:c r="D247" s="1"/>
      <x:c r="E247" s="1"/>
      <x:c r="F247" s="1"/>
      <x:c r="G247" s="1"/>
      <x:c r="H247" s="1"/>
      <x:c r="I247" s="1"/>
      <x:c r="J247" s="1"/>
      <x:c r="K247" s="1"/>
      <x:c r="L247" s="1"/>
      <x:c r="M247" s="1"/>
      <x:c r="N247" s="1"/>
      <x:c r="O247" s="1"/>
      <x:c r="P247" s="1"/>
      <x:c r="Q247" s="1"/>
      <x:c r="R247" s="1"/>
      <x:c r="S247" s="1"/>
      <x:c r="T247" s="1"/>
      <x:c r="U247" s="1"/>
      <x:c r="V247" s="1"/>
      <x:c r="W247" s="1"/>
      <x:c r="X247" s="1"/>
      <x:c r="Y247" s="1"/>
      <x:c r="Z247" s="1"/>
    </x:row>
    <x:row r="248">
      <x:c r="A248" s="1"/>
      <x:c r="B248" s="1"/>
      <x:c r="C248" s="1"/>
      <x:c r="D248" s="1"/>
      <x:c r="E248" s="1"/>
      <x:c r="F248" s="1"/>
      <x:c r="G248" s="1"/>
      <x:c r="H248" s="1"/>
      <x:c r="I248" s="1"/>
      <x:c r="J248" s="1"/>
      <x:c r="K248" s="1"/>
      <x:c r="L248" s="1"/>
      <x:c r="M248" s="1"/>
      <x:c r="N248" s="1"/>
      <x:c r="O248" s="1"/>
      <x:c r="P248" s="1"/>
      <x:c r="Q248" s="1"/>
      <x:c r="R248" s="1"/>
      <x:c r="S248" s="1"/>
      <x:c r="T248" s="1"/>
      <x:c r="U248" s="1"/>
      <x:c r="V248" s="1"/>
      <x:c r="W248" s="1"/>
      <x:c r="X248" s="1"/>
      <x:c r="Y248" s="1"/>
      <x:c r="Z248" s="1"/>
    </x:row>
    <x:row r="249">
      <x:c r="A249" s="1"/>
      <x:c r="B249" s="1"/>
      <x:c r="C249" s="1"/>
      <x:c r="D249" s="1"/>
      <x:c r="E249" s="1"/>
      <x:c r="F249" s="1"/>
      <x:c r="G249" s="1"/>
      <x:c r="H249" s="1"/>
      <x:c r="I249" s="1"/>
      <x:c r="J249" s="1"/>
      <x:c r="K249" s="1"/>
      <x:c r="L249" s="1"/>
      <x:c r="M249" s="1"/>
      <x:c r="N249" s="1"/>
      <x:c r="O249" s="1"/>
      <x:c r="P249" s="1"/>
      <x:c r="Q249" s="1"/>
      <x:c r="R249" s="1"/>
      <x:c r="S249" s="1"/>
      <x:c r="T249" s="1"/>
      <x:c r="U249" s="1"/>
      <x:c r="V249" s="1"/>
      <x:c r="W249" s="1"/>
      <x:c r="X249" s="1"/>
      <x:c r="Y249" s="1"/>
      <x:c r="Z249" s="1"/>
    </x:row>
    <x:row r="250">
      <x:c r="A250" s="1"/>
      <x:c r="B250" s="1"/>
      <x:c r="C250" s="1"/>
      <x:c r="D250" s="1"/>
      <x:c r="E250" s="1"/>
      <x:c r="F250" s="1"/>
      <x:c r="G250" s="1"/>
      <x:c r="H250" s="1"/>
      <x:c r="I250" s="1"/>
      <x:c r="J250" s="1"/>
      <x:c r="K250" s="1"/>
      <x:c r="L250" s="1"/>
      <x:c r="M250" s="1"/>
      <x:c r="N250" s="1"/>
      <x:c r="O250" s="1"/>
      <x:c r="P250" s="1"/>
      <x:c r="Q250" s="1"/>
      <x:c r="R250" s="1"/>
      <x:c r="S250" s="1"/>
      <x:c r="T250" s="1"/>
      <x:c r="U250" s="1"/>
      <x:c r="V250" s="1"/>
      <x:c r="W250" s="1"/>
      <x:c r="X250" s="1"/>
      <x:c r="Y250" s="1"/>
      <x:c r="Z250" s="1"/>
    </x:row>
    <x:row r="251">
      <x:c r="A251" s="1"/>
      <x:c r="B251" s="1"/>
      <x:c r="C251" s="1"/>
      <x:c r="D251" s="1"/>
      <x:c r="E251" s="1"/>
      <x:c r="F251" s="1"/>
      <x:c r="G251" s="1"/>
      <x:c r="H251" s="1"/>
      <x:c r="I251" s="1"/>
      <x:c r="J251" s="1"/>
      <x:c r="K251" s="1"/>
      <x:c r="L251" s="1"/>
      <x:c r="M251" s="1"/>
      <x:c r="N251" s="1"/>
      <x:c r="O251" s="1"/>
      <x:c r="P251" s="1"/>
      <x:c r="Q251" s="1"/>
      <x:c r="R251" s="1"/>
      <x:c r="S251" s="1"/>
      <x:c r="T251" s="1"/>
      <x:c r="U251" s="1"/>
      <x:c r="V251" s="1"/>
      <x:c r="W251" s="1"/>
      <x:c r="X251" s="1"/>
      <x:c r="Y251" s="1"/>
      <x:c r="Z251" s="1"/>
    </x:row>
    <x:row r="252">
      <x:c r="A252" s="1"/>
      <x:c r="B252" s="1"/>
      <x:c r="C252" s="1"/>
      <x:c r="D252" s="1"/>
      <x:c r="E252" s="1"/>
      <x:c r="F252" s="1"/>
      <x:c r="G252" s="1"/>
      <x:c r="H252" s="1"/>
      <x:c r="I252" s="1"/>
      <x:c r="J252" s="1"/>
      <x:c r="K252" s="1"/>
      <x:c r="L252" s="1"/>
      <x:c r="M252" s="1"/>
      <x:c r="N252" s="1"/>
      <x:c r="O252" s="1"/>
      <x:c r="P252" s="1"/>
      <x:c r="Q252" s="1"/>
      <x:c r="R252" s="1"/>
      <x:c r="S252" s="1"/>
      <x:c r="T252" s="1"/>
      <x:c r="U252" s="1"/>
      <x:c r="V252" s="1"/>
      <x:c r="W252" s="1"/>
      <x:c r="X252" s="1"/>
      <x:c r="Y252" s="1"/>
      <x:c r="Z252" s="1"/>
    </x:row>
    <x:row r="253">
      <x:c r="A253" s="1"/>
      <x:c r="B253" s="1"/>
      <x:c r="C253" s="1"/>
      <x:c r="D253" s="1"/>
      <x:c r="E253" s="1"/>
      <x:c r="F253" s="1"/>
      <x:c r="G253" s="1"/>
      <x:c r="H253" s="1"/>
      <x:c r="I253" s="1"/>
      <x:c r="J253" s="1"/>
      <x:c r="K253" s="1"/>
      <x:c r="L253" s="1"/>
      <x:c r="M253" s="1"/>
      <x:c r="N253" s="1"/>
      <x:c r="O253" s="1"/>
      <x:c r="P253" s="1"/>
      <x:c r="Q253" s="1"/>
      <x:c r="R253" s="1"/>
      <x:c r="S253" s="1"/>
      <x:c r="T253" s="1"/>
      <x:c r="U253" s="1"/>
      <x:c r="V253" s="1"/>
      <x:c r="W253" s="1"/>
      <x:c r="X253" s="1"/>
      <x:c r="Y253" s="1"/>
      <x:c r="Z253" s="1"/>
    </x:row>
    <x:row r="254">
      <x:c r="A254" s="1"/>
      <x:c r="B254" s="1"/>
      <x:c r="C254" s="1"/>
      <x:c r="D254" s="1"/>
      <x:c r="E254" s="1"/>
      <x:c r="F254" s="1"/>
      <x:c r="G254" s="1"/>
      <x:c r="H254" s="1"/>
      <x:c r="I254" s="1"/>
      <x:c r="J254" s="1"/>
      <x:c r="K254" s="1"/>
      <x:c r="L254" s="1"/>
      <x:c r="M254" s="1"/>
      <x:c r="N254" s="1"/>
      <x:c r="O254" s="1"/>
      <x:c r="P254" s="1"/>
      <x:c r="Q254" s="1"/>
      <x:c r="R254" s="1"/>
      <x:c r="S254" s="1"/>
      <x:c r="T254" s="1"/>
      <x:c r="U254" s="1"/>
      <x:c r="V254" s="1"/>
      <x:c r="W254" s="1"/>
      <x:c r="X254" s="1"/>
      <x:c r="Y254" s="1"/>
      <x:c r="Z254" s="1"/>
    </x:row>
    <x:row r="255">
      <x:c r="A255" s="1"/>
      <x:c r="B255" s="1"/>
      <x:c r="C255" s="1"/>
      <x:c r="D255" s="1"/>
      <x:c r="E255" s="1"/>
      <x:c r="F255" s="1"/>
      <x:c r="G255" s="1"/>
      <x:c r="H255" s="1"/>
      <x:c r="I255" s="1"/>
      <x:c r="J255" s="1"/>
      <x:c r="K255" s="1"/>
      <x:c r="L255" s="1"/>
      <x:c r="M255" s="1"/>
      <x:c r="N255" s="1"/>
      <x:c r="O255" s="1"/>
      <x:c r="P255" s="1"/>
      <x:c r="Q255" s="1"/>
      <x:c r="R255" s="1"/>
      <x:c r="S255" s="1"/>
      <x:c r="T255" s="1"/>
      <x:c r="U255" s="1"/>
      <x:c r="V255" s="1"/>
      <x:c r="W255" s="1"/>
      <x:c r="X255" s="1"/>
      <x:c r="Y255" s="1"/>
      <x:c r="Z255" s="1"/>
    </x:row>
    <x:row r="256">
      <x:c r="A256" s="1"/>
      <x:c r="B256" s="1"/>
      <x:c r="C256" s="1"/>
      <x:c r="D256" s="1"/>
      <x:c r="E256" s="1"/>
      <x:c r="F256" s="1"/>
      <x:c r="G256" s="1"/>
      <x:c r="H256" s="1"/>
      <x:c r="I256" s="1"/>
      <x:c r="J256" s="1"/>
      <x:c r="K256" s="1"/>
      <x:c r="L256" s="1"/>
      <x:c r="M256" s="1"/>
      <x:c r="N256" s="1"/>
      <x:c r="O256" s="1"/>
      <x:c r="P256" s="1"/>
      <x:c r="Q256" s="1"/>
      <x:c r="R256" s="1"/>
      <x:c r="S256" s="1"/>
      <x:c r="T256" s="1"/>
      <x:c r="U256" s="1"/>
      <x:c r="V256" s="1"/>
      <x:c r="W256" s="1"/>
      <x:c r="X256" s="1"/>
      <x:c r="Y256" s="1"/>
      <x:c r="Z256" s="1"/>
    </x:row>
    <x:row r="257">
      <x:c r="A257" s="1"/>
      <x:c r="B257" s="1"/>
      <x:c r="C257" s="1"/>
      <x:c r="D257" s="1"/>
      <x:c r="E257" s="1"/>
      <x:c r="F257" s="1"/>
      <x:c r="G257" s="1"/>
      <x:c r="H257" s="1"/>
      <x:c r="I257" s="1"/>
      <x:c r="J257" s="1"/>
      <x:c r="K257" s="1"/>
      <x:c r="L257" s="1"/>
      <x:c r="M257" s="1"/>
      <x:c r="N257" s="1"/>
      <x:c r="O257" s="1"/>
      <x:c r="P257" s="1"/>
      <x:c r="Q257" s="1"/>
      <x:c r="R257" s="1"/>
      <x:c r="S257" s="1"/>
      <x:c r="T257" s="1"/>
      <x:c r="U257" s="1"/>
      <x:c r="V257" s="1"/>
      <x:c r="W257" s="1"/>
      <x:c r="X257" s="1"/>
      <x:c r="Y257" s="1"/>
      <x:c r="Z257" s="1"/>
    </x:row>
    <x:row r="258">
      <x:c r="A258" s="1"/>
      <x:c r="B258" s="1"/>
      <x:c r="C258" s="1"/>
      <x:c r="D258" s="1"/>
      <x:c r="E258" s="1"/>
      <x:c r="F258" s="1"/>
      <x:c r="G258" s="1"/>
      <x:c r="H258" s="1"/>
      <x:c r="I258" s="1"/>
      <x:c r="J258" s="1"/>
      <x:c r="K258" s="1"/>
      <x:c r="L258" s="1"/>
      <x:c r="M258" s="1"/>
      <x:c r="N258" s="1"/>
      <x:c r="O258" s="1"/>
      <x:c r="P258" s="1"/>
      <x:c r="Q258" s="1"/>
      <x:c r="R258" s="1"/>
      <x:c r="S258" s="1"/>
      <x:c r="T258" s="1"/>
      <x:c r="U258" s="1"/>
      <x:c r="V258" s="1"/>
      <x:c r="W258" s="1"/>
      <x:c r="X258" s="1"/>
      <x:c r="Y258" s="1"/>
      <x:c r="Z258" s="1"/>
    </x:row>
    <x:row r="259">
      <x:c r="A259" s="1"/>
      <x:c r="B259" s="1"/>
      <x:c r="C259" s="1"/>
      <x:c r="D259" s="1"/>
      <x:c r="E259" s="1"/>
      <x:c r="F259" s="1"/>
      <x:c r="G259" s="1"/>
      <x:c r="H259" s="1"/>
      <x:c r="I259" s="1"/>
      <x:c r="J259" s="1"/>
      <x:c r="K259" s="1"/>
      <x:c r="L259" s="1"/>
      <x:c r="M259" s="1"/>
      <x:c r="N259" s="1"/>
      <x:c r="O259" s="1"/>
      <x:c r="P259" s="1"/>
      <x:c r="Q259" s="1"/>
      <x:c r="R259" s="1"/>
      <x:c r="S259" s="1"/>
      <x:c r="T259" s="1"/>
      <x:c r="U259" s="1"/>
      <x:c r="V259" s="1"/>
      <x:c r="W259" s="1"/>
      <x:c r="X259" s="1"/>
      <x:c r="Y259" s="1"/>
      <x:c r="Z259" s="1"/>
    </x:row>
    <x:row r="260">
      <x:c r="A260" s="1"/>
      <x:c r="B260" s="1"/>
      <x:c r="C260" s="1"/>
      <x:c r="D260" s="1"/>
      <x:c r="E260" s="1"/>
      <x:c r="F260" s="1"/>
      <x:c r="G260" s="1"/>
      <x:c r="H260" s="1"/>
      <x:c r="I260" s="1"/>
      <x:c r="J260" s="1"/>
      <x:c r="K260" s="1"/>
      <x:c r="L260" s="1"/>
      <x:c r="M260" s="1"/>
      <x:c r="N260" s="1"/>
      <x:c r="O260" s="1"/>
      <x:c r="P260" s="1"/>
      <x:c r="Q260" s="1"/>
      <x:c r="R260" s="1"/>
      <x:c r="S260" s="1"/>
      <x:c r="T260" s="1"/>
      <x:c r="U260" s="1"/>
      <x:c r="V260" s="1"/>
      <x:c r="W260" s="1"/>
      <x:c r="X260" s="1"/>
      <x:c r="Y260" s="1"/>
      <x:c r="Z260" s="1"/>
    </x:row>
    <x:row r="261">
      <x:c r="A261" s="1"/>
      <x:c r="B261" s="1"/>
      <x:c r="C261" s="1"/>
      <x:c r="D261" s="1"/>
      <x:c r="E261" s="1"/>
      <x:c r="F261" s="1"/>
      <x:c r="G261" s="1"/>
      <x:c r="H261" s="1"/>
      <x:c r="I261" s="1"/>
      <x:c r="J261" s="1"/>
      <x:c r="K261" s="1"/>
      <x:c r="L261" s="1"/>
      <x:c r="M261" s="1"/>
      <x:c r="N261" s="1"/>
      <x:c r="O261" s="1"/>
      <x:c r="P261" s="1"/>
      <x:c r="Q261" s="1"/>
      <x:c r="R261" s="1"/>
      <x:c r="S261" s="1"/>
      <x:c r="T261" s="1"/>
      <x:c r="U261" s="1"/>
      <x:c r="V261" s="1"/>
      <x:c r="W261" s="1"/>
      <x:c r="X261" s="1"/>
      <x:c r="Y261" s="1"/>
      <x:c r="Z261" s="1"/>
    </x:row>
    <x:row r="262">
      <x:c r="A262" s="1"/>
      <x:c r="B262" s="1"/>
      <x:c r="C262" s="1"/>
      <x:c r="D262" s="1"/>
      <x:c r="E262" s="1"/>
      <x:c r="F262" s="1"/>
      <x:c r="G262" s="1"/>
      <x:c r="H262" s="1"/>
      <x:c r="I262" s="1"/>
      <x:c r="J262" s="1"/>
      <x:c r="K262" s="1"/>
      <x:c r="L262" s="1"/>
      <x:c r="M262" s="1"/>
      <x:c r="N262" s="1"/>
      <x:c r="O262" s="1"/>
      <x:c r="P262" s="1"/>
      <x:c r="Q262" s="1"/>
      <x:c r="R262" s="1"/>
      <x:c r="S262" s="1"/>
      <x:c r="T262" s="1"/>
      <x:c r="U262" s="1"/>
      <x:c r="V262" s="1"/>
      <x:c r="W262" s="1"/>
      <x:c r="X262" s="1"/>
      <x:c r="Y262" s="1"/>
      <x:c r="Z262" s="1"/>
    </x:row>
    <x:row r="263">
      <x:c r="A263" s="1"/>
      <x:c r="B263" s="1"/>
      <x:c r="C263" s="1"/>
      <x:c r="D263" s="1"/>
      <x:c r="E263" s="1"/>
      <x:c r="F263" s="1"/>
      <x:c r="G263" s="1"/>
      <x:c r="H263" s="1"/>
      <x:c r="I263" s="1"/>
      <x:c r="J263" s="1"/>
      <x:c r="K263" s="1"/>
      <x:c r="L263" s="1"/>
      <x:c r="M263" s="1"/>
      <x:c r="N263" s="1"/>
      <x:c r="O263" s="1"/>
      <x:c r="P263" s="1"/>
      <x:c r="Q263" s="1"/>
      <x:c r="R263" s="1"/>
      <x:c r="S263" s="1"/>
      <x:c r="T263" s="1"/>
      <x:c r="U263" s="1"/>
      <x:c r="V263" s="1"/>
      <x:c r="W263" s="1"/>
      <x:c r="X263" s="1"/>
      <x:c r="Y263" s="1"/>
      <x:c r="Z263" s="1"/>
    </x:row>
    <x:row r="264">
      <x:c r="A264" s="1"/>
      <x:c r="B264" s="1"/>
      <x:c r="C264" s="1"/>
      <x:c r="D264" s="1"/>
      <x:c r="E264" s="1"/>
      <x:c r="F264" s="1"/>
      <x:c r="G264" s="1"/>
      <x:c r="H264" s="1"/>
      <x:c r="I264" s="1"/>
      <x:c r="J264" s="1"/>
      <x:c r="K264" s="1"/>
      <x:c r="L264" s="1"/>
      <x:c r="M264" s="1"/>
      <x:c r="N264" s="1"/>
      <x:c r="O264" s="1"/>
      <x:c r="P264" s="1"/>
      <x:c r="Q264" s="1"/>
      <x:c r="R264" s="1"/>
      <x:c r="S264" s="1"/>
      <x:c r="T264" s="1"/>
      <x:c r="U264" s="1"/>
      <x:c r="V264" s="1"/>
      <x:c r="W264" s="1"/>
      <x:c r="X264" s="1"/>
      <x:c r="Y264" s="1"/>
      <x:c r="Z264" s="1"/>
    </x:row>
    <x:row r="265">
      <x:c r="A265" s="1"/>
      <x:c r="B265" s="1"/>
      <x:c r="C265" s="1"/>
      <x:c r="D265" s="1"/>
      <x:c r="E265" s="1"/>
      <x:c r="F265" s="1"/>
      <x:c r="G265" s="1"/>
      <x:c r="H265" s="1"/>
      <x:c r="I265" s="1"/>
      <x:c r="J265" s="1"/>
      <x:c r="K265" s="1"/>
      <x:c r="L265" s="1"/>
      <x:c r="M265" s="1"/>
      <x:c r="N265" s="1"/>
      <x:c r="O265" s="1"/>
      <x:c r="P265" s="1"/>
      <x:c r="Q265" s="1"/>
      <x:c r="R265" s="1"/>
      <x:c r="S265" s="1"/>
      <x:c r="T265" s="1"/>
      <x:c r="U265" s="1"/>
      <x:c r="V265" s="1"/>
      <x:c r="W265" s="1"/>
      <x:c r="X265" s="1"/>
      <x:c r="Y265" s="1"/>
      <x:c r="Z265" s="1"/>
    </x:row>
    <x:row r="266">
      <x:c r="A266" s="1"/>
      <x:c r="B266" s="1"/>
      <x:c r="C266" s="1"/>
      <x:c r="D266" s="1"/>
      <x:c r="E266" s="1"/>
      <x:c r="F266" s="1"/>
      <x:c r="G266" s="1"/>
      <x:c r="H266" s="1"/>
      <x:c r="I266" s="1"/>
      <x:c r="J266" s="1"/>
      <x:c r="K266" s="1"/>
      <x:c r="L266" s="1"/>
      <x:c r="M266" s="1"/>
      <x:c r="N266" s="1"/>
      <x:c r="O266" s="1"/>
      <x:c r="P266" s="1"/>
      <x:c r="Q266" s="1"/>
      <x:c r="R266" s="1"/>
      <x:c r="S266" s="1"/>
      <x:c r="T266" s="1"/>
      <x:c r="U266" s="1"/>
      <x:c r="V266" s="1"/>
      <x:c r="W266" s="1"/>
      <x:c r="X266" s="1"/>
      <x:c r="Y266" s="1"/>
      <x:c r="Z266" s="1"/>
    </x:row>
    <x:row r="267">
      <x:c r="A267" s="1"/>
      <x:c r="B267" s="1"/>
      <x:c r="C267" s="1"/>
      <x:c r="D267" s="1"/>
      <x:c r="E267" s="1"/>
      <x:c r="F267" s="1"/>
      <x:c r="G267" s="1"/>
      <x:c r="H267" s="1"/>
      <x:c r="I267" s="1"/>
      <x:c r="J267" s="1"/>
      <x:c r="K267" s="1"/>
      <x:c r="L267" s="1"/>
      <x:c r="M267" s="1"/>
      <x:c r="N267" s="1"/>
      <x:c r="O267" s="1"/>
      <x:c r="P267" s="1"/>
      <x:c r="Q267" s="1"/>
      <x:c r="R267" s="1"/>
      <x:c r="S267" s="1"/>
      <x:c r="T267" s="1"/>
      <x:c r="U267" s="1"/>
      <x:c r="V267" s="1"/>
      <x:c r="W267" s="1"/>
      <x:c r="X267" s="1"/>
      <x:c r="Y267" s="1"/>
      <x:c r="Z267" s="1"/>
    </x:row>
    <x:row r="268">
      <x:c r="A268" s="1"/>
      <x:c r="B268" s="1"/>
      <x:c r="C268" s="1"/>
      <x:c r="D268" s="1"/>
      <x:c r="E268" s="1"/>
      <x:c r="F268" s="1"/>
      <x:c r="G268" s="1"/>
      <x:c r="H268" s="1"/>
      <x:c r="I268" s="1"/>
      <x:c r="J268" s="1"/>
      <x:c r="K268" s="1"/>
      <x:c r="L268" s="1"/>
      <x:c r="M268" s="1"/>
      <x:c r="N268" s="1"/>
      <x:c r="O268" s="1"/>
      <x:c r="P268" s="1"/>
      <x:c r="Q268" s="1"/>
      <x:c r="R268" s="1"/>
      <x:c r="S268" s="1"/>
      <x:c r="T268" s="1"/>
      <x:c r="U268" s="1"/>
      <x:c r="V268" s="1"/>
      <x:c r="W268" s="1"/>
      <x:c r="X268" s="1"/>
      <x:c r="Y268" s="1"/>
      <x:c r="Z268" s="1"/>
    </x:row>
    <x:row r="269">
      <x:c r="A269" s="1"/>
      <x:c r="B269" s="1"/>
      <x:c r="C269" s="1"/>
      <x:c r="D269" s="1"/>
      <x:c r="E269" s="1"/>
      <x:c r="F269" s="1"/>
      <x:c r="G269" s="1"/>
      <x:c r="H269" s="1"/>
      <x:c r="I269" s="1"/>
      <x:c r="J269" s="1"/>
      <x:c r="K269" s="1"/>
      <x:c r="L269" s="1"/>
      <x:c r="M269" s="1"/>
      <x:c r="N269" s="1"/>
      <x:c r="O269" s="1"/>
      <x:c r="P269" s="1"/>
      <x:c r="Q269" s="1"/>
      <x:c r="R269" s="1"/>
      <x:c r="S269" s="1"/>
      <x:c r="T269" s="1"/>
      <x:c r="U269" s="1"/>
      <x:c r="V269" s="1"/>
      <x:c r="W269" s="1"/>
      <x:c r="X269" s="1"/>
      <x:c r="Y269" s="1"/>
      <x:c r="Z269" s="1"/>
    </x:row>
    <x:row r="270">
      <x:c r="A270" s="1"/>
      <x:c r="B270" s="1"/>
      <x:c r="C270" s="1"/>
      <x:c r="D270" s="1"/>
      <x:c r="E270" s="1"/>
      <x:c r="F270" s="1"/>
      <x:c r="G270" s="1"/>
      <x:c r="H270" s="1"/>
      <x:c r="I270" s="1"/>
      <x:c r="J270" s="1"/>
      <x:c r="K270" s="1"/>
      <x:c r="L270" s="1"/>
      <x:c r="M270" s="1"/>
      <x:c r="N270" s="1"/>
      <x:c r="O270" s="1"/>
      <x:c r="P270" s="1"/>
      <x:c r="Q270" s="1"/>
      <x:c r="R270" s="1"/>
      <x:c r="S270" s="1"/>
      <x:c r="T270" s="1"/>
      <x:c r="U270" s="1"/>
      <x:c r="V270" s="1"/>
      <x:c r="W270" s="1"/>
      <x:c r="X270" s="1"/>
      <x:c r="Y270" s="1"/>
      <x:c r="Z270" s="1"/>
    </x:row>
    <x:row r="271">
      <x:c r="A271" s="1"/>
      <x:c r="B271" s="1"/>
      <x:c r="C271" s="1"/>
      <x:c r="D271" s="1"/>
      <x:c r="E271" s="1"/>
      <x:c r="F271" s="1"/>
      <x:c r="G271" s="1"/>
      <x:c r="H271" s="1"/>
      <x:c r="I271" s="1"/>
      <x:c r="J271" s="1"/>
      <x:c r="K271" s="1"/>
      <x:c r="L271" s="1"/>
      <x:c r="M271" s="1"/>
      <x:c r="N271" s="1"/>
      <x:c r="O271" s="1"/>
      <x:c r="P271" s="1"/>
      <x:c r="Q271" s="1"/>
      <x:c r="R271" s="1"/>
      <x:c r="S271" s="1"/>
      <x:c r="T271" s="1"/>
      <x:c r="U271" s="1"/>
      <x:c r="V271" s="1"/>
      <x:c r="W271" s="1"/>
      <x:c r="X271" s="1"/>
      <x:c r="Y271" s="1"/>
      <x:c r="Z271" s="1"/>
    </x:row>
    <x:row r="272">
      <x:c r="A272" s="1"/>
      <x:c r="B272" s="1"/>
      <x:c r="C272" s="1"/>
      <x:c r="D272" s="1"/>
      <x:c r="E272" s="1"/>
      <x:c r="F272" s="1"/>
      <x:c r="G272" s="1"/>
      <x:c r="H272" s="1"/>
      <x:c r="I272" s="1"/>
      <x:c r="J272" s="1"/>
      <x:c r="K272" s="1"/>
      <x:c r="L272" s="1"/>
      <x:c r="M272" s="1"/>
      <x:c r="N272" s="1"/>
      <x:c r="O272" s="1"/>
      <x:c r="P272" s="1"/>
      <x:c r="Q272" s="1"/>
      <x:c r="R272" s="1"/>
      <x:c r="S272" s="1"/>
      <x:c r="T272" s="1"/>
      <x:c r="U272" s="1"/>
      <x:c r="V272" s="1"/>
      <x:c r="W272" s="1"/>
      <x:c r="X272" s="1"/>
      <x:c r="Y272" s="1"/>
      <x:c r="Z272" s="1"/>
    </x:row>
    <x:row r="273">
      <x:c r="A273" s="1"/>
      <x:c r="B273" s="1"/>
      <x:c r="C273" s="1"/>
      <x:c r="D273" s="1"/>
      <x:c r="E273" s="1"/>
      <x:c r="F273" s="1"/>
      <x:c r="G273" s="1"/>
      <x:c r="H273" s="1"/>
      <x:c r="I273" s="1"/>
      <x:c r="J273" s="1"/>
      <x:c r="K273" s="1"/>
      <x:c r="L273" s="1"/>
      <x:c r="M273" s="1"/>
      <x:c r="N273" s="1"/>
      <x:c r="O273" s="1"/>
      <x:c r="P273" s="1"/>
      <x:c r="Q273" s="1"/>
      <x:c r="R273" s="1"/>
      <x:c r="S273" s="1"/>
      <x:c r="T273" s="1"/>
      <x:c r="U273" s="1"/>
      <x:c r="V273" s="1"/>
      <x:c r="W273" s="1"/>
      <x:c r="X273" s="1"/>
      <x:c r="Y273" s="1"/>
      <x:c r="Z273" s="1"/>
    </x:row>
    <x:row r="274">
      <x:c r="A274" s="1"/>
      <x:c r="B274" s="1"/>
      <x:c r="C274" s="1"/>
      <x:c r="D274" s="1"/>
      <x:c r="E274" s="1"/>
      <x:c r="F274" s="1"/>
      <x:c r="G274" s="1"/>
      <x:c r="H274" s="1"/>
      <x:c r="I274" s="1"/>
      <x:c r="J274" s="1"/>
      <x:c r="K274" s="1"/>
      <x:c r="L274" s="1"/>
      <x:c r="M274" s="1"/>
      <x:c r="N274" s="1"/>
      <x:c r="O274" s="1"/>
      <x:c r="P274" s="1"/>
      <x:c r="Q274" s="1"/>
      <x:c r="R274" s="1"/>
      <x:c r="S274" s="1"/>
      <x:c r="T274" s="1"/>
      <x:c r="U274" s="1"/>
      <x:c r="V274" s="1"/>
      <x:c r="W274" s="1"/>
      <x:c r="X274" s="1"/>
      <x:c r="Y274" s="1"/>
      <x:c r="Z274" s="1"/>
    </x:row>
    <x:row r="275">
      <x:c r="A275" s="1"/>
      <x:c r="B275" s="1"/>
      <x:c r="C275" s="1"/>
      <x:c r="D275" s="1"/>
      <x:c r="E275" s="1"/>
      <x:c r="F275" s="1"/>
      <x:c r="G275" s="1"/>
      <x:c r="H275" s="1"/>
      <x:c r="I275" s="1"/>
      <x:c r="J275" s="1"/>
      <x:c r="K275" s="1"/>
      <x:c r="L275" s="1"/>
      <x:c r="M275" s="1"/>
      <x:c r="N275" s="1"/>
      <x:c r="O275" s="1"/>
      <x:c r="P275" s="1"/>
      <x:c r="Q275" s="1"/>
      <x:c r="R275" s="1"/>
      <x:c r="S275" s="1"/>
      <x:c r="T275" s="1"/>
      <x:c r="U275" s="1"/>
      <x:c r="V275" s="1"/>
      <x:c r="W275" s="1"/>
      <x:c r="X275" s="1"/>
      <x:c r="Y275" s="1"/>
      <x:c r="Z275" s="1"/>
    </x:row>
    <x:row r="276">
      <x:c r="A276" s="1"/>
      <x:c r="B276" s="1"/>
      <x:c r="C276" s="1"/>
      <x:c r="D276" s="1"/>
      <x:c r="E276" s="1"/>
      <x:c r="F276" s="1"/>
      <x:c r="G276" s="1"/>
      <x:c r="H276" s="1"/>
      <x:c r="I276" s="1"/>
      <x:c r="J276" s="1"/>
      <x:c r="K276" s="1"/>
      <x:c r="L276" s="1"/>
      <x:c r="M276" s="1"/>
      <x:c r="N276" s="1"/>
      <x:c r="O276" s="1"/>
      <x:c r="P276" s="1"/>
      <x:c r="Q276" s="1"/>
      <x:c r="R276" s="1"/>
      <x:c r="S276" s="1"/>
      <x:c r="T276" s="1"/>
      <x:c r="U276" s="1"/>
      <x:c r="V276" s="1"/>
      <x:c r="W276" s="1"/>
      <x:c r="X276" s="1"/>
      <x:c r="Y276" s="1"/>
      <x:c r="Z276" s="1"/>
    </x:row>
    <x:row r="277">
      <x:c r="A277" s="1"/>
      <x:c r="B277" s="1"/>
      <x:c r="C277" s="1"/>
      <x:c r="D277" s="1"/>
      <x:c r="E277" s="1"/>
      <x:c r="F277" s="1"/>
      <x:c r="G277" s="1"/>
      <x:c r="H277" s="1"/>
      <x:c r="I277" s="1"/>
      <x:c r="J277" s="1"/>
      <x:c r="K277" s="1"/>
      <x:c r="L277" s="1"/>
      <x:c r="M277" s="1"/>
      <x:c r="N277" s="1"/>
      <x:c r="O277" s="1"/>
      <x:c r="P277" s="1"/>
      <x:c r="Q277" s="1"/>
      <x:c r="R277" s="1"/>
      <x:c r="S277" s="1"/>
      <x:c r="T277" s="1"/>
      <x:c r="U277" s="1"/>
      <x:c r="V277" s="1"/>
      <x:c r="W277" s="1"/>
      <x:c r="X277" s="1"/>
      <x:c r="Y277" s="1"/>
      <x:c r="Z277" s="1"/>
    </x:row>
    <x:row r="278">
      <x:c r="A278" s="1"/>
      <x:c r="B278" s="1"/>
      <x:c r="C278" s="1"/>
      <x:c r="D278" s="1"/>
      <x:c r="E278" s="1"/>
      <x:c r="F278" s="1"/>
      <x:c r="G278" s="1"/>
      <x:c r="H278" s="1"/>
      <x:c r="I278" s="1"/>
      <x:c r="J278" s="1"/>
      <x:c r="K278" s="1"/>
      <x:c r="L278" s="1"/>
      <x:c r="M278" s="1"/>
      <x:c r="N278" s="1"/>
      <x:c r="O278" s="1"/>
      <x:c r="P278" s="1"/>
      <x:c r="Q278" s="1"/>
      <x:c r="R278" s="1"/>
      <x:c r="S278" s="1"/>
      <x:c r="T278" s="1"/>
      <x:c r="U278" s="1"/>
      <x:c r="V278" s="1"/>
      <x:c r="W278" s="1"/>
      <x:c r="X278" s="1"/>
      <x:c r="Y278" s="1"/>
      <x:c r="Z278" s="1"/>
    </x:row>
    <x:row r="279">
      <x:c r="A279" s="1"/>
      <x:c r="B279" s="1"/>
      <x:c r="C279" s="1"/>
      <x:c r="D279" s="1"/>
      <x:c r="E279" s="1"/>
      <x:c r="F279" s="1"/>
      <x:c r="G279" s="1"/>
      <x:c r="H279" s="1"/>
      <x:c r="I279" s="1"/>
      <x:c r="J279" s="1"/>
      <x:c r="K279" s="1"/>
      <x:c r="L279" s="1"/>
      <x:c r="M279" s="1"/>
      <x:c r="N279" s="1"/>
      <x:c r="O279" s="1"/>
      <x:c r="P279" s="1"/>
      <x:c r="Q279" s="1"/>
      <x:c r="R279" s="1"/>
      <x:c r="S279" s="1"/>
      <x:c r="T279" s="1"/>
      <x:c r="U279" s="1"/>
      <x:c r="V279" s="1"/>
      <x:c r="W279" s="1"/>
      <x:c r="X279" s="1"/>
      <x:c r="Y279" s="1"/>
      <x:c r="Z279" s="1"/>
    </x:row>
    <x:row r="280">
      <x:c r="A280" s="1"/>
      <x:c r="B280" s="1"/>
      <x:c r="C280" s="1"/>
      <x:c r="D280" s="1"/>
      <x:c r="E280" s="1"/>
      <x:c r="F280" s="1"/>
      <x:c r="G280" s="1"/>
      <x:c r="H280" s="1"/>
      <x:c r="I280" s="1"/>
      <x:c r="J280" s="1"/>
      <x:c r="K280" s="1"/>
      <x:c r="L280" s="1"/>
      <x:c r="M280" s="1"/>
      <x:c r="N280" s="1"/>
      <x:c r="O280" s="1"/>
      <x:c r="P280" s="1"/>
      <x:c r="Q280" s="1"/>
      <x:c r="R280" s="1"/>
      <x:c r="S280" s="1"/>
      <x:c r="T280" s="1"/>
      <x:c r="U280" s="1"/>
      <x:c r="V280" s="1"/>
      <x:c r="W280" s="1"/>
      <x:c r="X280" s="1"/>
      <x:c r="Y280" s="1"/>
      <x:c r="Z280" s="1"/>
    </x:row>
    <x:row r="281">
      <x:c r="A281" s="1"/>
      <x:c r="B281" s="1"/>
      <x:c r="C281" s="1"/>
      <x:c r="D281" s="1"/>
      <x:c r="E281" s="1"/>
      <x:c r="F281" s="1"/>
      <x:c r="G281" s="1"/>
      <x:c r="H281" s="1"/>
      <x:c r="I281" s="1"/>
      <x:c r="J281" s="1"/>
      <x:c r="K281" s="1"/>
      <x:c r="L281" s="1"/>
      <x:c r="M281" s="1"/>
      <x:c r="N281" s="1"/>
      <x:c r="O281" s="1"/>
      <x:c r="P281" s="1"/>
      <x:c r="Q281" s="1"/>
      <x:c r="R281" s="1"/>
      <x:c r="S281" s="1"/>
      <x:c r="T281" s="1"/>
      <x:c r="U281" s="1"/>
      <x:c r="V281" s="1"/>
      <x:c r="W281" s="1"/>
      <x:c r="X281" s="1"/>
      <x:c r="Y281" s="1"/>
      <x:c r="Z281" s="1"/>
    </x:row>
    <x:row r="282">
      <x:c r="A282" s="1"/>
      <x:c r="B282" s="1"/>
      <x:c r="C282" s="1"/>
      <x:c r="D282" s="1"/>
      <x:c r="E282" s="1"/>
      <x:c r="F282" s="1"/>
      <x:c r="G282" s="1"/>
      <x:c r="H282" s="1"/>
      <x:c r="I282" s="1"/>
      <x:c r="J282" s="1"/>
      <x:c r="K282" s="1"/>
      <x:c r="L282" s="1"/>
      <x:c r="M282" s="1"/>
      <x:c r="N282" s="1"/>
      <x:c r="O282" s="1"/>
      <x:c r="P282" s="1"/>
      <x:c r="Q282" s="1"/>
      <x:c r="R282" s="1"/>
      <x:c r="S282" s="1"/>
      <x:c r="T282" s="1"/>
      <x:c r="U282" s="1"/>
      <x:c r="V282" s="1"/>
      <x:c r="W282" s="1"/>
      <x:c r="X282" s="1"/>
      <x:c r="Y282" s="1"/>
      <x:c r="Z282" s="1"/>
    </x:row>
    <x:row r="283">
      <x:c r="A283" s="1"/>
      <x:c r="B283" s="1"/>
      <x:c r="C283" s="1"/>
      <x:c r="D283" s="1"/>
      <x:c r="E283" s="1"/>
      <x:c r="F283" s="1"/>
      <x:c r="G283" s="1"/>
      <x:c r="H283" s="1"/>
      <x:c r="I283" s="1"/>
      <x:c r="J283" s="1"/>
      <x:c r="K283" s="1"/>
      <x:c r="L283" s="1"/>
      <x:c r="M283" s="1"/>
      <x:c r="N283" s="1"/>
      <x:c r="O283" s="1"/>
      <x:c r="P283" s="1"/>
      <x:c r="Q283" s="1"/>
      <x:c r="R283" s="1"/>
      <x:c r="S283" s="1"/>
      <x:c r="T283" s="1"/>
      <x:c r="U283" s="1"/>
      <x:c r="V283" s="1"/>
      <x:c r="W283" s="1"/>
      <x:c r="X283" s="1"/>
      <x:c r="Y283" s="1"/>
      <x:c r="Z283" s="1"/>
    </x:row>
    <x:row r="284">
      <x:c r="A284" s="1"/>
      <x:c r="B284" s="1"/>
      <x:c r="C284" s="1"/>
      <x:c r="D284" s="1"/>
      <x:c r="E284" s="1"/>
      <x:c r="F284" s="1"/>
      <x:c r="G284" s="1"/>
      <x:c r="H284" s="1"/>
      <x:c r="I284" s="1"/>
      <x:c r="J284" s="1"/>
      <x:c r="K284" s="1"/>
      <x:c r="L284" s="1"/>
      <x:c r="M284" s="1"/>
      <x:c r="N284" s="1"/>
      <x:c r="O284" s="1"/>
      <x:c r="P284" s="1"/>
      <x:c r="Q284" s="1"/>
      <x:c r="R284" s="1"/>
      <x:c r="S284" s="1"/>
      <x:c r="T284" s="1"/>
      <x:c r="U284" s="1"/>
      <x:c r="V284" s="1"/>
      <x:c r="W284" s="1"/>
      <x:c r="X284" s="1"/>
      <x:c r="Y284" s="1"/>
      <x:c r="Z284" s="1"/>
    </x:row>
    <x:row r="285">
      <x:c r="A285" s="1"/>
      <x:c r="B285" s="1"/>
      <x:c r="C285" s="1"/>
      <x:c r="D285" s="1"/>
      <x:c r="E285" s="1"/>
      <x:c r="F285" s="1"/>
      <x:c r="G285" s="1"/>
      <x:c r="H285" s="1"/>
      <x:c r="I285" s="1"/>
      <x:c r="J285" s="1"/>
      <x:c r="K285" s="1"/>
      <x:c r="L285" s="1"/>
      <x:c r="M285" s="1"/>
      <x:c r="N285" s="1"/>
      <x:c r="O285" s="1"/>
      <x:c r="P285" s="1"/>
      <x:c r="Q285" s="1"/>
      <x:c r="R285" s="1"/>
      <x:c r="S285" s="1"/>
      <x:c r="T285" s="1"/>
      <x:c r="U285" s="1"/>
      <x:c r="V285" s="1"/>
      <x:c r="W285" s="1"/>
      <x:c r="X285" s="1"/>
      <x:c r="Y285" s="1"/>
      <x:c r="Z285" s="1"/>
    </x:row>
    <x:row r="286">
      <x:c r="A286" s="1"/>
      <x:c r="B286" s="1"/>
      <x:c r="C286" s="1"/>
      <x:c r="D286" s="1"/>
      <x:c r="E286" s="1"/>
      <x:c r="F286" s="1"/>
      <x:c r="G286" s="1"/>
      <x:c r="H286" s="1"/>
      <x:c r="I286" s="1"/>
      <x:c r="J286" s="1"/>
      <x:c r="K286" s="1"/>
      <x:c r="L286" s="1"/>
      <x:c r="M286" s="1"/>
      <x:c r="N286" s="1"/>
      <x:c r="O286" s="1"/>
      <x:c r="P286" s="1"/>
      <x:c r="Q286" s="1"/>
      <x:c r="R286" s="1"/>
      <x:c r="S286" s="1"/>
      <x:c r="T286" s="1"/>
      <x:c r="U286" s="1"/>
      <x:c r="V286" s="1"/>
      <x:c r="W286" s="1"/>
      <x:c r="X286" s="1"/>
      <x:c r="Y286" s="1"/>
      <x:c r="Z286" s="1"/>
    </x:row>
    <x:row r="287">
      <x:c r="A287" s="1"/>
      <x:c r="B287" s="1"/>
      <x:c r="C287" s="1"/>
      <x:c r="D287" s="1"/>
      <x:c r="E287" s="1"/>
      <x:c r="F287" s="1"/>
      <x:c r="G287" s="1"/>
      <x:c r="H287" s="1"/>
      <x:c r="I287" s="1"/>
      <x:c r="J287" s="1"/>
      <x:c r="K287" s="1"/>
      <x:c r="L287" s="1"/>
      <x:c r="M287" s="1"/>
      <x:c r="N287" s="1"/>
      <x:c r="O287" s="1"/>
      <x:c r="P287" s="1"/>
      <x:c r="Q287" s="1"/>
      <x:c r="R287" s="1"/>
      <x:c r="S287" s="1"/>
      <x:c r="T287" s="1"/>
      <x:c r="U287" s="1"/>
      <x:c r="V287" s="1"/>
      <x:c r="W287" s="1"/>
      <x:c r="X287" s="1"/>
      <x:c r="Y287" s="1"/>
      <x:c r="Z287" s="1"/>
    </x:row>
    <x:row r="288">
      <x:c r="A288" s="1"/>
      <x:c r="B288" s="1"/>
      <x:c r="C288" s="1"/>
      <x:c r="D288" s="1"/>
      <x:c r="E288" s="1"/>
      <x:c r="F288" s="1"/>
      <x:c r="G288" s="1"/>
      <x:c r="H288" s="1"/>
      <x:c r="I288" s="1"/>
      <x:c r="J288" s="1"/>
      <x:c r="K288" s="1"/>
      <x:c r="L288" s="1"/>
      <x:c r="M288" s="1"/>
      <x:c r="N288" s="1"/>
      <x:c r="O288" s="1"/>
      <x:c r="P288" s="1"/>
      <x:c r="Q288" s="1"/>
      <x:c r="R288" s="1"/>
      <x:c r="S288" s="1"/>
      <x:c r="T288" s="1"/>
      <x:c r="U288" s="1"/>
      <x:c r="V288" s="1"/>
      <x:c r="W288" s="1"/>
      <x:c r="X288" s="1"/>
      <x:c r="Y288" s="1"/>
      <x:c r="Z288" s="1"/>
    </x:row>
    <x:row r="289">
      <x:c r="A289" s="1"/>
      <x:c r="B289" s="1"/>
      <x:c r="C289" s="1"/>
      <x:c r="D289" s="1"/>
      <x:c r="E289" s="1"/>
      <x:c r="F289" s="1"/>
      <x:c r="G289" s="1"/>
      <x:c r="H289" s="1"/>
      <x:c r="I289" s="1"/>
      <x:c r="J289" s="1"/>
      <x:c r="K289" s="1"/>
      <x:c r="L289" s="1"/>
      <x:c r="M289" s="1"/>
      <x:c r="N289" s="1"/>
      <x:c r="O289" s="1"/>
      <x:c r="P289" s="1"/>
      <x:c r="Q289" s="1"/>
      <x:c r="R289" s="1"/>
      <x:c r="S289" s="1"/>
      <x:c r="T289" s="1"/>
      <x:c r="U289" s="1"/>
      <x:c r="V289" s="1"/>
      <x:c r="W289" s="1"/>
      <x:c r="X289" s="1"/>
      <x:c r="Y289" s="1"/>
      <x:c r="Z289" s="1"/>
    </x:row>
    <x:row r="290">
      <x:c r="A290" s="1"/>
      <x:c r="B290" s="1"/>
      <x:c r="C290" s="1"/>
      <x:c r="D290" s="1"/>
      <x:c r="E290" s="1"/>
      <x:c r="F290" s="1"/>
      <x:c r="G290" s="1"/>
      <x:c r="H290" s="1"/>
      <x:c r="I290" s="1"/>
      <x:c r="J290" s="1"/>
      <x:c r="K290" s="1"/>
      <x:c r="L290" s="1"/>
      <x:c r="M290" s="1"/>
      <x:c r="N290" s="1"/>
      <x:c r="O290" s="1"/>
      <x:c r="P290" s="1"/>
      <x:c r="Q290" s="1"/>
      <x:c r="R290" s="1"/>
      <x:c r="S290" s="1"/>
      <x:c r="T290" s="1"/>
      <x:c r="U290" s="1"/>
      <x:c r="V290" s="1"/>
      <x:c r="W290" s="1"/>
      <x:c r="X290" s="1"/>
      <x:c r="Y290" s="1"/>
      <x:c r="Z290" s="1"/>
    </x:row>
    <x:row r="291">
      <x:c r="A291" s="1"/>
      <x:c r="B291" s="1"/>
      <x:c r="C291" s="1"/>
      <x:c r="D291" s="1"/>
      <x:c r="E291" s="1"/>
      <x:c r="F291" s="1"/>
      <x:c r="G291" s="1"/>
      <x:c r="H291" s="1"/>
      <x:c r="I291" s="1"/>
      <x:c r="J291" s="1"/>
      <x:c r="K291" s="1"/>
      <x:c r="L291" s="1"/>
      <x:c r="M291" s="1"/>
      <x:c r="N291" s="1"/>
      <x:c r="O291" s="1"/>
      <x:c r="P291" s="1"/>
      <x:c r="Q291" s="1"/>
      <x:c r="R291" s="1"/>
      <x:c r="S291" s="1"/>
      <x:c r="T291" s="1"/>
      <x:c r="U291" s="1"/>
      <x:c r="V291" s="1"/>
      <x:c r="W291" s="1"/>
      <x:c r="X291" s="1"/>
      <x:c r="Y291" s="1"/>
      <x:c r="Z291" s="1"/>
    </x:row>
    <x:row r="292">
      <x:c r="A292" s="1"/>
      <x:c r="B292" s="1"/>
      <x:c r="C292" s="1"/>
      <x:c r="D292" s="1"/>
      <x:c r="E292" s="1"/>
      <x:c r="F292" s="1"/>
      <x:c r="G292" s="1"/>
      <x:c r="H292" s="1"/>
      <x:c r="I292" s="1"/>
      <x:c r="J292" s="1"/>
      <x:c r="K292" s="1"/>
      <x:c r="L292" s="1"/>
      <x:c r="M292" s="1"/>
      <x:c r="N292" s="1"/>
      <x:c r="O292" s="1"/>
      <x:c r="P292" s="1"/>
      <x:c r="Q292" s="1"/>
      <x:c r="R292" s="1"/>
      <x:c r="S292" s="1"/>
      <x:c r="T292" s="1"/>
      <x:c r="U292" s="1"/>
      <x:c r="V292" s="1"/>
      <x:c r="W292" s="1"/>
      <x:c r="X292" s="1"/>
      <x:c r="Y292" s="1"/>
      <x:c r="Z292" s="1"/>
    </x:row>
    <x:row r="293">
      <x:c r="A293" s="1"/>
      <x:c r="B293" s="1"/>
      <x:c r="C293" s="1"/>
      <x:c r="D293" s="1"/>
      <x:c r="E293" s="1"/>
      <x:c r="F293" s="1"/>
      <x:c r="G293" s="1"/>
      <x:c r="H293" s="1"/>
      <x:c r="I293" s="1"/>
      <x:c r="J293" s="1"/>
      <x:c r="K293" s="1"/>
      <x:c r="L293" s="1"/>
      <x:c r="M293" s="1"/>
      <x:c r="N293" s="1"/>
      <x:c r="O293" s="1"/>
      <x:c r="P293" s="1"/>
      <x:c r="Q293" s="1"/>
      <x:c r="R293" s="1"/>
      <x:c r="S293" s="1"/>
      <x:c r="T293" s="1"/>
      <x:c r="U293" s="1"/>
      <x:c r="V293" s="1"/>
      <x:c r="W293" s="1"/>
      <x:c r="X293" s="1"/>
      <x:c r="Y293" s="1"/>
      <x:c r="Z293" s="1"/>
    </x:row>
    <x:row r="294">
      <x:c r="A294" s="1"/>
      <x:c r="B294" s="1"/>
      <x:c r="C294" s="1"/>
      <x:c r="D294" s="1"/>
      <x:c r="E294" s="1"/>
      <x:c r="F294" s="1"/>
      <x:c r="G294" s="1"/>
      <x:c r="H294" s="1"/>
      <x:c r="I294" s="1"/>
      <x:c r="J294" s="1"/>
      <x:c r="K294" s="1"/>
      <x:c r="L294" s="1"/>
      <x:c r="M294" s="1"/>
      <x:c r="N294" s="1"/>
      <x:c r="O294" s="1"/>
      <x:c r="P294" s="1"/>
      <x:c r="Q294" s="1"/>
      <x:c r="R294" s="1"/>
      <x:c r="S294" s="1"/>
      <x:c r="T294" s="1"/>
      <x:c r="U294" s="1"/>
      <x:c r="V294" s="1"/>
      <x:c r="W294" s="1"/>
      <x:c r="X294" s="1"/>
      <x:c r="Y294" s="1"/>
      <x:c r="Z294" s="1"/>
    </x:row>
    <x:row r="295">
      <x:c r="A295" s="1"/>
      <x:c r="B295" s="1"/>
      <x:c r="C295" s="1"/>
      <x:c r="D295" s="1"/>
      <x:c r="E295" s="1"/>
      <x:c r="F295" s="1"/>
      <x:c r="G295" s="1"/>
      <x:c r="H295" s="1"/>
      <x:c r="I295" s="1"/>
      <x:c r="J295" s="1"/>
      <x:c r="K295" s="1"/>
      <x:c r="L295" s="1"/>
      <x:c r="M295" s="1"/>
      <x:c r="N295" s="1"/>
      <x:c r="O295" s="1"/>
      <x:c r="P295" s="1"/>
      <x:c r="Q295" s="1"/>
      <x:c r="R295" s="1"/>
      <x:c r="S295" s="1"/>
      <x:c r="T295" s="1"/>
      <x:c r="U295" s="1"/>
      <x:c r="V295" s="1"/>
      <x:c r="W295" s="1"/>
      <x:c r="X295" s="1"/>
      <x:c r="Y295" s="1"/>
      <x:c r="Z295" s="1"/>
    </x:row>
    <x:row r="296">
      <x:c r="A296" s="1"/>
      <x:c r="B296" s="1"/>
      <x:c r="C296" s="1"/>
      <x:c r="D296" s="1"/>
      <x:c r="E296" s="1"/>
      <x:c r="F296" s="1"/>
      <x:c r="G296" s="1"/>
      <x:c r="H296" s="1"/>
      <x:c r="I296" s="1"/>
      <x:c r="J296" s="1"/>
      <x:c r="K296" s="1"/>
      <x:c r="L296" s="1"/>
      <x:c r="M296" s="1"/>
      <x:c r="N296" s="1"/>
      <x:c r="O296" s="1"/>
      <x:c r="P296" s="1"/>
      <x:c r="Q296" s="1"/>
      <x:c r="R296" s="1"/>
      <x:c r="S296" s="1"/>
      <x:c r="T296" s="1"/>
      <x:c r="U296" s="1"/>
      <x:c r="V296" s="1"/>
      <x:c r="W296" s="1"/>
      <x:c r="X296" s="1"/>
      <x:c r="Y296" s="1"/>
      <x:c r="Z296" s="1"/>
    </x:row>
    <x:row r="297">
      <x:c r="A297" s="1"/>
      <x:c r="B297" s="1"/>
      <x:c r="C297" s="1"/>
      <x:c r="D297" s="1"/>
      <x:c r="E297" s="1"/>
      <x:c r="F297" s="1"/>
      <x:c r="G297" s="1"/>
      <x:c r="H297" s="1"/>
      <x:c r="I297" s="1"/>
      <x:c r="J297" s="1"/>
      <x:c r="K297" s="1"/>
      <x:c r="L297" s="1"/>
      <x:c r="M297" s="1"/>
      <x:c r="N297" s="1"/>
      <x:c r="O297" s="1"/>
      <x:c r="P297" s="1"/>
      <x:c r="Q297" s="1"/>
      <x:c r="R297" s="1"/>
      <x:c r="S297" s="1"/>
      <x:c r="T297" s="1"/>
      <x:c r="U297" s="1"/>
      <x:c r="V297" s="1"/>
      <x:c r="W297" s="1"/>
      <x:c r="X297" s="1"/>
      <x:c r="Y297" s="1"/>
      <x:c r="Z297" s="1"/>
    </x:row>
    <x:row r="298">
      <x:c r="A298" s="1"/>
      <x:c r="B298" s="1"/>
      <x:c r="C298" s="1"/>
      <x:c r="D298" s="1"/>
      <x:c r="E298" s="1"/>
      <x:c r="F298" s="1"/>
      <x:c r="G298" s="1"/>
      <x:c r="H298" s="1"/>
      <x:c r="I298" s="1"/>
      <x:c r="J298" s="1"/>
      <x:c r="K298" s="1"/>
      <x:c r="L298" s="1"/>
      <x:c r="M298" s="1"/>
      <x:c r="N298" s="1"/>
      <x:c r="O298" s="1"/>
      <x:c r="P298" s="1"/>
      <x:c r="Q298" s="1"/>
      <x:c r="R298" s="1"/>
      <x:c r="S298" s="1"/>
      <x:c r="T298" s="1"/>
      <x:c r="U298" s="1"/>
      <x:c r="V298" s="1"/>
      <x:c r="W298" s="1"/>
      <x:c r="X298" s="1"/>
      <x:c r="Y298" s="1"/>
      <x:c r="Z298" s="1"/>
    </x:row>
    <x:row r="299">
      <x:c r="A299" s="1"/>
      <x:c r="B299" s="1"/>
      <x:c r="C299" s="1"/>
      <x:c r="D299" s="1"/>
      <x:c r="E299" s="1"/>
      <x:c r="F299" s="1"/>
      <x:c r="G299" s="1"/>
      <x:c r="H299" s="1"/>
      <x:c r="I299" s="1"/>
      <x:c r="J299" s="1"/>
      <x:c r="K299" s="1"/>
      <x:c r="L299" s="1"/>
      <x:c r="M299" s="1"/>
      <x:c r="N299" s="1"/>
      <x:c r="O299" s="1"/>
      <x:c r="P299" s="1"/>
      <x:c r="Q299" s="1"/>
      <x:c r="R299" s="1"/>
      <x:c r="S299" s="1"/>
      <x:c r="T299" s="1"/>
      <x:c r="U299" s="1"/>
      <x:c r="V299" s="1"/>
      <x:c r="W299" s="1"/>
      <x:c r="X299" s="1"/>
      <x:c r="Y299" s="1"/>
      <x:c r="Z299" s="1"/>
    </x:row>
    <x:row r="300">
      <x:c r="A300" s="1"/>
      <x:c r="B300" s="1"/>
      <x:c r="C300" s="1"/>
      <x:c r="D300" s="1"/>
      <x:c r="E300" s="1"/>
      <x:c r="F300" s="1"/>
      <x:c r="G300" s="1"/>
      <x:c r="H300" s="1"/>
      <x:c r="I300" s="1"/>
      <x:c r="J300" s="1"/>
      <x:c r="K300" s="1"/>
      <x:c r="L300" s="1"/>
      <x:c r="M300" s="1"/>
      <x:c r="N300" s="1"/>
      <x:c r="O300" s="1"/>
      <x:c r="P300" s="1"/>
      <x:c r="Q300" s="1"/>
      <x:c r="R300" s="1"/>
      <x:c r="S300" s="1"/>
      <x:c r="T300" s="1"/>
      <x:c r="U300" s="1"/>
      <x:c r="V300" s="1"/>
      <x:c r="W300" s="1"/>
      <x:c r="X300" s="1"/>
      <x:c r="Y300" s="1"/>
      <x:c r="Z300" s="1"/>
    </x:row>
  </x:sheetData>
  <x:mergeCells>
    <x:mergeCell ref="A1:I1"/>
    <x:mergeCell ref="A2:I3"/>
  </x:mergeCells>
  <x:pageMargins left="0.7" right="0.7" top="0.75" bottom="0.75" header="0.3" footer="0.3"/>
  <x:tableParts count="1">
    <x:tablePart xmlns:r="http://schemas.openxmlformats.org/officeDocument/2006/relationships" r:id="Rab583956d9df485d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3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72" hidden="0" customWidth="1"/>
  </x:cols>
  <x:sheetData>
    <x:row r="1" ht="30" customHeight="1">
      <x:c r="A1" s="4" t="str">
        <x:v>Fuentes y trazabilidad</x:v>
      </x:c>
      <x:c r="B1" s="4" t="str">
        <x:v>Fuentes y trazabilidad</x:v>
      </x:c>
      <x:c r="C1" s="4" t="str">
        <x:v>Fuentes y trazabilidad</x:v>
      </x:c>
      <x:c r="D1" s="4" t="str">
        <x:v>Fuentes y trazabilidad</x:v>
      </x:c>
      <x:c r="E1" s="4" t="str">
        <x:v>Fuentes y trazabilidad</x:v>
      </x:c>
      <x:c r="F1" s="4" t="str">
        <x:v>Fuentes y trazabilidad</x:v>
      </x:c>
      <x:c r="G1" s="4" t="str">
        <x:v>Fuentes y trazabilidad</x:v>
      </x:c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 ht="36" customHeight="1">
      <x:c r="A2" s="7" t="str">
        <x:v>Enlaces oficiales o distribuidores públicos de las series. La columna Uso indica si la variable entra al modelo base o se conserva como extensión/robustez.</x:v>
      </x:c>
      <x:c r="B2" s="7" t="str">
        <x:v>Enlaces oficiales o distribuidores públicos de las series. La columna Uso indica si la variable entra al modelo base o se conserva como extensión/robustez.</x:v>
      </x:c>
      <x:c r="C2" s="7" t="str">
        <x:v>Enlaces oficiales o distribuidores públicos de las series. La columna Uso indica si la variable entra al modelo base o se conserva como extensión/robustez.</x:v>
      </x:c>
      <x:c r="D2" s="7" t="str">
        <x:v>Enlaces oficiales o distribuidores públicos de las series. La columna Uso indica si la variable entra al modelo base o se conserva como extensión/robustez.</x:v>
      </x:c>
      <x:c r="E2" s="7" t="str">
        <x:v>Enlaces oficiales o distribuidores públicos de las series. La columna Uso indica si la variable entra al modelo base o se conserva como extensión/robustez.</x:v>
      </x:c>
      <x:c r="F2" s="7" t="str">
        <x:v>Enlaces oficiales o distribuidores públicos de las series. La columna Uso indica si la variable entra al modelo base o se conserva como extensión/robustez.</x:v>
      </x:c>
      <x:c r="G2" s="7" t="str">
        <x:v>Enlaces oficiales o distribuidores públicos de las series. La columna Uso indica si la variable entra al modelo base o se conserva como extensión/robustez.</x:v>
      </x:c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 ht="36" customHeight="1">
      <x:c r="A3" s="7" t="str">
        <x:v>Enlaces oficiales o distribuidores públicos de las series. La columna Uso indica si la variable entra al modelo base o se conserva como extensión/robustez.</x:v>
      </x:c>
      <x:c r="B3" s="7" t="str">
        <x:v>Enlaces oficiales o distribuidores públicos de las series. La columna Uso indica si la variable entra al modelo base o se conserva como extensión/robustez.</x:v>
      </x:c>
      <x:c r="C3" s="7" t="str">
        <x:v>Enlaces oficiales o distribuidores públicos de las series. La columna Uso indica si la variable entra al modelo base o se conserva como extensión/robustez.</x:v>
      </x:c>
      <x:c r="D3" s="7" t="str">
        <x:v>Enlaces oficiales o distribuidores públicos de las series. La columna Uso indica si la variable entra al modelo base o se conserva como extensión/robustez.</x:v>
      </x:c>
      <x:c r="E3" s="7" t="str">
        <x:v>Enlaces oficiales o distribuidores públicos de las series. La columna Uso indica si la variable entra al modelo base o se conserva como extensión/robustez.</x:v>
      </x:c>
      <x:c r="F3" s="7" t="str">
        <x:v>Enlaces oficiales o distribuidores públicos de las series. La columna Uso indica si la variable entra al modelo base o se conserva como extensión/robustez.</x:v>
      </x:c>
      <x:c r="G3" s="7" t="str">
        <x:v>Enlaces oficiales o distribuidores públicos de las series. La columna Uso indica si la variable entra al modelo base o se conserva como extensión/robustez.</x:v>
      </x:c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>
      <x:c r="A5" s="54" t="str">
        <x:v>Organismo</x:v>
      </x:c>
      <x:c r="B5" s="54" t="str">
        <x:v>Serie/código</x:v>
      </x:c>
      <x:c r="C5" s="54" t="str">
        <x:v>Frecuencia</x:v>
      </x:c>
      <x:c r="D5" s="54" t="str">
        <x:v>Cobertura</x:v>
      </x:c>
      <x:c r="E5" s="54" t="str">
        <x:v>Uso</x:v>
      </x:c>
      <x:c r="F5" s="54" t="str">
        <x:v>Tratamiento</x:v>
      </x:c>
      <x:c r="G5" s="54" t="str">
        <x:v>URL</x:v>
      </x:c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 ht="42" customHeight="1">
      <x:c r="A6" s="56" t="str">
        <x:v>Banco de la República</x:v>
      </x:c>
      <x:c r="B6" s="56" t="str">
        <x:v>TRM diaria, serie 1</x:v>
      </x:c>
      <x:c r="C6" s="56" t="str">
        <x:v>Diaria → mensual</x:v>
      </x:c>
      <x:c r="D6" s="56" t="str">
        <x:v>1991–2026</x:v>
      </x:c>
      <x:c r="E6" s="56" t="str">
        <x:v>Modelo base</x:v>
      </x:c>
      <x:c r="F6" s="56" t="str">
        <x:v>Promedio mensual</x:v>
      </x:c>
      <x:c r="G6" s="56" t="str">
        <x:v>https://suameca.banrep.gov.co/graficador-series/rest/graficadorService/consultaSerieParaGraficar?idSerie=1</x:v>
      </x:c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 ht="42" customHeight="1">
      <x:c r="A7" s="56" t="str">
        <x:v>Banco de la República</x:v>
      </x:c>
      <x:c r="B7" s="56" t="str">
        <x:v>Tasa de política, serie 59</x:v>
      </x:c>
      <x:c r="C7" s="56" t="str">
        <x:v>Diaria → mensual</x:v>
      </x:c>
      <x:c r="D7" s="56" t="str">
        <x:v>1998–2026</x:v>
      </x:c>
      <x:c r="E7" s="56" t="str">
        <x:v>Modelo base</x:v>
      </x:c>
      <x:c r="F7" s="56" t="str">
        <x:v>Promedio mensual</x:v>
      </x:c>
      <x:c r="G7" s="56" t="str">
        <x:v>https://suameca.banrep.gov.co/graficador-series/rest/graficadorService/consultaSerieParaGraficar?idSerie=59</x:v>
      </x:c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 ht="42" customHeight="1">
      <x:c r="A8" s="56" t="str">
        <x:v>Banco de la República</x:v>
      </x:c>
      <x:c r="B8" s="56" t="str">
        <x:v>Remesas, serie 15363</x:v>
      </x:c>
      <x:c r="C8" s="56" t="str">
        <x:v>Mensual</x:v>
      </x:c>
      <x:c r="D8" s="56" t="str">
        <x:v>2000–2026</x:v>
      </x:c>
      <x:c r="E8" s="56" t="str">
        <x:v>Modelo base</x:v>
      </x:c>
      <x:c r="F8" s="56" t="str">
        <x:v>Acumulado móvil 12 meses</x:v>
      </x:c>
      <x:c r="G8" s="56" t="str">
        <x:v>https://suameca.banrep.gov.co/graficador-series/rest/graficadorService/consultaSerieParaGraficar?idSerie=15363</x:v>
      </x:c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 ht="42" customHeight="1">
      <x:c r="A9" s="56" t="str">
        <x:v>Ministerio de Hacienda</x:v>
      </x:c>
      <x:c r="B9" s="56" t="str">
        <x:v>Balance fiscal GNC</x:v>
      </x:c>
      <x:c r="C9" s="56" t="str">
        <x:v>Mensual</x:v>
      </x:c>
      <x:c r="D9" s="56" t="str">
        <x:v>2004–2026</x:v>
      </x:c>
      <x:c r="E9" s="56" t="str">
        <x:v>Modelo base</x:v>
      </x:c>
      <x:c r="F9" s="56" t="str">
        <x:v>Balance de caja; déficit positivo tras cambiar signo</x:v>
      </x:c>
      <x:c r="G9" s="56" t="str">
        <x:v>https://www.minhacienda.gov.co/documents/d/portal/balance-fiscal-gnc-mensual-y-trimestral?download=true</x:v>
      </x:c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 ht="42" customHeight="1">
      <x:c r="A10" s="56" t="str">
        <x:v>U.S. EIA / FRED</x:v>
      </x:c>
      <x:c r="B10" s="56" t="str">
        <x:v>Brent DCOILBRENTEU</x:v>
      </x:c>
      <x:c r="C10" s="56" t="str">
        <x:v>Diaria → mensual</x:v>
      </x:c>
      <x:c r="D10" s="56" t="str">
        <x:v>1987–2026</x:v>
      </x:c>
      <x:c r="E10" s="56" t="str">
        <x:v>Modelo base</x:v>
      </x:c>
      <x:c r="F10" s="56" t="str">
        <x:v>Promedio mensual</x:v>
      </x:c>
      <x:c r="G10" s="56" t="str">
        <x:v>https://fred.stlouisfed.org/series/DCOILBRENTEU</x:v>
      </x:c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 ht="42" customHeight="1">
      <x:c r="A11" s="56" t="str">
        <x:v>Federal Reserve / FRED</x:v>
      </x:c>
      <x:c r="B11" s="56" t="str">
        <x:v>Federal funds FEDFUNDS</x:v>
      </x:c>
      <x:c r="C11" s="56" t="str">
        <x:v>Mensual</x:v>
      </x:c>
      <x:c r="D11" s="56" t="str">
        <x:v>1954–2026</x:v>
      </x:c>
      <x:c r="E11" s="56" t="str">
        <x:v>Modelo base</x:v>
      </x:c>
      <x:c r="F11" s="56" t="str">
        <x:v>Promedio mensual</x:v>
      </x:c>
      <x:c r="G11" s="56" t="str">
        <x:v>https://fred.stlouisfed.org/series/FEDFUNDS</x:v>
      </x:c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 ht="42" customHeight="1">
      <x:c r="A12" s="56" t="str">
        <x:v>Federal Reserve / FRED</x:v>
      </x:c>
      <x:c r="B12" s="56" t="str">
        <x:v>Índice amplio USD DTWEXBGS</x:v>
      </x:c>
      <x:c r="C12" s="56" t="str">
        <x:v>Diaria → mensual</x:v>
      </x:c>
      <x:c r="D12" s="56" t="str">
        <x:v>2006–2026</x:v>
      </x:c>
      <x:c r="E12" s="56" t="str">
        <x:v>Modelo base</x:v>
      </x:c>
      <x:c r="F12" s="56" t="str">
        <x:v>Índice nominal amplio</x:v>
      </x:c>
      <x:c r="G12" s="56" t="str">
        <x:v>https://fred.stlouisfed.org/series/DTWEXBGS</x:v>
      </x:c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 ht="42" customHeight="1">
      <x:c r="A13" s="56" t="str">
        <x:v>Cboe / FRED</x:v>
      </x:c>
      <x:c r="B13" s="56" t="str">
        <x:v>VIXCLS</x:v>
      </x:c>
      <x:c r="C13" s="56" t="str">
        <x:v>Diaria → mensual</x:v>
      </x:c>
      <x:c r="D13" s="56" t="str">
        <x:v>1990–2026</x:v>
      </x:c>
      <x:c r="E13" s="56" t="str">
        <x:v>Modelo base</x:v>
      </x:c>
      <x:c r="F13" s="56" t="str">
        <x:v>Promedio mensual</x:v>
      </x:c>
      <x:c r="G13" s="56" t="str">
        <x:v>https://fred.stlouisfed.org/series/VIXCLS</x:v>
      </x:c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 ht="42" customHeight="1">
      <x:c r="A14" s="56" t="str">
        <x:v>Banco de la República</x:v>
      </x:c>
      <x:c r="B14" s="56" t="str">
        <x:v>Términos de intercambio 15360</x:v>
      </x:c>
      <x:c r="C14" s="56" t="str">
        <x:v>Mensual</x:v>
      </x:c>
      <x:c r="D14" s="56" t="str">
        <x:v>1995–2026</x:v>
      </x:c>
      <x:c r="E14" s="56" t="str">
        <x:v>Robustez</x:v>
      </x:c>
      <x:c r="F14" s="56" t="str">
        <x:v>Sustituto de Brent</x:v>
      </x:c>
      <x:c r="G14" s="56" t="str">
        <x:v>https://suameca.banrep.gov.co/graficador-series/rest/graficadorService/consultaSerieParaGraficar?idSerie=15360</x:v>
      </x:c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 ht="42" customHeight="1">
      <x:c r="A15" s="56" t="str">
        <x:v>Banco de la República</x:v>
      </x:c>
      <x:c r="B15" s="56" t="str">
        <x:v>Reservas netas sin FLAR 15053</x:v>
      </x:c>
      <x:c r="C15" s="56" t="str">
        <x:v>Mensual</x:v>
      </x:c>
      <x:c r="D15" s="56" t="str">
        <x:v>1960–2026</x:v>
      </x:c>
      <x:c r="E15" s="56" t="str">
        <x:v>Propuesta</x:v>
      </x:c>
      <x:c r="F15" s="56" t="str">
        <x:v>Log y rezago</x:v>
      </x:c>
      <x:c r="G15" s="56" t="str">
        <x:v>https://suameca.banrep.gov.co/graficador-series/rest/graficadorService/consultaSerieParaGraficar?idSerie=15053</x:v>
      </x:c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 ht="42" customHeight="1">
      <x:c r="A16" s="56" t="str">
        <x:v>Banco de la República</x:v>
      </x:c>
      <x:c r="B16" s="56" t="str">
        <x:v>Balanza comercial cambiaria 16702</x:v>
      </x:c>
      <x:c r="C16" s="56" t="str">
        <x:v>Mensual</x:v>
      </x:c>
      <x:c r="D16" s="56" t="str">
        <x:v>2001–2026</x:v>
      </x:c>
      <x:c r="E16" s="56" t="str">
        <x:v>Propuesta</x:v>
      </x:c>
      <x:c r="F16" s="56" t="str">
        <x:v>Flujo USD</x:v>
      </x:c>
      <x:c r="G16" s="56" t="str">
        <x:v>https://suameca.banrep.gov.co/graficador-series/rest/graficadorService/consultaSerieParaGraficar?idSerie=16702</x:v>
      </x:c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 ht="42" customHeight="1">
      <x:c r="A17" s="56" t="str">
        <x:v>Banco de la República</x:v>
      </x:c>
      <x:c r="B17" s="56" t="str">
        <x:v>Flujos de capital 16708</x:v>
      </x:c>
      <x:c r="C17" s="56" t="str">
        <x:v>Mensual</x:v>
      </x:c>
      <x:c r="D17" s="56" t="str">
        <x:v>2001–2026</x:v>
      </x:c>
      <x:c r="E17" s="56" t="str">
        <x:v>Propuesta</x:v>
      </x:c>
      <x:c r="F17" s="56" t="str">
        <x:v>Flujo USD, rezagado</x:v>
      </x:c>
      <x:c r="G17" s="56" t="str">
        <x:v>https://suameca.banrep.gov.co/graficador-series/rest/graficadorService/consultaSerieParaGraficar?idSerie=16708</x:v>
      </x:c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 ht="42" customHeight="1">
      <x:c r="A18" s="56" t="str">
        <x:v>Cboe</x:v>
      </x:c>
      <x:c r="B18" s="56" t="str">
        <x:v>VIX histórico</x:v>
      </x:c>
      <x:c r="C18" s="56" t="str">
        <x:v>Diaria</x:v>
      </x:c>
      <x:c r="D18" s="56" t="str">
        <x:v>1990–2026</x:v>
      </x:c>
      <x:c r="E18" s="56" t="str">
        <x:v>Verificación</x:v>
      </x:c>
      <x:c r="F18" s="56" t="str">
        <x:v>Fuente primaria del VIX</x:v>
      </x:c>
      <x:c r="G18" s="56" t="str">
        <x:v>https://www.cboe.com/tradable_products/vix/vix_historical_data</x:v>
      </x:c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 ht="42" customHeight="1">
      <x:c r="A19" s="56" t="str">
        <x:v>Banco de la República</x:v>
      </x:c>
      <x:c r="B19" s="56" t="str">
        <x:v>Portal de sector externo</x:v>
      </x:c>
      <x:c r="C19" s="56" t="str">
        <x:v>Varias</x:v>
      </x:c>
      <x:c r="D19" s="56" t="str">
        <x:v>Histórico</x:v>
      </x:c>
      <x:c r="E19" s="56" t="str">
        <x:v>Documentación</x:v>
      </x:c>
      <x:c r="F19" s="56" t="str">
        <x:v>Metodologías de TRM, remesas y sector externo</x:v>
      </x:c>
      <x:c r="G19" s="56" t="str">
        <x:v>https://www.banrep.gov.co/es/estadisticas-economicas/series-historicas/tasas-cambio-sector-externo</x:v>
      </x:c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  <x:c r="P101" s="1"/>
      <x:c r="Q101" s="1"/>
      <x:c r="R101" s="1"/>
      <x:c r="S101" s="1"/>
      <x:c r="T101" s="1"/>
      <x:c r="U101" s="1"/>
      <x:c r="V101" s="1"/>
      <x:c r="W101" s="1"/>
      <x:c r="X101" s="1"/>
      <x:c r="Y101" s="1"/>
      <x:c r="Z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  <x:c r="P102" s="1"/>
      <x:c r="Q102" s="1"/>
      <x:c r="R102" s="1"/>
      <x:c r="S102" s="1"/>
      <x:c r="T102" s="1"/>
      <x:c r="U102" s="1"/>
      <x:c r="V102" s="1"/>
      <x:c r="W102" s="1"/>
      <x:c r="X102" s="1"/>
      <x:c r="Y102" s="1"/>
      <x:c r="Z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  <x:c r="P103" s="1"/>
      <x:c r="Q103" s="1"/>
      <x:c r="R103" s="1"/>
      <x:c r="S103" s="1"/>
      <x:c r="T103" s="1"/>
      <x:c r="U103" s="1"/>
      <x:c r="V103" s="1"/>
      <x:c r="W103" s="1"/>
      <x:c r="X103" s="1"/>
      <x:c r="Y103" s="1"/>
      <x:c r="Z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  <x:c r="P104" s="1"/>
      <x:c r="Q104" s="1"/>
      <x:c r="R104" s="1"/>
      <x:c r="S104" s="1"/>
      <x:c r="T104" s="1"/>
      <x:c r="U104" s="1"/>
      <x:c r="V104" s="1"/>
      <x:c r="W104" s="1"/>
      <x:c r="X104" s="1"/>
      <x:c r="Y104" s="1"/>
      <x:c r="Z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  <x:c r="P105" s="1"/>
      <x:c r="Q105" s="1"/>
      <x:c r="R105" s="1"/>
      <x:c r="S105" s="1"/>
      <x:c r="T105" s="1"/>
      <x:c r="U105" s="1"/>
      <x:c r="V105" s="1"/>
      <x:c r="W105" s="1"/>
      <x:c r="X105" s="1"/>
      <x:c r="Y105" s="1"/>
      <x:c r="Z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  <x:c r="P106" s="1"/>
      <x:c r="Q106" s="1"/>
      <x:c r="R106" s="1"/>
      <x:c r="S106" s="1"/>
      <x:c r="T106" s="1"/>
      <x:c r="U106" s="1"/>
      <x:c r="V106" s="1"/>
      <x:c r="W106" s="1"/>
      <x:c r="X106" s="1"/>
      <x:c r="Y106" s="1"/>
      <x:c r="Z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  <x:c r="P107" s="1"/>
      <x:c r="Q107" s="1"/>
      <x:c r="R107" s="1"/>
      <x:c r="S107" s="1"/>
      <x:c r="T107" s="1"/>
      <x:c r="U107" s="1"/>
      <x:c r="V107" s="1"/>
      <x:c r="W107" s="1"/>
      <x:c r="X107" s="1"/>
      <x:c r="Y107" s="1"/>
      <x:c r="Z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  <x:c r="P108" s="1"/>
      <x:c r="Q108" s="1"/>
      <x:c r="R108" s="1"/>
      <x:c r="S108" s="1"/>
      <x:c r="T108" s="1"/>
      <x:c r="U108" s="1"/>
      <x:c r="V108" s="1"/>
      <x:c r="W108" s="1"/>
      <x:c r="X108" s="1"/>
      <x:c r="Y108" s="1"/>
      <x:c r="Z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  <x:c r="P109" s="1"/>
      <x:c r="Q109" s="1"/>
      <x:c r="R109" s="1"/>
      <x:c r="S109" s="1"/>
      <x:c r="T109" s="1"/>
      <x:c r="U109" s="1"/>
      <x:c r="V109" s="1"/>
      <x:c r="W109" s="1"/>
      <x:c r="X109" s="1"/>
      <x:c r="Y109" s="1"/>
      <x:c r="Z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  <x:c r="P110" s="1"/>
      <x:c r="Q110" s="1"/>
      <x:c r="R110" s="1"/>
      <x:c r="S110" s="1"/>
      <x:c r="T110" s="1"/>
      <x:c r="U110" s="1"/>
      <x:c r="V110" s="1"/>
      <x:c r="W110" s="1"/>
      <x:c r="X110" s="1"/>
      <x:c r="Y110" s="1"/>
      <x:c r="Z110" s="1"/>
    </x:row>
    <x:row r="11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  <x:c r="P111" s="1"/>
      <x:c r="Q111" s="1"/>
      <x:c r="R111" s="1"/>
      <x:c r="S111" s="1"/>
      <x:c r="T111" s="1"/>
      <x:c r="U111" s="1"/>
      <x:c r="V111" s="1"/>
      <x:c r="W111" s="1"/>
      <x:c r="X111" s="1"/>
      <x:c r="Y111" s="1"/>
      <x:c r="Z111" s="1"/>
    </x:row>
    <x:row r="112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  <x:c r="P112" s="1"/>
      <x:c r="Q112" s="1"/>
      <x:c r="R112" s="1"/>
      <x:c r="S112" s="1"/>
      <x:c r="T112" s="1"/>
      <x:c r="U112" s="1"/>
      <x:c r="V112" s="1"/>
      <x:c r="W112" s="1"/>
      <x:c r="X112" s="1"/>
      <x:c r="Y112" s="1"/>
      <x:c r="Z112" s="1"/>
    </x:row>
    <x:row r="113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  <x:c r="P113" s="1"/>
      <x:c r="Q113" s="1"/>
      <x:c r="R113" s="1"/>
      <x:c r="S113" s="1"/>
      <x:c r="T113" s="1"/>
      <x:c r="U113" s="1"/>
      <x:c r="V113" s="1"/>
      <x:c r="W113" s="1"/>
      <x:c r="X113" s="1"/>
      <x:c r="Y113" s="1"/>
      <x:c r="Z113" s="1"/>
    </x:row>
    <x:row r="114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  <x:c r="P114" s="1"/>
      <x:c r="Q114" s="1"/>
      <x:c r="R114" s="1"/>
      <x:c r="S114" s="1"/>
      <x:c r="T114" s="1"/>
      <x:c r="U114" s="1"/>
      <x:c r="V114" s="1"/>
      <x:c r="W114" s="1"/>
      <x:c r="X114" s="1"/>
      <x:c r="Y114" s="1"/>
      <x:c r="Z114" s="1"/>
    </x:row>
    <x:row r="115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  <x:c r="P115" s="1"/>
      <x:c r="Q115" s="1"/>
      <x:c r="R115" s="1"/>
      <x:c r="S115" s="1"/>
      <x:c r="T115" s="1"/>
      <x:c r="U115" s="1"/>
      <x:c r="V115" s="1"/>
      <x:c r="W115" s="1"/>
      <x:c r="X115" s="1"/>
      <x:c r="Y115" s="1"/>
      <x:c r="Z115" s="1"/>
    </x:row>
    <x:row r="116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  <x:c r="P116" s="1"/>
      <x:c r="Q116" s="1"/>
      <x:c r="R116" s="1"/>
      <x:c r="S116" s="1"/>
      <x:c r="T116" s="1"/>
      <x:c r="U116" s="1"/>
      <x:c r="V116" s="1"/>
      <x:c r="W116" s="1"/>
      <x:c r="X116" s="1"/>
      <x:c r="Y116" s="1"/>
      <x:c r="Z116" s="1"/>
    </x:row>
    <x:row r="117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  <x:c r="P117" s="1"/>
      <x:c r="Q117" s="1"/>
      <x:c r="R117" s="1"/>
      <x:c r="S117" s="1"/>
      <x:c r="T117" s="1"/>
      <x:c r="U117" s="1"/>
      <x:c r="V117" s="1"/>
      <x:c r="W117" s="1"/>
      <x:c r="X117" s="1"/>
      <x:c r="Y117" s="1"/>
      <x:c r="Z117" s="1"/>
    </x:row>
    <x:row r="118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  <x:c r="P118" s="1"/>
      <x:c r="Q118" s="1"/>
      <x:c r="R118" s="1"/>
      <x:c r="S118" s="1"/>
      <x:c r="T118" s="1"/>
      <x:c r="U118" s="1"/>
      <x:c r="V118" s="1"/>
      <x:c r="W118" s="1"/>
      <x:c r="X118" s="1"/>
      <x:c r="Y118" s="1"/>
      <x:c r="Z118" s="1"/>
    </x:row>
    <x:row r="119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  <x:c r="P119" s="1"/>
      <x:c r="Q119" s="1"/>
      <x:c r="R119" s="1"/>
      <x:c r="S119" s="1"/>
      <x:c r="T119" s="1"/>
      <x:c r="U119" s="1"/>
      <x:c r="V119" s="1"/>
      <x:c r="W119" s="1"/>
      <x:c r="X119" s="1"/>
      <x:c r="Y119" s="1"/>
      <x:c r="Z119" s="1"/>
    </x:row>
    <x:row r="12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  <x:c r="P120" s="1"/>
      <x:c r="Q120" s="1"/>
      <x:c r="R120" s="1"/>
      <x:c r="S120" s="1"/>
      <x:c r="T120" s="1"/>
      <x:c r="U120" s="1"/>
      <x:c r="V120" s="1"/>
      <x:c r="W120" s="1"/>
      <x:c r="X120" s="1"/>
      <x:c r="Y120" s="1"/>
      <x:c r="Z120" s="1"/>
    </x:row>
    <x:row r="12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1"/>
      <x:c r="O121" s="1"/>
      <x:c r="P121" s="1"/>
      <x:c r="Q121" s="1"/>
      <x:c r="R121" s="1"/>
      <x:c r="S121" s="1"/>
      <x:c r="T121" s="1"/>
      <x:c r="U121" s="1"/>
      <x:c r="V121" s="1"/>
      <x:c r="W121" s="1"/>
      <x:c r="X121" s="1"/>
      <x:c r="Y121" s="1"/>
      <x:c r="Z121" s="1"/>
    </x:row>
    <x:row r="122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1"/>
      <x:c r="O122" s="1"/>
      <x:c r="P122" s="1"/>
      <x:c r="Q122" s="1"/>
      <x:c r="R122" s="1"/>
      <x:c r="S122" s="1"/>
      <x:c r="T122" s="1"/>
      <x:c r="U122" s="1"/>
      <x:c r="V122" s="1"/>
      <x:c r="W122" s="1"/>
      <x:c r="X122" s="1"/>
      <x:c r="Y122" s="1"/>
      <x:c r="Z122" s="1"/>
    </x:row>
    <x:row r="123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1"/>
      <x:c r="O123" s="1"/>
      <x:c r="P123" s="1"/>
      <x:c r="Q123" s="1"/>
      <x:c r="R123" s="1"/>
      <x:c r="S123" s="1"/>
      <x:c r="T123" s="1"/>
      <x:c r="U123" s="1"/>
      <x:c r="V123" s="1"/>
      <x:c r="W123" s="1"/>
      <x:c r="X123" s="1"/>
      <x:c r="Y123" s="1"/>
      <x:c r="Z123" s="1"/>
    </x:row>
    <x:row r="124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1"/>
      <x:c r="O124" s="1"/>
      <x:c r="P124" s="1"/>
      <x:c r="Q124" s="1"/>
      <x:c r="R124" s="1"/>
      <x:c r="S124" s="1"/>
      <x:c r="T124" s="1"/>
      <x:c r="U124" s="1"/>
      <x:c r="V124" s="1"/>
      <x:c r="W124" s="1"/>
      <x:c r="X124" s="1"/>
      <x:c r="Y124" s="1"/>
      <x:c r="Z124" s="1"/>
    </x:row>
    <x:row r="125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1"/>
      <x:c r="O125" s="1"/>
      <x:c r="P125" s="1"/>
      <x:c r="Q125" s="1"/>
      <x:c r="R125" s="1"/>
      <x:c r="S125" s="1"/>
      <x:c r="T125" s="1"/>
      <x:c r="U125" s="1"/>
      <x:c r="V125" s="1"/>
      <x:c r="W125" s="1"/>
      <x:c r="X125" s="1"/>
      <x:c r="Y125" s="1"/>
      <x:c r="Z125" s="1"/>
    </x:row>
    <x:row r="126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  <x:c r="O126" s="1"/>
      <x:c r="P126" s="1"/>
      <x:c r="Q126" s="1"/>
      <x:c r="R126" s="1"/>
      <x:c r="S126" s="1"/>
      <x:c r="T126" s="1"/>
      <x:c r="U126" s="1"/>
      <x:c r="V126" s="1"/>
      <x:c r="W126" s="1"/>
      <x:c r="X126" s="1"/>
      <x:c r="Y126" s="1"/>
      <x:c r="Z126" s="1"/>
    </x:row>
    <x:row r="127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  <x:c r="O127" s="1"/>
      <x:c r="P127" s="1"/>
      <x:c r="Q127" s="1"/>
      <x:c r="R127" s="1"/>
      <x:c r="S127" s="1"/>
      <x:c r="T127" s="1"/>
      <x:c r="U127" s="1"/>
      <x:c r="V127" s="1"/>
      <x:c r="W127" s="1"/>
      <x:c r="X127" s="1"/>
      <x:c r="Y127" s="1"/>
      <x:c r="Z127" s="1"/>
    </x:row>
    <x:row r="128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  <x:c r="O128" s="1"/>
      <x:c r="P128" s="1"/>
      <x:c r="Q128" s="1"/>
      <x:c r="R128" s="1"/>
      <x:c r="S128" s="1"/>
      <x:c r="T128" s="1"/>
      <x:c r="U128" s="1"/>
      <x:c r="V128" s="1"/>
      <x:c r="W128" s="1"/>
      <x:c r="X128" s="1"/>
      <x:c r="Y128" s="1"/>
      <x:c r="Z128" s="1"/>
    </x:row>
    <x:row r="129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1"/>
      <x:c r="O129" s="1"/>
      <x:c r="P129" s="1"/>
      <x:c r="Q129" s="1"/>
      <x:c r="R129" s="1"/>
      <x:c r="S129" s="1"/>
      <x:c r="T129" s="1"/>
      <x:c r="U129" s="1"/>
      <x:c r="V129" s="1"/>
      <x:c r="W129" s="1"/>
      <x:c r="X129" s="1"/>
      <x:c r="Y129" s="1"/>
      <x:c r="Z129" s="1"/>
    </x:row>
    <x:row r="130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1"/>
      <x:c r="O130" s="1"/>
      <x:c r="P130" s="1"/>
      <x:c r="Q130" s="1"/>
      <x:c r="R130" s="1"/>
      <x:c r="S130" s="1"/>
      <x:c r="T130" s="1"/>
      <x:c r="U130" s="1"/>
      <x:c r="V130" s="1"/>
      <x:c r="W130" s="1"/>
      <x:c r="X130" s="1"/>
      <x:c r="Y130" s="1"/>
      <x:c r="Z130" s="1"/>
    </x:row>
    <x:row r="13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1"/>
      <x:c r="O131" s="1"/>
      <x:c r="P131" s="1"/>
      <x:c r="Q131" s="1"/>
      <x:c r="R131" s="1"/>
      <x:c r="S131" s="1"/>
      <x:c r="T131" s="1"/>
      <x:c r="U131" s="1"/>
      <x:c r="V131" s="1"/>
      <x:c r="W131" s="1"/>
      <x:c r="X131" s="1"/>
      <x:c r="Y131" s="1"/>
      <x:c r="Z131" s="1"/>
    </x:row>
    <x:row r="132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1"/>
      <x:c r="O132" s="1"/>
      <x:c r="P132" s="1"/>
      <x:c r="Q132" s="1"/>
      <x:c r="R132" s="1"/>
      <x:c r="S132" s="1"/>
      <x:c r="T132" s="1"/>
      <x:c r="U132" s="1"/>
      <x:c r="V132" s="1"/>
      <x:c r="W132" s="1"/>
      <x:c r="X132" s="1"/>
      <x:c r="Y132" s="1"/>
      <x:c r="Z132" s="1"/>
    </x:row>
    <x:row r="133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  <x:c r="O133" s="1"/>
      <x:c r="P133" s="1"/>
      <x:c r="Q133" s="1"/>
      <x:c r="R133" s="1"/>
      <x:c r="S133" s="1"/>
      <x:c r="T133" s="1"/>
      <x:c r="U133" s="1"/>
      <x:c r="V133" s="1"/>
      <x:c r="W133" s="1"/>
      <x:c r="X133" s="1"/>
      <x:c r="Y133" s="1"/>
      <x:c r="Z133" s="1"/>
    </x:row>
    <x:row r="134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  <x:c r="O134" s="1"/>
      <x:c r="P134" s="1"/>
      <x:c r="Q134" s="1"/>
      <x:c r="R134" s="1"/>
      <x:c r="S134" s="1"/>
      <x:c r="T134" s="1"/>
      <x:c r="U134" s="1"/>
      <x:c r="V134" s="1"/>
      <x:c r="W134" s="1"/>
      <x:c r="X134" s="1"/>
      <x:c r="Y134" s="1"/>
      <x:c r="Z134" s="1"/>
    </x:row>
    <x:row r="135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  <x:c r="O135" s="1"/>
      <x:c r="P135" s="1"/>
      <x:c r="Q135" s="1"/>
      <x:c r="R135" s="1"/>
      <x:c r="S135" s="1"/>
      <x:c r="T135" s="1"/>
      <x:c r="U135" s="1"/>
      <x:c r="V135" s="1"/>
      <x:c r="W135" s="1"/>
      <x:c r="X135" s="1"/>
      <x:c r="Y135" s="1"/>
      <x:c r="Z135" s="1"/>
    </x:row>
    <x:row r="136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  <x:c r="O136" s="1"/>
      <x:c r="P136" s="1"/>
      <x:c r="Q136" s="1"/>
      <x:c r="R136" s="1"/>
      <x:c r="S136" s="1"/>
      <x:c r="T136" s="1"/>
      <x:c r="U136" s="1"/>
      <x:c r="V136" s="1"/>
      <x:c r="W136" s="1"/>
      <x:c r="X136" s="1"/>
      <x:c r="Y136" s="1"/>
      <x:c r="Z136" s="1"/>
    </x:row>
    <x:row r="137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  <x:c r="O137" s="1"/>
      <x:c r="P137" s="1"/>
      <x:c r="Q137" s="1"/>
      <x:c r="R137" s="1"/>
      <x:c r="S137" s="1"/>
      <x:c r="T137" s="1"/>
      <x:c r="U137" s="1"/>
      <x:c r="V137" s="1"/>
      <x:c r="W137" s="1"/>
      <x:c r="X137" s="1"/>
      <x:c r="Y137" s="1"/>
      <x:c r="Z137" s="1"/>
    </x:row>
    <x:row r="138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  <x:c r="O138" s="1"/>
      <x:c r="P138" s="1"/>
      <x:c r="Q138" s="1"/>
      <x:c r="R138" s="1"/>
      <x:c r="S138" s="1"/>
      <x:c r="T138" s="1"/>
      <x:c r="U138" s="1"/>
      <x:c r="V138" s="1"/>
      <x:c r="W138" s="1"/>
      <x:c r="X138" s="1"/>
      <x:c r="Y138" s="1"/>
      <x:c r="Z138" s="1"/>
    </x:row>
    <x:row r="139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  <x:c r="O139" s="1"/>
      <x:c r="P139" s="1"/>
      <x:c r="Q139" s="1"/>
      <x:c r="R139" s="1"/>
      <x:c r="S139" s="1"/>
      <x:c r="T139" s="1"/>
      <x:c r="U139" s="1"/>
      <x:c r="V139" s="1"/>
      <x:c r="W139" s="1"/>
      <x:c r="X139" s="1"/>
      <x:c r="Y139" s="1"/>
      <x:c r="Z139" s="1"/>
    </x:row>
    <x:row r="140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  <x:c r="O140" s="1"/>
      <x:c r="P140" s="1"/>
      <x:c r="Q140" s="1"/>
      <x:c r="R140" s="1"/>
      <x:c r="S140" s="1"/>
      <x:c r="T140" s="1"/>
      <x:c r="U140" s="1"/>
      <x:c r="V140" s="1"/>
      <x:c r="W140" s="1"/>
      <x:c r="X140" s="1"/>
      <x:c r="Y140" s="1"/>
      <x:c r="Z140" s="1"/>
    </x:row>
    <x:row r="14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  <x:c r="O141" s="1"/>
      <x:c r="P141" s="1"/>
      <x:c r="Q141" s="1"/>
      <x:c r="R141" s="1"/>
      <x:c r="S141" s="1"/>
      <x:c r="T141" s="1"/>
      <x:c r="U141" s="1"/>
      <x:c r="V141" s="1"/>
      <x:c r="W141" s="1"/>
      <x:c r="X141" s="1"/>
      <x:c r="Y141" s="1"/>
      <x:c r="Z141" s="1"/>
    </x:row>
    <x:row r="142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  <x:c r="O142" s="1"/>
      <x:c r="P142" s="1"/>
      <x:c r="Q142" s="1"/>
      <x:c r="R142" s="1"/>
      <x:c r="S142" s="1"/>
      <x:c r="T142" s="1"/>
      <x:c r="U142" s="1"/>
      <x:c r="V142" s="1"/>
      <x:c r="W142" s="1"/>
      <x:c r="X142" s="1"/>
      <x:c r="Y142" s="1"/>
      <x:c r="Z142" s="1"/>
    </x:row>
    <x:row r="143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  <x:c r="O143" s="1"/>
      <x:c r="P143" s="1"/>
      <x:c r="Q143" s="1"/>
      <x:c r="R143" s="1"/>
      <x:c r="S143" s="1"/>
      <x:c r="T143" s="1"/>
      <x:c r="U143" s="1"/>
      <x:c r="V143" s="1"/>
      <x:c r="W143" s="1"/>
      <x:c r="X143" s="1"/>
      <x:c r="Y143" s="1"/>
      <x:c r="Z143" s="1"/>
    </x:row>
    <x:row r="144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  <x:c r="O144" s="1"/>
      <x:c r="P144" s="1"/>
      <x:c r="Q144" s="1"/>
      <x:c r="R144" s="1"/>
      <x:c r="S144" s="1"/>
      <x:c r="T144" s="1"/>
      <x:c r="U144" s="1"/>
      <x:c r="V144" s="1"/>
      <x:c r="W144" s="1"/>
      <x:c r="X144" s="1"/>
      <x:c r="Y144" s="1"/>
      <x:c r="Z144" s="1"/>
    </x:row>
    <x:row r="145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  <x:c r="O145" s="1"/>
      <x:c r="P145" s="1"/>
      <x:c r="Q145" s="1"/>
      <x:c r="R145" s="1"/>
      <x:c r="S145" s="1"/>
      <x:c r="T145" s="1"/>
      <x:c r="U145" s="1"/>
      <x:c r="V145" s="1"/>
      <x:c r="W145" s="1"/>
      <x:c r="X145" s="1"/>
      <x:c r="Y145" s="1"/>
      <x:c r="Z145" s="1"/>
    </x:row>
    <x:row r="146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  <x:c r="O146" s="1"/>
      <x:c r="P146" s="1"/>
      <x:c r="Q146" s="1"/>
      <x:c r="R146" s="1"/>
      <x:c r="S146" s="1"/>
      <x:c r="T146" s="1"/>
      <x:c r="U146" s="1"/>
      <x:c r="V146" s="1"/>
      <x:c r="W146" s="1"/>
      <x:c r="X146" s="1"/>
      <x:c r="Y146" s="1"/>
      <x:c r="Z146" s="1"/>
    </x:row>
    <x:row r="147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  <x:c r="O147" s="1"/>
      <x:c r="P147" s="1"/>
      <x:c r="Q147" s="1"/>
      <x:c r="R147" s="1"/>
      <x:c r="S147" s="1"/>
      <x:c r="T147" s="1"/>
      <x:c r="U147" s="1"/>
      <x:c r="V147" s="1"/>
      <x:c r="W147" s="1"/>
      <x:c r="X147" s="1"/>
      <x:c r="Y147" s="1"/>
      <x:c r="Z147" s="1"/>
    </x:row>
    <x:row r="148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  <x:c r="O148" s="1"/>
      <x:c r="P148" s="1"/>
      <x:c r="Q148" s="1"/>
      <x:c r="R148" s="1"/>
      <x:c r="S148" s="1"/>
      <x:c r="T148" s="1"/>
      <x:c r="U148" s="1"/>
      <x:c r="V148" s="1"/>
      <x:c r="W148" s="1"/>
      <x:c r="X148" s="1"/>
      <x:c r="Y148" s="1"/>
      <x:c r="Z148" s="1"/>
    </x:row>
    <x:row r="149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  <x:c r="O149" s="1"/>
      <x:c r="P149" s="1"/>
      <x:c r="Q149" s="1"/>
      <x:c r="R149" s="1"/>
      <x:c r="S149" s="1"/>
      <x:c r="T149" s="1"/>
      <x:c r="U149" s="1"/>
      <x:c r="V149" s="1"/>
      <x:c r="W149" s="1"/>
      <x:c r="X149" s="1"/>
      <x:c r="Y149" s="1"/>
      <x:c r="Z149" s="1"/>
    </x:row>
    <x:row r="150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  <x:c r="O150" s="1"/>
      <x:c r="P150" s="1"/>
      <x:c r="Q150" s="1"/>
      <x:c r="R150" s="1"/>
      <x:c r="S150" s="1"/>
      <x:c r="T150" s="1"/>
      <x:c r="U150" s="1"/>
      <x:c r="V150" s="1"/>
      <x:c r="W150" s="1"/>
      <x:c r="X150" s="1"/>
      <x:c r="Y150" s="1"/>
      <x:c r="Z150" s="1"/>
    </x:row>
    <x:row r="15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  <x:c r="O151" s="1"/>
      <x:c r="P151" s="1"/>
      <x:c r="Q151" s="1"/>
      <x:c r="R151" s="1"/>
      <x:c r="S151" s="1"/>
      <x:c r="T151" s="1"/>
      <x:c r="U151" s="1"/>
      <x:c r="V151" s="1"/>
      <x:c r="W151" s="1"/>
      <x:c r="X151" s="1"/>
      <x:c r="Y151" s="1"/>
      <x:c r="Z151" s="1"/>
    </x:row>
    <x:row r="152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  <x:c r="O152" s="1"/>
      <x:c r="P152" s="1"/>
      <x:c r="Q152" s="1"/>
      <x:c r="R152" s="1"/>
      <x:c r="S152" s="1"/>
      <x:c r="T152" s="1"/>
      <x:c r="U152" s="1"/>
      <x:c r="V152" s="1"/>
      <x:c r="W152" s="1"/>
      <x:c r="X152" s="1"/>
      <x:c r="Y152" s="1"/>
      <x:c r="Z152" s="1"/>
    </x:row>
    <x:row r="153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  <x:c r="O153" s="1"/>
      <x:c r="P153" s="1"/>
      <x:c r="Q153" s="1"/>
      <x:c r="R153" s="1"/>
      <x:c r="S153" s="1"/>
      <x:c r="T153" s="1"/>
      <x:c r="U153" s="1"/>
      <x:c r="V153" s="1"/>
      <x:c r="W153" s="1"/>
      <x:c r="X153" s="1"/>
      <x:c r="Y153" s="1"/>
      <x:c r="Z153" s="1"/>
    </x:row>
    <x:row r="154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  <x:c r="O154" s="1"/>
      <x:c r="P154" s="1"/>
      <x:c r="Q154" s="1"/>
      <x:c r="R154" s="1"/>
      <x:c r="S154" s="1"/>
      <x:c r="T154" s="1"/>
      <x:c r="U154" s="1"/>
      <x:c r="V154" s="1"/>
      <x:c r="W154" s="1"/>
      <x:c r="X154" s="1"/>
      <x:c r="Y154" s="1"/>
      <x:c r="Z154" s="1"/>
    </x:row>
    <x:row r="155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  <x:c r="O155" s="1"/>
      <x:c r="P155" s="1"/>
      <x:c r="Q155" s="1"/>
      <x:c r="R155" s="1"/>
      <x:c r="S155" s="1"/>
      <x:c r="T155" s="1"/>
      <x:c r="U155" s="1"/>
      <x:c r="V155" s="1"/>
      <x:c r="W155" s="1"/>
      <x:c r="X155" s="1"/>
      <x:c r="Y155" s="1"/>
      <x:c r="Z155" s="1"/>
    </x:row>
    <x:row r="156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  <x:c r="O156" s="1"/>
      <x:c r="P156" s="1"/>
      <x:c r="Q156" s="1"/>
      <x:c r="R156" s="1"/>
      <x:c r="S156" s="1"/>
      <x:c r="T156" s="1"/>
      <x:c r="U156" s="1"/>
      <x:c r="V156" s="1"/>
      <x:c r="W156" s="1"/>
      <x:c r="X156" s="1"/>
      <x:c r="Y156" s="1"/>
      <x:c r="Z156" s="1"/>
    </x:row>
    <x:row r="157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  <x:c r="O157" s="1"/>
      <x:c r="P157" s="1"/>
      <x:c r="Q157" s="1"/>
      <x:c r="R157" s="1"/>
      <x:c r="S157" s="1"/>
      <x:c r="T157" s="1"/>
      <x:c r="U157" s="1"/>
      <x:c r="V157" s="1"/>
      <x:c r="W157" s="1"/>
      <x:c r="X157" s="1"/>
      <x:c r="Y157" s="1"/>
      <x:c r="Z157" s="1"/>
    </x:row>
    <x:row r="158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  <x:c r="O158" s="1"/>
      <x:c r="P158" s="1"/>
      <x:c r="Q158" s="1"/>
      <x:c r="R158" s="1"/>
      <x:c r="S158" s="1"/>
      <x:c r="T158" s="1"/>
      <x:c r="U158" s="1"/>
      <x:c r="V158" s="1"/>
      <x:c r="W158" s="1"/>
      <x:c r="X158" s="1"/>
      <x:c r="Y158" s="1"/>
      <x:c r="Z158" s="1"/>
    </x:row>
    <x:row r="159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  <x:c r="O159" s="1"/>
      <x:c r="P159" s="1"/>
      <x:c r="Q159" s="1"/>
      <x:c r="R159" s="1"/>
      <x:c r="S159" s="1"/>
      <x:c r="T159" s="1"/>
      <x:c r="U159" s="1"/>
      <x:c r="V159" s="1"/>
      <x:c r="W159" s="1"/>
      <x:c r="X159" s="1"/>
      <x:c r="Y159" s="1"/>
      <x:c r="Z159" s="1"/>
    </x:row>
    <x:row r="160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  <x:c r="O160" s="1"/>
      <x:c r="P160" s="1"/>
      <x:c r="Q160" s="1"/>
      <x:c r="R160" s="1"/>
      <x:c r="S160" s="1"/>
      <x:c r="T160" s="1"/>
      <x:c r="U160" s="1"/>
      <x:c r="V160" s="1"/>
      <x:c r="W160" s="1"/>
      <x:c r="X160" s="1"/>
      <x:c r="Y160" s="1"/>
      <x:c r="Z160" s="1"/>
    </x:row>
    <x:row r="16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  <x:c r="O161" s="1"/>
      <x:c r="P161" s="1"/>
      <x:c r="Q161" s="1"/>
      <x:c r="R161" s="1"/>
      <x:c r="S161" s="1"/>
      <x:c r="T161" s="1"/>
      <x:c r="U161" s="1"/>
      <x:c r="V161" s="1"/>
      <x:c r="W161" s="1"/>
      <x:c r="X161" s="1"/>
      <x:c r="Y161" s="1"/>
      <x:c r="Z161" s="1"/>
    </x:row>
    <x:row r="162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  <x:c r="O162" s="1"/>
      <x:c r="P162" s="1"/>
      <x:c r="Q162" s="1"/>
      <x:c r="R162" s="1"/>
      <x:c r="S162" s="1"/>
      <x:c r="T162" s="1"/>
      <x:c r="U162" s="1"/>
      <x:c r="V162" s="1"/>
      <x:c r="W162" s="1"/>
      <x:c r="X162" s="1"/>
      <x:c r="Y162" s="1"/>
      <x:c r="Z162" s="1"/>
    </x:row>
    <x:row r="163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  <x:c r="O163" s="1"/>
      <x:c r="P163" s="1"/>
      <x:c r="Q163" s="1"/>
      <x:c r="R163" s="1"/>
      <x:c r="S163" s="1"/>
      <x:c r="T163" s="1"/>
      <x:c r="U163" s="1"/>
      <x:c r="V163" s="1"/>
      <x:c r="W163" s="1"/>
      <x:c r="X163" s="1"/>
      <x:c r="Y163" s="1"/>
      <x:c r="Z163" s="1"/>
    </x:row>
    <x:row r="164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  <x:c r="O164" s="1"/>
      <x:c r="P164" s="1"/>
      <x:c r="Q164" s="1"/>
      <x:c r="R164" s="1"/>
      <x:c r="S164" s="1"/>
      <x:c r="T164" s="1"/>
      <x:c r="U164" s="1"/>
      <x:c r="V164" s="1"/>
      <x:c r="W164" s="1"/>
      <x:c r="X164" s="1"/>
      <x:c r="Y164" s="1"/>
      <x:c r="Z164" s="1"/>
    </x:row>
    <x:row r="165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  <x:c r="O165" s="1"/>
      <x:c r="P165" s="1"/>
      <x:c r="Q165" s="1"/>
      <x:c r="R165" s="1"/>
      <x:c r="S165" s="1"/>
      <x:c r="T165" s="1"/>
      <x:c r="U165" s="1"/>
      <x:c r="V165" s="1"/>
      <x:c r="W165" s="1"/>
      <x:c r="X165" s="1"/>
      <x:c r="Y165" s="1"/>
      <x:c r="Z165" s="1"/>
    </x:row>
    <x:row r="166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  <x:c r="O166" s="1"/>
      <x:c r="P166" s="1"/>
      <x:c r="Q166" s="1"/>
      <x:c r="R166" s="1"/>
      <x:c r="S166" s="1"/>
      <x:c r="T166" s="1"/>
      <x:c r="U166" s="1"/>
      <x:c r="V166" s="1"/>
      <x:c r="W166" s="1"/>
      <x:c r="X166" s="1"/>
      <x:c r="Y166" s="1"/>
      <x:c r="Z166" s="1"/>
    </x:row>
    <x:row r="167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  <x:c r="O167" s="1"/>
      <x:c r="P167" s="1"/>
      <x:c r="Q167" s="1"/>
      <x:c r="R167" s="1"/>
      <x:c r="S167" s="1"/>
      <x:c r="T167" s="1"/>
      <x:c r="U167" s="1"/>
      <x:c r="V167" s="1"/>
      <x:c r="W167" s="1"/>
      <x:c r="X167" s="1"/>
      <x:c r="Y167" s="1"/>
      <x:c r="Z167" s="1"/>
    </x:row>
    <x:row r="168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  <x:c r="O168" s="1"/>
      <x:c r="P168" s="1"/>
      <x:c r="Q168" s="1"/>
      <x:c r="R168" s="1"/>
      <x:c r="S168" s="1"/>
      <x:c r="T168" s="1"/>
      <x:c r="U168" s="1"/>
      <x:c r="V168" s="1"/>
      <x:c r="W168" s="1"/>
      <x:c r="X168" s="1"/>
      <x:c r="Y168" s="1"/>
      <x:c r="Z168" s="1"/>
    </x:row>
    <x:row r="169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  <x:c r="O169" s="1"/>
      <x:c r="P169" s="1"/>
      <x:c r="Q169" s="1"/>
      <x:c r="R169" s="1"/>
      <x:c r="S169" s="1"/>
      <x:c r="T169" s="1"/>
      <x:c r="U169" s="1"/>
      <x:c r="V169" s="1"/>
      <x:c r="W169" s="1"/>
      <x:c r="X169" s="1"/>
      <x:c r="Y169" s="1"/>
      <x:c r="Z169" s="1"/>
    </x:row>
    <x:row r="170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  <x:c r="O170" s="1"/>
      <x:c r="P170" s="1"/>
      <x:c r="Q170" s="1"/>
      <x:c r="R170" s="1"/>
      <x:c r="S170" s="1"/>
      <x:c r="T170" s="1"/>
      <x:c r="U170" s="1"/>
      <x:c r="V170" s="1"/>
      <x:c r="W170" s="1"/>
      <x:c r="X170" s="1"/>
      <x:c r="Y170" s="1"/>
      <x:c r="Z170" s="1"/>
    </x:row>
    <x:row r="17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  <x:c r="O171" s="1"/>
      <x:c r="P171" s="1"/>
      <x:c r="Q171" s="1"/>
      <x:c r="R171" s="1"/>
      <x:c r="S171" s="1"/>
      <x:c r="T171" s="1"/>
      <x:c r="U171" s="1"/>
      <x:c r="V171" s="1"/>
      <x:c r="W171" s="1"/>
      <x:c r="X171" s="1"/>
      <x:c r="Y171" s="1"/>
      <x:c r="Z171" s="1"/>
    </x:row>
    <x:row r="172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  <x:c r="O172" s="1"/>
      <x:c r="P172" s="1"/>
      <x:c r="Q172" s="1"/>
      <x:c r="R172" s="1"/>
      <x:c r="S172" s="1"/>
      <x:c r="T172" s="1"/>
      <x:c r="U172" s="1"/>
      <x:c r="V172" s="1"/>
      <x:c r="W172" s="1"/>
      <x:c r="X172" s="1"/>
      <x:c r="Y172" s="1"/>
      <x:c r="Z172" s="1"/>
    </x:row>
    <x:row r="173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  <x:c r="O173" s="1"/>
      <x:c r="P173" s="1"/>
      <x:c r="Q173" s="1"/>
      <x:c r="R173" s="1"/>
      <x:c r="S173" s="1"/>
      <x:c r="T173" s="1"/>
      <x:c r="U173" s="1"/>
      <x:c r="V173" s="1"/>
      <x:c r="W173" s="1"/>
      <x:c r="X173" s="1"/>
      <x:c r="Y173" s="1"/>
      <x:c r="Z173" s="1"/>
    </x:row>
    <x:row r="174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  <x:c r="O174" s="1"/>
      <x:c r="P174" s="1"/>
      <x:c r="Q174" s="1"/>
      <x:c r="R174" s="1"/>
      <x:c r="S174" s="1"/>
      <x:c r="T174" s="1"/>
      <x:c r="U174" s="1"/>
      <x:c r="V174" s="1"/>
      <x:c r="W174" s="1"/>
      <x:c r="X174" s="1"/>
      <x:c r="Y174" s="1"/>
      <x:c r="Z174" s="1"/>
    </x:row>
    <x:row r="175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  <x:c r="O175" s="1"/>
      <x:c r="P175" s="1"/>
      <x:c r="Q175" s="1"/>
      <x:c r="R175" s="1"/>
      <x:c r="S175" s="1"/>
      <x:c r="T175" s="1"/>
      <x:c r="U175" s="1"/>
      <x:c r="V175" s="1"/>
      <x:c r="W175" s="1"/>
      <x:c r="X175" s="1"/>
      <x:c r="Y175" s="1"/>
      <x:c r="Z175" s="1"/>
    </x:row>
    <x:row r="176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  <x:c r="O176" s="1"/>
      <x:c r="P176" s="1"/>
      <x:c r="Q176" s="1"/>
      <x:c r="R176" s="1"/>
      <x:c r="S176" s="1"/>
      <x:c r="T176" s="1"/>
      <x:c r="U176" s="1"/>
      <x:c r="V176" s="1"/>
      <x:c r="W176" s="1"/>
      <x:c r="X176" s="1"/>
      <x:c r="Y176" s="1"/>
      <x:c r="Z176" s="1"/>
    </x:row>
    <x:row r="177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  <x:c r="O177" s="1"/>
      <x:c r="P177" s="1"/>
      <x:c r="Q177" s="1"/>
      <x:c r="R177" s="1"/>
      <x:c r="S177" s="1"/>
      <x:c r="T177" s="1"/>
      <x:c r="U177" s="1"/>
      <x:c r="V177" s="1"/>
      <x:c r="W177" s="1"/>
      <x:c r="X177" s="1"/>
      <x:c r="Y177" s="1"/>
      <x:c r="Z177" s="1"/>
    </x:row>
    <x:row r="178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  <x:c r="O178" s="1"/>
      <x:c r="P178" s="1"/>
      <x:c r="Q178" s="1"/>
      <x:c r="R178" s="1"/>
      <x:c r="S178" s="1"/>
      <x:c r="T178" s="1"/>
      <x:c r="U178" s="1"/>
      <x:c r="V178" s="1"/>
      <x:c r="W178" s="1"/>
      <x:c r="X178" s="1"/>
      <x:c r="Y178" s="1"/>
      <x:c r="Z178" s="1"/>
    </x:row>
    <x:row r="179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  <x:c r="O179" s="1"/>
      <x:c r="P179" s="1"/>
      <x:c r="Q179" s="1"/>
      <x:c r="R179" s="1"/>
      <x:c r="S179" s="1"/>
      <x:c r="T179" s="1"/>
      <x:c r="U179" s="1"/>
      <x:c r="V179" s="1"/>
      <x:c r="W179" s="1"/>
      <x:c r="X179" s="1"/>
      <x:c r="Y179" s="1"/>
      <x:c r="Z179" s="1"/>
    </x:row>
    <x:row r="180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  <x:c r="O180" s="1"/>
      <x:c r="P180" s="1"/>
      <x:c r="Q180" s="1"/>
      <x:c r="R180" s="1"/>
      <x:c r="S180" s="1"/>
      <x:c r="T180" s="1"/>
      <x:c r="U180" s="1"/>
      <x:c r="V180" s="1"/>
      <x:c r="W180" s="1"/>
      <x:c r="X180" s="1"/>
      <x:c r="Y180" s="1"/>
      <x:c r="Z180" s="1"/>
    </x:row>
    <x:row r="18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  <x:c r="O181" s="1"/>
      <x:c r="P181" s="1"/>
      <x:c r="Q181" s="1"/>
      <x:c r="R181" s="1"/>
      <x:c r="S181" s="1"/>
      <x:c r="T181" s="1"/>
      <x:c r="U181" s="1"/>
      <x:c r="V181" s="1"/>
      <x:c r="W181" s="1"/>
      <x:c r="X181" s="1"/>
      <x:c r="Y181" s="1"/>
      <x:c r="Z181" s="1"/>
    </x:row>
    <x:row r="182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  <x:c r="O182" s="1"/>
      <x:c r="P182" s="1"/>
      <x:c r="Q182" s="1"/>
      <x:c r="R182" s="1"/>
      <x:c r="S182" s="1"/>
      <x:c r="T182" s="1"/>
      <x:c r="U182" s="1"/>
      <x:c r="V182" s="1"/>
      <x:c r="W182" s="1"/>
      <x:c r="X182" s="1"/>
      <x:c r="Y182" s="1"/>
      <x:c r="Z182" s="1"/>
    </x:row>
    <x:row r="183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  <x:c r="O183" s="1"/>
      <x:c r="P183" s="1"/>
      <x:c r="Q183" s="1"/>
      <x:c r="R183" s="1"/>
      <x:c r="S183" s="1"/>
      <x:c r="T183" s="1"/>
      <x:c r="U183" s="1"/>
      <x:c r="V183" s="1"/>
      <x:c r="W183" s="1"/>
      <x:c r="X183" s="1"/>
      <x:c r="Y183" s="1"/>
      <x:c r="Z183" s="1"/>
    </x:row>
    <x:row r="184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  <x:c r="O184" s="1"/>
      <x:c r="P184" s="1"/>
      <x:c r="Q184" s="1"/>
      <x:c r="R184" s="1"/>
      <x:c r="S184" s="1"/>
      <x:c r="T184" s="1"/>
      <x:c r="U184" s="1"/>
      <x:c r="V184" s="1"/>
      <x:c r="W184" s="1"/>
      <x:c r="X184" s="1"/>
      <x:c r="Y184" s="1"/>
      <x:c r="Z184" s="1"/>
    </x:row>
    <x:row r="185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  <x:c r="O185" s="1"/>
      <x:c r="P185" s="1"/>
      <x:c r="Q185" s="1"/>
      <x:c r="R185" s="1"/>
      <x:c r="S185" s="1"/>
      <x:c r="T185" s="1"/>
      <x:c r="U185" s="1"/>
      <x:c r="V185" s="1"/>
      <x:c r="W185" s="1"/>
      <x:c r="X185" s="1"/>
      <x:c r="Y185" s="1"/>
      <x:c r="Z185" s="1"/>
    </x:row>
    <x:row r="186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  <x:c r="O186" s="1"/>
      <x:c r="P186" s="1"/>
      <x:c r="Q186" s="1"/>
      <x:c r="R186" s="1"/>
      <x:c r="S186" s="1"/>
      <x:c r="T186" s="1"/>
      <x:c r="U186" s="1"/>
      <x:c r="V186" s="1"/>
      <x:c r="W186" s="1"/>
      <x:c r="X186" s="1"/>
      <x:c r="Y186" s="1"/>
      <x:c r="Z186" s="1"/>
    </x:row>
    <x:row r="187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  <x:c r="O187" s="1"/>
      <x:c r="P187" s="1"/>
      <x:c r="Q187" s="1"/>
      <x:c r="R187" s="1"/>
      <x:c r="S187" s="1"/>
      <x:c r="T187" s="1"/>
      <x:c r="U187" s="1"/>
      <x:c r="V187" s="1"/>
      <x:c r="W187" s="1"/>
      <x:c r="X187" s="1"/>
      <x:c r="Y187" s="1"/>
      <x:c r="Z187" s="1"/>
    </x:row>
    <x:row r="188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  <x:c r="O188" s="1"/>
      <x:c r="P188" s="1"/>
      <x:c r="Q188" s="1"/>
      <x:c r="R188" s="1"/>
      <x:c r="S188" s="1"/>
      <x:c r="T188" s="1"/>
      <x:c r="U188" s="1"/>
      <x:c r="V188" s="1"/>
      <x:c r="W188" s="1"/>
      <x:c r="X188" s="1"/>
      <x:c r="Y188" s="1"/>
      <x:c r="Z188" s="1"/>
    </x:row>
    <x:row r="189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  <x:c r="O189" s="1"/>
      <x:c r="P189" s="1"/>
      <x:c r="Q189" s="1"/>
      <x:c r="R189" s="1"/>
      <x:c r="S189" s="1"/>
      <x:c r="T189" s="1"/>
      <x:c r="U189" s="1"/>
      <x:c r="V189" s="1"/>
      <x:c r="W189" s="1"/>
      <x:c r="X189" s="1"/>
      <x:c r="Y189" s="1"/>
      <x:c r="Z189" s="1"/>
    </x:row>
    <x:row r="190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  <x:c r="O190" s="1"/>
      <x:c r="P190" s="1"/>
      <x:c r="Q190" s="1"/>
      <x:c r="R190" s="1"/>
      <x:c r="S190" s="1"/>
      <x:c r="T190" s="1"/>
      <x:c r="U190" s="1"/>
      <x:c r="V190" s="1"/>
      <x:c r="W190" s="1"/>
      <x:c r="X190" s="1"/>
      <x:c r="Y190" s="1"/>
      <x:c r="Z190" s="1"/>
    </x:row>
    <x:row r="19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  <x:c r="O191" s="1"/>
      <x:c r="P191" s="1"/>
      <x:c r="Q191" s="1"/>
      <x:c r="R191" s="1"/>
      <x:c r="S191" s="1"/>
      <x:c r="T191" s="1"/>
      <x:c r="U191" s="1"/>
      <x:c r="V191" s="1"/>
      <x:c r="W191" s="1"/>
      <x:c r="X191" s="1"/>
      <x:c r="Y191" s="1"/>
      <x:c r="Z191" s="1"/>
    </x:row>
    <x:row r="192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  <x:c r="O192" s="1"/>
      <x:c r="P192" s="1"/>
      <x:c r="Q192" s="1"/>
      <x:c r="R192" s="1"/>
      <x:c r="S192" s="1"/>
      <x:c r="T192" s="1"/>
      <x:c r="U192" s="1"/>
      <x:c r="V192" s="1"/>
      <x:c r="W192" s="1"/>
      <x:c r="X192" s="1"/>
      <x:c r="Y192" s="1"/>
      <x:c r="Z192" s="1"/>
    </x:row>
    <x:row r="193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  <x:c r="O193" s="1"/>
      <x:c r="P193" s="1"/>
      <x:c r="Q193" s="1"/>
      <x:c r="R193" s="1"/>
      <x:c r="S193" s="1"/>
      <x:c r="T193" s="1"/>
      <x:c r="U193" s="1"/>
      <x:c r="V193" s="1"/>
      <x:c r="W193" s="1"/>
      <x:c r="X193" s="1"/>
      <x:c r="Y193" s="1"/>
      <x:c r="Z193" s="1"/>
    </x:row>
    <x:row r="194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  <x:c r="O194" s="1"/>
      <x:c r="P194" s="1"/>
      <x:c r="Q194" s="1"/>
      <x:c r="R194" s="1"/>
      <x:c r="S194" s="1"/>
      <x:c r="T194" s="1"/>
      <x:c r="U194" s="1"/>
      <x:c r="V194" s="1"/>
      <x:c r="W194" s="1"/>
      <x:c r="X194" s="1"/>
      <x:c r="Y194" s="1"/>
      <x:c r="Z194" s="1"/>
    </x:row>
    <x:row r="195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  <x:c r="O195" s="1"/>
      <x:c r="P195" s="1"/>
      <x:c r="Q195" s="1"/>
      <x:c r="R195" s="1"/>
      <x:c r="S195" s="1"/>
      <x:c r="T195" s="1"/>
      <x:c r="U195" s="1"/>
      <x:c r="V195" s="1"/>
      <x:c r="W195" s="1"/>
      <x:c r="X195" s="1"/>
      <x:c r="Y195" s="1"/>
      <x:c r="Z195" s="1"/>
    </x:row>
    <x:row r="196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  <x:c r="O196" s="1"/>
      <x:c r="P196" s="1"/>
      <x:c r="Q196" s="1"/>
      <x:c r="R196" s="1"/>
      <x:c r="S196" s="1"/>
      <x:c r="T196" s="1"/>
      <x:c r="U196" s="1"/>
      <x:c r="V196" s="1"/>
      <x:c r="W196" s="1"/>
      <x:c r="X196" s="1"/>
      <x:c r="Y196" s="1"/>
      <x:c r="Z196" s="1"/>
    </x:row>
    <x:row r="197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  <x:c r="O197" s="1"/>
      <x:c r="P197" s="1"/>
      <x:c r="Q197" s="1"/>
      <x:c r="R197" s="1"/>
      <x:c r="S197" s="1"/>
      <x:c r="T197" s="1"/>
      <x:c r="U197" s="1"/>
      <x:c r="V197" s="1"/>
      <x:c r="W197" s="1"/>
      <x:c r="X197" s="1"/>
      <x:c r="Y197" s="1"/>
      <x:c r="Z197" s="1"/>
    </x:row>
    <x:row r="198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  <x:c r="O198" s="1"/>
      <x:c r="P198" s="1"/>
      <x:c r="Q198" s="1"/>
      <x:c r="R198" s="1"/>
      <x:c r="S198" s="1"/>
      <x:c r="T198" s="1"/>
      <x:c r="U198" s="1"/>
      <x:c r="V198" s="1"/>
      <x:c r="W198" s="1"/>
      <x:c r="X198" s="1"/>
      <x:c r="Y198" s="1"/>
      <x:c r="Z198" s="1"/>
    </x:row>
    <x:row r="199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  <x:c r="O199" s="1"/>
      <x:c r="P199" s="1"/>
      <x:c r="Q199" s="1"/>
      <x:c r="R199" s="1"/>
      <x:c r="S199" s="1"/>
      <x:c r="T199" s="1"/>
      <x:c r="U199" s="1"/>
      <x:c r="V199" s="1"/>
      <x:c r="W199" s="1"/>
      <x:c r="X199" s="1"/>
      <x:c r="Y199" s="1"/>
      <x:c r="Z199" s="1"/>
    </x:row>
    <x:row r="200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  <x:c r="O200" s="1"/>
      <x:c r="P200" s="1"/>
      <x:c r="Q200" s="1"/>
      <x:c r="R200" s="1"/>
      <x:c r="S200" s="1"/>
      <x:c r="T200" s="1"/>
      <x:c r="U200" s="1"/>
      <x:c r="V200" s="1"/>
      <x:c r="W200" s="1"/>
      <x:c r="X200" s="1"/>
      <x:c r="Y200" s="1"/>
      <x:c r="Z200" s="1"/>
    </x:row>
    <x:row r="201">
      <x:c r="A201" s="1"/>
      <x:c r="B201" s="1"/>
      <x:c r="C201" s="1"/>
      <x:c r="D201" s="1"/>
      <x:c r="E201" s="1"/>
      <x:c r="F201" s="1"/>
      <x:c r="G201" s="1"/>
      <x:c r="H201" s="1"/>
      <x:c r="I201" s="1"/>
      <x:c r="J201" s="1"/>
      <x:c r="K201" s="1"/>
      <x:c r="L201" s="1"/>
      <x:c r="M201" s="1"/>
      <x:c r="N201" s="1"/>
      <x:c r="O201" s="1"/>
      <x:c r="P201" s="1"/>
      <x:c r="Q201" s="1"/>
      <x:c r="R201" s="1"/>
      <x:c r="S201" s="1"/>
      <x:c r="T201" s="1"/>
      <x:c r="U201" s="1"/>
      <x:c r="V201" s="1"/>
      <x:c r="W201" s="1"/>
      <x:c r="X201" s="1"/>
      <x:c r="Y201" s="1"/>
      <x:c r="Z201" s="1"/>
    </x:row>
    <x:row r="202">
      <x:c r="A202" s="1"/>
      <x:c r="B202" s="1"/>
      <x:c r="C202" s="1"/>
      <x:c r="D202" s="1"/>
      <x:c r="E202" s="1"/>
      <x:c r="F202" s="1"/>
      <x:c r="G202" s="1"/>
      <x:c r="H202" s="1"/>
      <x:c r="I202" s="1"/>
      <x:c r="J202" s="1"/>
      <x:c r="K202" s="1"/>
      <x:c r="L202" s="1"/>
      <x:c r="M202" s="1"/>
      <x:c r="N202" s="1"/>
      <x:c r="O202" s="1"/>
      <x:c r="P202" s="1"/>
      <x:c r="Q202" s="1"/>
      <x:c r="R202" s="1"/>
      <x:c r="S202" s="1"/>
      <x:c r="T202" s="1"/>
      <x:c r="U202" s="1"/>
      <x:c r="V202" s="1"/>
      <x:c r="W202" s="1"/>
      <x:c r="X202" s="1"/>
      <x:c r="Y202" s="1"/>
      <x:c r="Z202" s="1"/>
    </x:row>
    <x:row r="203">
      <x:c r="A203" s="1"/>
      <x:c r="B203" s="1"/>
      <x:c r="C203" s="1"/>
      <x:c r="D203" s="1"/>
      <x:c r="E203" s="1"/>
      <x:c r="F203" s="1"/>
      <x:c r="G203" s="1"/>
      <x:c r="H203" s="1"/>
      <x:c r="I203" s="1"/>
      <x:c r="J203" s="1"/>
      <x:c r="K203" s="1"/>
      <x:c r="L203" s="1"/>
      <x:c r="M203" s="1"/>
      <x:c r="N203" s="1"/>
      <x:c r="O203" s="1"/>
      <x:c r="P203" s="1"/>
      <x:c r="Q203" s="1"/>
      <x:c r="R203" s="1"/>
      <x:c r="S203" s="1"/>
      <x:c r="T203" s="1"/>
      <x:c r="U203" s="1"/>
      <x:c r="V203" s="1"/>
      <x:c r="W203" s="1"/>
      <x:c r="X203" s="1"/>
      <x:c r="Y203" s="1"/>
      <x:c r="Z203" s="1"/>
    </x:row>
    <x:row r="204">
      <x:c r="A204" s="1"/>
      <x:c r="B204" s="1"/>
      <x:c r="C204" s="1"/>
      <x:c r="D204" s="1"/>
      <x:c r="E204" s="1"/>
      <x:c r="F204" s="1"/>
      <x:c r="G204" s="1"/>
      <x:c r="H204" s="1"/>
      <x:c r="I204" s="1"/>
      <x:c r="J204" s="1"/>
      <x:c r="K204" s="1"/>
      <x:c r="L204" s="1"/>
      <x:c r="M204" s="1"/>
      <x:c r="N204" s="1"/>
      <x:c r="O204" s="1"/>
      <x:c r="P204" s="1"/>
      <x:c r="Q204" s="1"/>
      <x:c r="R204" s="1"/>
      <x:c r="S204" s="1"/>
      <x:c r="T204" s="1"/>
      <x:c r="U204" s="1"/>
      <x:c r="V204" s="1"/>
      <x:c r="W204" s="1"/>
      <x:c r="X204" s="1"/>
      <x:c r="Y204" s="1"/>
      <x:c r="Z204" s="1"/>
    </x:row>
    <x:row r="205">
      <x:c r="A205" s="1"/>
      <x:c r="B205" s="1"/>
      <x:c r="C205" s="1"/>
      <x:c r="D205" s="1"/>
      <x:c r="E205" s="1"/>
      <x:c r="F205" s="1"/>
      <x:c r="G205" s="1"/>
      <x:c r="H205" s="1"/>
      <x:c r="I205" s="1"/>
      <x:c r="J205" s="1"/>
      <x:c r="K205" s="1"/>
      <x:c r="L205" s="1"/>
      <x:c r="M205" s="1"/>
      <x:c r="N205" s="1"/>
      <x:c r="O205" s="1"/>
      <x:c r="P205" s="1"/>
      <x:c r="Q205" s="1"/>
      <x:c r="R205" s="1"/>
      <x:c r="S205" s="1"/>
      <x:c r="T205" s="1"/>
      <x:c r="U205" s="1"/>
      <x:c r="V205" s="1"/>
      <x:c r="W205" s="1"/>
      <x:c r="X205" s="1"/>
      <x:c r="Y205" s="1"/>
      <x:c r="Z205" s="1"/>
    </x:row>
    <x:row r="206">
      <x:c r="A206" s="1"/>
      <x:c r="B206" s="1"/>
      <x:c r="C206" s="1"/>
      <x:c r="D206" s="1"/>
      <x:c r="E206" s="1"/>
      <x:c r="F206" s="1"/>
      <x:c r="G206" s="1"/>
      <x:c r="H206" s="1"/>
      <x:c r="I206" s="1"/>
      <x:c r="J206" s="1"/>
      <x:c r="K206" s="1"/>
      <x:c r="L206" s="1"/>
      <x:c r="M206" s="1"/>
      <x:c r="N206" s="1"/>
      <x:c r="O206" s="1"/>
      <x:c r="P206" s="1"/>
      <x:c r="Q206" s="1"/>
      <x:c r="R206" s="1"/>
      <x:c r="S206" s="1"/>
      <x:c r="T206" s="1"/>
      <x:c r="U206" s="1"/>
      <x:c r="V206" s="1"/>
      <x:c r="W206" s="1"/>
      <x:c r="X206" s="1"/>
      <x:c r="Y206" s="1"/>
      <x:c r="Z206" s="1"/>
    </x:row>
    <x:row r="207">
      <x:c r="A207" s="1"/>
      <x:c r="B207" s="1"/>
      <x:c r="C207" s="1"/>
      <x:c r="D207" s="1"/>
      <x:c r="E207" s="1"/>
      <x:c r="F207" s="1"/>
      <x:c r="G207" s="1"/>
      <x:c r="H207" s="1"/>
      <x:c r="I207" s="1"/>
      <x:c r="J207" s="1"/>
      <x:c r="K207" s="1"/>
      <x:c r="L207" s="1"/>
      <x:c r="M207" s="1"/>
      <x:c r="N207" s="1"/>
      <x:c r="O207" s="1"/>
      <x:c r="P207" s="1"/>
      <x:c r="Q207" s="1"/>
      <x:c r="R207" s="1"/>
      <x:c r="S207" s="1"/>
      <x:c r="T207" s="1"/>
      <x:c r="U207" s="1"/>
      <x:c r="V207" s="1"/>
      <x:c r="W207" s="1"/>
      <x:c r="X207" s="1"/>
      <x:c r="Y207" s="1"/>
      <x:c r="Z207" s="1"/>
    </x:row>
    <x:row r="208">
      <x:c r="A208" s="1"/>
      <x:c r="B208" s="1"/>
      <x:c r="C208" s="1"/>
      <x:c r="D208" s="1"/>
      <x:c r="E208" s="1"/>
      <x:c r="F208" s="1"/>
      <x:c r="G208" s="1"/>
      <x:c r="H208" s="1"/>
      <x:c r="I208" s="1"/>
      <x:c r="J208" s="1"/>
      <x:c r="K208" s="1"/>
      <x:c r="L208" s="1"/>
      <x:c r="M208" s="1"/>
      <x:c r="N208" s="1"/>
      <x:c r="O208" s="1"/>
      <x:c r="P208" s="1"/>
      <x:c r="Q208" s="1"/>
      <x:c r="R208" s="1"/>
      <x:c r="S208" s="1"/>
      <x:c r="T208" s="1"/>
      <x:c r="U208" s="1"/>
      <x:c r="V208" s="1"/>
      <x:c r="W208" s="1"/>
      <x:c r="X208" s="1"/>
      <x:c r="Y208" s="1"/>
      <x:c r="Z208" s="1"/>
    </x:row>
    <x:row r="209">
      <x:c r="A209" s="1"/>
      <x:c r="B209" s="1"/>
      <x:c r="C209" s="1"/>
      <x:c r="D209" s="1"/>
      <x:c r="E209" s="1"/>
      <x:c r="F209" s="1"/>
      <x:c r="G209" s="1"/>
      <x:c r="H209" s="1"/>
      <x:c r="I209" s="1"/>
      <x:c r="J209" s="1"/>
      <x:c r="K209" s="1"/>
      <x:c r="L209" s="1"/>
      <x:c r="M209" s="1"/>
      <x:c r="N209" s="1"/>
      <x:c r="O209" s="1"/>
      <x:c r="P209" s="1"/>
      <x:c r="Q209" s="1"/>
      <x:c r="R209" s="1"/>
      <x:c r="S209" s="1"/>
      <x:c r="T209" s="1"/>
      <x:c r="U209" s="1"/>
      <x:c r="V209" s="1"/>
      <x:c r="W209" s="1"/>
      <x:c r="X209" s="1"/>
      <x:c r="Y209" s="1"/>
      <x:c r="Z209" s="1"/>
    </x:row>
    <x:row r="210">
      <x:c r="A210" s="1"/>
      <x:c r="B210" s="1"/>
      <x:c r="C210" s="1"/>
      <x:c r="D210" s="1"/>
      <x:c r="E210" s="1"/>
      <x:c r="F210" s="1"/>
      <x:c r="G210" s="1"/>
      <x:c r="H210" s="1"/>
      <x:c r="I210" s="1"/>
      <x:c r="J210" s="1"/>
      <x:c r="K210" s="1"/>
      <x:c r="L210" s="1"/>
      <x:c r="M210" s="1"/>
      <x:c r="N210" s="1"/>
      <x:c r="O210" s="1"/>
      <x:c r="P210" s="1"/>
      <x:c r="Q210" s="1"/>
      <x:c r="R210" s="1"/>
      <x:c r="S210" s="1"/>
      <x:c r="T210" s="1"/>
      <x:c r="U210" s="1"/>
      <x:c r="V210" s="1"/>
      <x:c r="W210" s="1"/>
      <x:c r="X210" s="1"/>
      <x:c r="Y210" s="1"/>
      <x:c r="Z210" s="1"/>
    </x:row>
    <x:row r="211">
      <x:c r="A211" s="1"/>
      <x:c r="B211" s="1"/>
      <x:c r="C211" s="1"/>
      <x:c r="D211" s="1"/>
      <x:c r="E211" s="1"/>
      <x:c r="F211" s="1"/>
      <x:c r="G211" s="1"/>
      <x:c r="H211" s="1"/>
      <x:c r="I211" s="1"/>
      <x:c r="J211" s="1"/>
      <x:c r="K211" s="1"/>
      <x:c r="L211" s="1"/>
      <x:c r="M211" s="1"/>
      <x:c r="N211" s="1"/>
      <x:c r="O211" s="1"/>
      <x:c r="P211" s="1"/>
      <x:c r="Q211" s="1"/>
      <x:c r="R211" s="1"/>
      <x:c r="S211" s="1"/>
      <x:c r="T211" s="1"/>
      <x:c r="U211" s="1"/>
      <x:c r="V211" s="1"/>
      <x:c r="W211" s="1"/>
      <x:c r="X211" s="1"/>
      <x:c r="Y211" s="1"/>
      <x:c r="Z211" s="1"/>
    </x:row>
    <x:row r="212">
      <x:c r="A212" s="1"/>
      <x:c r="B212" s="1"/>
      <x:c r="C212" s="1"/>
      <x:c r="D212" s="1"/>
      <x:c r="E212" s="1"/>
      <x:c r="F212" s="1"/>
      <x:c r="G212" s="1"/>
      <x:c r="H212" s="1"/>
      <x:c r="I212" s="1"/>
      <x:c r="J212" s="1"/>
      <x:c r="K212" s="1"/>
      <x:c r="L212" s="1"/>
      <x:c r="M212" s="1"/>
      <x:c r="N212" s="1"/>
      <x:c r="O212" s="1"/>
      <x:c r="P212" s="1"/>
      <x:c r="Q212" s="1"/>
      <x:c r="R212" s="1"/>
      <x:c r="S212" s="1"/>
      <x:c r="T212" s="1"/>
      <x:c r="U212" s="1"/>
      <x:c r="V212" s="1"/>
      <x:c r="W212" s="1"/>
      <x:c r="X212" s="1"/>
      <x:c r="Y212" s="1"/>
      <x:c r="Z212" s="1"/>
    </x:row>
    <x:row r="213">
      <x:c r="A213" s="1"/>
      <x:c r="B213" s="1"/>
      <x:c r="C213" s="1"/>
      <x:c r="D213" s="1"/>
      <x:c r="E213" s="1"/>
      <x:c r="F213" s="1"/>
      <x:c r="G213" s="1"/>
      <x:c r="H213" s="1"/>
      <x:c r="I213" s="1"/>
      <x:c r="J213" s="1"/>
      <x:c r="K213" s="1"/>
      <x:c r="L213" s="1"/>
      <x:c r="M213" s="1"/>
      <x:c r="N213" s="1"/>
      <x:c r="O213" s="1"/>
      <x:c r="P213" s="1"/>
      <x:c r="Q213" s="1"/>
      <x:c r="R213" s="1"/>
      <x:c r="S213" s="1"/>
      <x:c r="T213" s="1"/>
      <x:c r="U213" s="1"/>
      <x:c r="V213" s="1"/>
      <x:c r="W213" s="1"/>
      <x:c r="X213" s="1"/>
      <x:c r="Y213" s="1"/>
      <x:c r="Z213" s="1"/>
    </x:row>
    <x:row r="214">
      <x:c r="A214" s="1"/>
      <x:c r="B214" s="1"/>
      <x:c r="C214" s="1"/>
      <x:c r="D214" s="1"/>
      <x:c r="E214" s="1"/>
      <x:c r="F214" s="1"/>
      <x:c r="G214" s="1"/>
      <x:c r="H214" s="1"/>
      <x:c r="I214" s="1"/>
      <x:c r="J214" s="1"/>
      <x:c r="K214" s="1"/>
      <x:c r="L214" s="1"/>
      <x:c r="M214" s="1"/>
      <x:c r="N214" s="1"/>
      <x:c r="O214" s="1"/>
      <x:c r="P214" s="1"/>
      <x:c r="Q214" s="1"/>
      <x:c r="R214" s="1"/>
      <x:c r="S214" s="1"/>
      <x:c r="T214" s="1"/>
      <x:c r="U214" s="1"/>
      <x:c r="V214" s="1"/>
      <x:c r="W214" s="1"/>
      <x:c r="X214" s="1"/>
      <x:c r="Y214" s="1"/>
      <x:c r="Z214" s="1"/>
    </x:row>
    <x:row r="215">
      <x:c r="A215" s="1"/>
      <x:c r="B215" s="1"/>
      <x:c r="C215" s="1"/>
      <x:c r="D215" s="1"/>
      <x:c r="E215" s="1"/>
      <x:c r="F215" s="1"/>
      <x:c r="G215" s="1"/>
      <x:c r="H215" s="1"/>
      <x:c r="I215" s="1"/>
      <x:c r="J215" s="1"/>
      <x:c r="K215" s="1"/>
      <x:c r="L215" s="1"/>
      <x:c r="M215" s="1"/>
      <x:c r="N215" s="1"/>
      <x:c r="O215" s="1"/>
      <x:c r="P215" s="1"/>
      <x:c r="Q215" s="1"/>
      <x:c r="R215" s="1"/>
      <x:c r="S215" s="1"/>
      <x:c r="T215" s="1"/>
      <x:c r="U215" s="1"/>
      <x:c r="V215" s="1"/>
      <x:c r="W215" s="1"/>
      <x:c r="X215" s="1"/>
      <x:c r="Y215" s="1"/>
      <x:c r="Z215" s="1"/>
    </x:row>
    <x:row r="216">
      <x:c r="A216" s="1"/>
      <x:c r="B216" s="1"/>
      <x:c r="C216" s="1"/>
      <x:c r="D216" s="1"/>
      <x:c r="E216" s="1"/>
      <x:c r="F216" s="1"/>
      <x:c r="G216" s="1"/>
      <x:c r="H216" s="1"/>
      <x:c r="I216" s="1"/>
      <x:c r="J216" s="1"/>
      <x:c r="K216" s="1"/>
      <x:c r="L216" s="1"/>
      <x:c r="M216" s="1"/>
      <x:c r="N216" s="1"/>
      <x:c r="O216" s="1"/>
      <x:c r="P216" s="1"/>
      <x:c r="Q216" s="1"/>
      <x:c r="R216" s="1"/>
      <x:c r="S216" s="1"/>
      <x:c r="T216" s="1"/>
      <x:c r="U216" s="1"/>
      <x:c r="V216" s="1"/>
      <x:c r="W216" s="1"/>
      <x:c r="X216" s="1"/>
      <x:c r="Y216" s="1"/>
      <x:c r="Z216" s="1"/>
    </x:row>
    <x:row r="217">
      <x:c r="A217" s="1"/>
      <x:c r="B217" s="1"/>
      <x:c r="C217" s="1"/>
      <x:c r="D217" s="1"/>
      <x:c r="E217" s="1"/>
      <x:c r="F217" s="1"/>
      <x:c r="G217" s="1"/>
      <x:c r="H217" s="1"/>
      <x:c r="I217" s="1"/>
      <x:c r="J217" s="1"/>
      <x:c r="K217" s="1"/>
      <x:c r="L217" s="1"/>
      <x:c r="M217" s="1"/>
      <x:c r="N217" s="1"/>
      <x:c r="O217" s="1"/>
      <x:c r="P217" s="1"/>
      <x:c r="Q217" s="1"/>
      <x:c r="R217" s="1"/>
      <x:c r="S217" s="1"/>
      <x:c r="T217" s="1"/>
      <x:c r="U217" s="1"/>
      <x:c r="V217" s="1"/>
      <x:c r="W217" s="1"/>
      <x:c r="X217" s="1"/>
      <x:c r="Y217" s="1"/>
      <x:c r="Z217" s="1"/>
    </x:row>
    <x:row r="218">
      <x:c r="A218" s="1"/>
      <x:c r="B218" s="1"/>
      <x:c r="C218" s="1"/>
      <x:c r="D218" s="1"/>
      <x:c r="E218" s="1"/>
      <x:c r="F218" s="1"/>
      <x:c r="G218" s="1"/>
      <x:c r="H218" s="1"/>
      <x:c r="I218" s="1"/>
      <x:c r="J218" s="1"/>
      <x:c r="K218" s="1"/>
      <x:c r="L218" s="1"/>
      <x:c r="M218" s="1"/>
      <x:c r="N218" s="1"/>
      <x:c r="O218" s="1"/>
      <x:c r="P218" s="1"/>
      <x:c r="Q218" s="1"/>
      <x:c r="R218" s="1"/>
      <x:c r="S218" s="1"/>
      <x:c r="T218" s="1"/>
      <x:c r="U218" s="1"/>
      <x:c r="V218" s="1"/>
      <x:c r="W218" s="1"/>
      <x:c r="X218" s="1"/>
      <x:c r="Y218" s="1"/>
      <x:c r="Z218" s="1"/>
    </x:row>
    <x:row r="219">
      <x:c r="A219" s="1"/>
      <x:c r="B219" s="1"/>
      <x:c r="C219" s="1"/>
      <x:c r="D219" s="1"/>
      <x:c r="E219" s="1"/>
      <x:c r="F219" s="1"/>
      <x:c r="G219" s="1"/>
      <x:c r="H219" s="1"/>
      <x:c r="I219" s="1"/>
      <x:c r="J219" s="1"/>
      <x:c r="K219" s="1"/>
      <x:c r="L219" s="1"/>
      <x:c r="M219" s="1"/>
      <x:c r="N219" s="1"/>
      <x:c r="O219" s="1"/>
      <x:c r="P219" s="1"/>
      <x:c r="Q219" s="1"/>
      <x:c r="R219" s="1"/>
      <x:c r="S219" s="1"/>
      <x:c r="T219" s="1"/>
      <x:c r="U219" s="1"/>
      <x:c r="V219" s="1"/>
      <x:c r="W219" s="1"/>
      <x:c r="X219" s="1"/>
      <x:c r="Y219" s="1"/>
      <x:c r="Z219" s="1"/>
    </x:row>
    <x:row r="220">
      <x:c r="A220" s="1"/>
      <x:c r="B220" s="1"/>
      <x:c r="C220" s="1"/>
      <x:c r="D220" s="1"/>
      <x:c r="E220" s="1"/>
      <x:c r="F220" s="1"/>
      <x:c r="G220" s="1"/>
      <x:c r="H220" s="1"/>
      <x:c r="I220" s="1"/>
      <x:c r="J220" s="1"/>
      <x:c r="K220" s="1"/>
      <x:c r="L220" s="1"/>
      <x:c r="M220" s="1"/>
      <x:c r="N220" s="1"/>
      <x:c r="O220" s="1"/>
      <x:c r="P220" s="1"/>
      <x:c r="Q220" s="1"/>
      <x:c r="R220" s="1"/>
      <x:c r="S220" s="1"/>
      <x:c r="T220" s="1"/>
      <x:c r="U220" s="1"/>
      <x:c r="V220" s="1"/>
      <x:c r="W220" s="1"/>
      <x:c r="X220" s="1"/>
      <x:c r="Y220" s="1"/>
      <x:c r="Z220" s="1"/>
    </x:row>
    <x:row r="221">
      <x:c r="A221" s="1"/>
      <x:c r="B221" s="1"/>
      <x:c r="C221" s="1"/>
      <x:c r="D221" s="1"/>
      <x:c r="E221" s="1"/>
      <x:c r="F221" s="1"/>
      <x:c r="G221" s="1"/>
      <x:c r="H221" s="1"/>
      <x:c r="I221" s="1"/>
      <x:c r="J221" s="1"/>
      <x:c r="K221" s="1"/>
      <x:c r="L221" s="1"/>
      <x:c r="M221" s="1"/>
      <x:c r="N221" s="1"/>
      <x:c r="O221" s="1"/>
      <x:c r="P221" s="1"/>
      <x:c r="Q221" s="1"/>
      <x:c r="R221" s="1"/>
      <x:c r="S221" s="1"/>
      <x:c r="T221" s="1"/>
      <x:c r="U221" s="1"/>
      <x:c r="V221" s="1"/>
      <x:c r="W221" s="1"/>
      <x:c r="X221" s="1"/>
      <x:c r="Y221" s="1"/>
      <x:c r="Z221" s="1"/>
    </x:row>
    <x:row r="222">
      <x:c r="A222" s="1"/>
      <x:c r="B222" s="1"/>
      <x:c r="C222" s="1"/>
      <x:c r="D222" s="1"/>
      <x:c r="E222" s="1"/>
      <x:c r="F222" s="1"/>
      <x:c r="G222" s="1"/>
      <x:c r="H222" s="1"/>
      <x:c r="I222" s="1"/>
      <x:c r="J222" s="1"/>
      <x:c r="K222" s="1"/>
      <x:c r="L222" s="1"/>
      <x:c r="M222" s="1"/>
      <x:c r="N222" s="1"/>
      <x:c r="O222" s="1"/>
      <x:c r="P222" s="1"/>
      <x:c r="Q222" s="1"/>
      <x:c r="R222" s="1"/>
      <x:c r="S222" s="1"/>
      <x:c r="T222" s="1"/>
      <x:c r="U222" s="1"/>
      <x:c r="V222" s="1"/>
      <x:c r="W222" s="1"/>
      <x:c r="X222" s="1"/>
      <x:c r="Y222" s="1"/>
      <x:c r="Z222" s="1"/>
    </x:row>
    <x:row r="223">
      <x:c r="A223" s="1"/>
      <x:c r="B223" s="1"/>
      <x:c r="C223" s="1"/>
      <x:c r="D223" s="1"/>
      <x:c r="E223" s="1"/>
      <x:c r="F223" s="1"/>
      <x:c r="G223" s="1"/>
      <x:c r="H223" s="1"/>
      <x:c r="I223" s="1"/>
      <x:c r="J223" s="1"/>
      <x:c r="K223" s="1"/>
      <x:c r="L223" s="1"/>
      <x:c r="M223" s="1"/>
      <x:c r="N223" s="1"/>
      <x:c r="O223" s="1"/>
      <x:c r="P223" s="1"/>
      <x:c r="Q223" s="1"/>
      <x:c r="R223" s="1"/>
      <x:c r="S223" s="1"/>
      <x:c r="T223" s="1"/>
      <x:c r="U223" s="1"/>
      <x:c r="V223" s="1"/>
      <x:c r="W223" s="1"/>
      <x:c r="X223" s="1"/>
      <x:c r="Y223" s="1"/>
      <x:c r="Z223" s="1"/>
    </x:row>
    <x:row r="224">
      <x:c r="A224" s="1"/>
      <x:c r="B224" s="1"/>
      <x:c r="C224" s="1"/>
      <x:c r="D224" s="1"/>
      <x:c r="E224" s="1"/>
      <x:c r="F224" s="1"/>
      <x:c r="G224" s="1"/>
      <x:c r="H224" s="1"/>
      <x:c r="I224" s="1"/>
      <x:c r="J224" s="1"/>
      <x:c r="K224" s="1"/>
      <x:c r="L224" s="1"/>
      <x:c r="M224" s="1"/>
      <x:c r="N224" s="1"/>
      <x:c r="O224" s="1"/>
      <x:c r="P224" s="1"/>
      <x:c r="Q224" s="1"/>
      <x:c r="R224" s="1"/>
      <x:c r="S224" s="1"/>
      <x:c r="T224" s="1"/>
      <x:c r="U224" s="1"/>
      <x:c r="V224" s="1"/>
      <x:c r="W224" s="1"/>
      <x:c r="X224" s="1"/>
      <x:c r="Y224" s="1"/>
      <x:c r="Z224" s="1"/>
    </x:row>
    <x:row r="225">
      <x:c r="A225" s="1"/>
      <x:c r="B225" s="1"/>
      <x:c r="C225" s="1"/>
      <x:c r="D225" s="1"/>
      <x:c r="E225" s="1"/>
      <x:c r="F225" s="1"/>
      <x:c r="G225" s="1"/>
      <x:c r="H225" s="1"/>
      <x:c r="I225" s="1"/>
      <x:c r="J225" s="1"/>
      <x:c r="K225" s="1"/>
      <x:c r="L225" s="1"/>
      <x:c r="M225" s="1"/>
      <x:c r="N225" s="1"/>
      <x:c r="O225" s="1"/>
      <x:c r="P225" s="1"/>
      <x:c r="Q225" s="1"/>
      <x:c r="R225" s="1"/>
      <x:c r="S225" s="1"/>
      <x:c r="T225" s="1"/>
      <x:c r="U225" s="1"/>
      <x:c r="V225" s="1"/>
      <x:c r="W225" s="1"/>
      <x:c r="X225" s="1"/>
      <x:c r="Y225" s="1"/>
      <x:c r="Z225" s="1"/>
    </x:row>
    <x:row r="226">
      <x:c r="A226" s="1"/>
      <x:c r="B226" s="1"/>
      <x:c r="C226" s="1"/>
      <x:c r="D226" s="1"/>
      <x:c r="E226" s="1"/>
      <x:c r="F226" s="1"/>
      <x:c r="G226" s="1"/>
      <x:c r="H226" s="1"/>
      <x:c r="I226" s="1"/>
      <x:c r="J226" s="1"/>
      <x:c r="K226" s="1"/>
      <x:c r="L226" s="1"/>
      <x:c r="M226" s="1"/>
      <x:c r="N226" s="1"/>
      <x:c r="O226" s="1"/>
      <x:c r="P226" s="1"/>
      <x:c r="Q226" s="1"/>
      <x:c r="R226" s="1"/>
      <x:c r="S226" s="1"/>
      <x:c r="T226" s="1"/>
      <x:c r="U226" s="1"/>
      <x:c r="V226" s="1"/>
      <x:c r="W226" s="1"/>
      <x:c r="X226" s="1"/>
      <x:c r="Y226" s="1"/>
      <x:c r="Z226" s="1"/>
    </x:row>
    <x:row r="227">
      <x:c r="A227" s="1"/>
      <x:c r="B227" s="1"/>
      <x:c r="C227" s="1"/>
      <x:c r="D227" s="1"/>
      <x:c r="E227" s="1"/>
      <x:c r="F227" s="1"/>
      <x:c r="G227" s="1"/>
      <x:c r="H227" s="1"/>
      <x:c r="I227" s="1"/>
      <x:c r="J227" s="1"/>
      <x:c r="K227" s="1"/>
      <x:c r="L227" s="1"/>
      <x:c r="M227" s="1"/>
      <x:c r="N227" s="1"/>
      <x:c r="O227" s="1"/>
      <x:c r="P227" s="1"/>
      <x:c r="Q227" s="1"/>
      <x:c r="R227" s="1"/>
      <x:c r="S227" s="1"/>
      <x:c r="T227" s="1"/>
      <x:c r="U227" s="1"/>
      <x:c r="V227" s="1"/>
      <x:c r="W227" s="1"/>
      <x:c r="X227" s="1"/>
      <x:c r="Y227" s="1"/>
      <x:c r="Z227" s="1"/>
    </x:row>
    <x:row r="228">
      <x:c r="A228" s="1"/>
      <x:c r="B228" s="1"/>
      <x:c r="C228" s="1"/>
      <x:c r="D228" s="1"/>
      <x:c r="E228" s="1"/>
      <x:c r="F228" s="1"/>
      <x:c r="G228" s="1"/>
      <x:c r="H228" s="1"/>
      <x:c r="I228" s="1"/>
      <x:c r="J228" s="1"/>
      <x:c r="K228" s="1"/>
      <x:c r="L228" s="1"/>
      <x:c r="M228" s="1"/>
      <x:c r="N228" s="1"/>
      <x:c r="O228" s="1"/>
      <x:c r="P228" s="1"/>
      <x:c r="Q228" s="1"/>
      <x:c r="R228" s="1"/>
      <x:c r="S228" s="1"/>
      <x:c r="T228" s="1"/>
      <x:c r="U228" s="1"/>
      <x:c r="V228" s="1"/>
      <x:c r="W228" s="1"/>
      <x:c r="X228" s="1"/>
      <x:c r="Y228" s="1"/>
      <x:c r="Z228" s="1"/>
    </x:row>
    <x:row r="229">
      <x:c r="A229" s="1"/>
      <x:c r="B229" s="1"/>
      <x:c r="C229" s="1"/>
      <x:c r="D229" s="1"/>
      <x:c r="E229" s="1"/>
      <x:c r="F229" s="1"/>
      <x:c r="G229" s="1"/>
      <x:c r="H229" s="1"/>
      <x:c r="I229" s="1"/>
      <x:c r="J229" s="1"/>
      <x:c r="K229" s="1"/>
      <x:c r="L229" s="1"/>
      <x:c r="M229" s="1"/>
      <x:c r="N229" s="1"/>
      <x:c r="O229" s="1"/>
      <x:c r="P229" s="1"/>
      <x:c r="Q229" s="1"/>
      <x:c r="R229" s="1"/>
      <x:c r="S229" s="1"/>
      <x:c r="T229" s="1"/>
      <x:c r="U229" s="1"/>
      <x:c r="V229" s="1"/>
      <x:c r="W229" s="1"/>
      <x:c r="X229" s="1"/>
      <x:c r="Y229" s="1"/>
      <x:c r="Z229" s="1"/>
    </x:row>
    <x:row r="230">
      <x:c r="A230" s="1"/>
      <x:c r="B230" s="1"/>
      <x:c r="C230" s="1"/>
      <x:c r="D230" s="1"/>
      <x:c r="E230" s="1"/>
      <x:c r="F230" s="1"/>
      <x:c r="G230" s="1"/>
      <x:c r="H230" s="1"/>
      <x:c r="I230" s="1"/>
      <x:c r="J230" s="1"/>
      <x:c r="K230" s="1"/>
      <x:c r="L230" s="1"/>
      <x:c r="M230" s="1"/>
      <x:c r="N230" s="1"/>
      <x:c r="O230" s="1"/>
      <x:c r="P230" s="1"/>
      <x:c r="Q230" s="1"/>
      <x:c r="R230" s="1"/>
      <x:c r="S230" s="1"/>
      <x:c r="T230" s="1"/>
      <x:c r="U230" s="1"/>
      <x:c r="V230" s="1"/>
      <x:c r="W230" s="1"/>
      <x:c r="X230" s="1"/>
      <x:c r="Y230" s="1"/>
      <x:c r="Z230" s="1"/>
    </x:row>
    <x:row r="231">
      <x:c r="A231" s="1"/>
      <x:c r="B231" s="1"/>
      <x:c r="C231" s="1"/>
      <x:c r="D231" s="1"/>
      <x:c r="E231" s="1"/>
      <x:c r="F231" s="1"/>
      <x:c r="G231" s="1"/>
      <x:c r="H231" s="1"/>
      <x:c r="I231" s="1"/>
      <x:c r="J231" s="1"/>
      <x:c r="K231" s="1"/>
      <x:c r="L231" s="1"/>
      <x:c r="M231" s="1"/>
      <x:c r="N231" s="1"/>
      <x:c r="O231" s="1"/>
      <x:c r="P231" s="1"/>
      <x:c r="Q231" s="1"/>
      <x:c r="R231" s="1"/>
      <x:c r="S231" s="1"/>
      <x:c r="T231" s="1"/>
      <x:c r="U231" s="1"/>
      <x:c r="V231" s="1"/>
      <x:c r="W231" s="1"/>
      <x:c r="X231" s="1"/>
      <x:c r="Y231" s="1"/>
      <x:c r="Z231" s="1"/>
    </x:row>
    <x:row r="232">
      <x:c r="A232" s="1"/>
      <x:c r="B232" s="1"/>
      <x:c r="C232" s="1"/>
      <x:c r="D232" s="1"/>
      <x:c r="E232" s="1"/>
      <x:c r="F232" s="1"/>
      <x:c r="G232" s="1"/>
      <x:c r="H232" s="1"/>
      <x:c r="I232" s="1"/>
      <x:c r="J232" s="1"/>
      <x:c r="K232" s="1"/>
      <x:c r="L232" s="1"/>
      <x:c r="M232" s="1"/>
      <x:c r="N232" s="1"/>
      <x:c r="O232" s="1"/>
      <x:c r="P232" s="1"/>
      <x:c r="Q232" s="1"/>
      <x:c r="R232" s="1"/>
      <x:c r="S232" s="1"/>
      <x:c r="T232" s="1"/>
      <x:c r="U232" s="1"/>
      <x:c r="V232" s="1"/>
      <x:c r="W232" s="1"/>
      <x:c r="X232" s="1"/>
      <x:c r="Y232" s="1"/>
      <x:c r="Z232" s="1"/>
    </x:row>
    <x:row r="233">
      <x:c r="A233" s="1"/>
      <x:c r="B233" s="1"/>
      <x:c r="C233" s="1"/>
      <x:c r="D233" s="1"/>
      <x:c r="E233" s="1"/>
      <x:c r="F233" s="1"/>
      <x:c r="G233" s="1"/>
      <x:c r="H233" s="1"/>
      <x:c r="I233" s="1"/>
      <x:c r="J233" s="1"/>
      <x:c r="K233" s="1"/>
      <x:c r="L233" s="1"/>
      <x:c r="M233" s="1"/>
      <x:c r="N233" s="1"/>
      <x:c r="O233" s="1"/>
      <x:c r="P233" s="1"/>
      <x:c r="Q233" s="1"/>
      <x:c r="R233" s="1"/>
      <x:c r="S233" s="1"/>
      <x:c r="T233" s="1"/>
      <x:c r="U233" s="1"/>
      <x:c r="V233" s="1"/>
      <x:c r="W233" s="1"/>
      <x:c r="X233" s="1"/>
      <x:c r="Y233" s="1"/>
      <x:c r="Z233" s="1"/>
    </x:row>
    <x:row r="234">
      <x:c r="A234" s="1"/>
      <x:c r="B234" s="1"/>
      <x:c r="C234" s="1"/>
      <x:c r="D234" s="1"/>
      <x:c r="E234" s="1"/>
      <x:c r="F234" s="1"/>
      <x:c r="G234" s="1"/>
      <x:c r="H234" s="1"/>
      <x:c r="I234" s="1"/>
      <x:c r="J234" s="1"/>
      <x:c r="K234" s="1"/>
      <x:c r="L234" s="1"/>
      <x:c r="M234" s="1"/>
      <x:c r="N234" s="1"/>
      <x:c r="O234" s="1"/>
      <x:c r="P234" s="1"/>
      <x:c r="Q234" s="1"/>
      <x:c r="R234" s="1"/>
      <x:c r="S234" s="1"/>
      <x:c r="T234" s="1"/>
      <x:c r="U234" s="1"/>
      <x:c r="V234" s="1"/>
      <x:c r="W234" s="1"/>
      <x:c r="X234" s="1"/>
      <x:c r="Y234" s="1"/>
      <x:c r="Z234" s="1"/>
    </x:row>
    <x:row r="235">
      <x:c r="A235" s="1"/>
      <x:c r="B235" s="1"/>
      <x:c r="C235" s="1"/>
      <x:c r="D235" s="1"/>
      <x:c r="E235" s="1"/>
      <x:c r="F235" s="1"/>
      <x:c r="G235" s="1"/>
      <x:c r="H235" s="1"/>
      <x:c r="I235" s="1"/>
      <x:c r="J235" s="1"/>
      <x:c r="K235" s="1"/>
      <x:c r="L235" s="1"/>
      <x:c r="M235" s="1"/>
      <x:c r="N235" s="1"/>
      <x:c r="O235" s="1"/>
      <x:c r="P235" s="1"/>
      <x:c r="Q235" s="1"/>
      <x:c r="R235" s="1"/>
      <x:c r="S235" s="1"/>
      <x:c r="T235" s="1"/>
      <x:c r="U235" s="1"/>
      <x:c r="V235" s="1"/>
      <x:c r="W235" s="1"/>
      <x:c r="X235" s="1"/>
      <x:c r="Y235" s="1"/>
      <x:c r="Z235" s="1"/>
    </x:row>
    <x:row r="236">
      <x:c r="A236" s="1"/>
      <x:c r="B236" s="1"/>
      <x:c r="C236" s="1"/>
      <x:c r="D236" s="1"/>
      <x:c r="E236" s="1"/>
      <x:c r="F236" s="1"/>
      <x:c r="G236" s="1"/>
      <x:c r="H236" s="1"/>
      <x:c r="I236" s="1"/>
      <x:c r="J236" s="1"/>
      <x:c r="K236" s="1"/>
      <x:c r="L236" s="1"/>
      <x:c r="M236" s="1"/>
      <x:c r="N236" s="1"/>
      <x:c r="O236" s="1"/>
      <x:c r="P236" s="1"/>
      <x:c r="Q236" s="1"/>
      <x:c r="R236" s="1"/>
      <x:c r="S236" s="1"/>
      <x:c r="T236" s="1"/>
      <x:c r="U236" s="1"/>
      <x:c r="V236" s="1"/>
      <x:c r="W236" s="1"/>
      <x:c r="X236" s="1"/>
      <x:c r="Y236" s="1"/>
      <x:c r="Z236" s="1"/>
    </x:row>
    <x:row r="237">
      <x:c r="A237" s="1"/>
      <x:c r="B237" s="1"/>
      <x:c r="C237" s="1"/>
      <x:c r="D237" s="1"/>
      <x:c r="E237" s="1"/>
      <x:c r="F237" s="1"/>
      <x:c r="G237" s="1"/>
      <x:c r="H237" s="1"/>
      <x:c r="I237" s="1"/>
      <x:c r="J237" s="1"/>
      <x:c r="K237" s="1"/>
      <x:c r="L237" s="1"/>
      <x:c r="M237" s="1"/>
      <x:c r="N237" s="1"/>
      <x:c r="O237" s="1"/>
      <x:c r="P237" s="1"/>
      <x:c r="Q237" s="1"/>
      <x:c r="R237" s="1"/>
      <x:c r="S237" s="1"/>
      <x:c r="T237" s="1"/>
      <x:c r="U237" s="1"/>
      <x:c r="V237" s="1"/>
      <x:c r="W237" s="1"/>
      <x:c r="X237" s="1"/>
      <x:c r="Y237" s="1"/>
      <x:c r="Z237" s="1"/>
    </x:row>
    <x:row r="238">
      <x:c r="A238" s="1"/>
      <x:c r="B238" s="1"/>
      <x:c r="C238" s="1"/>
      <x:c r="D238" s="1"/>
      <x:c r="E238" s="1"/>
      <x:c r="F238" s="1"/>
      <x:c r="G238" s="1"/>
      <x:c r="H238" s="1"/>
      <x:c r="I238" s="1"/>
      <x:c r="J238" s="1"/>
      <x:c r="K238" s="1"/>
      <x:c r="L238" s="1"/>
      <x:c r="M238" s="1"/>
      <x:c r="N238" s="1"/>
      <x:c r="O238" s="1"/>
      <x:c r="P238" s="1"/>
      <x:c r="Q238" s="1"/>
      <x:c r="R238" s="1"/>
      <x:c r="S238" s="1"/>
      <x:c r="T238" s="1"/>
      <x:c r="U238" s="1"/>
      <x:c r="V238" s="1"/>
      <x:c r="W238" s="1"/>
      <x:c r="X238" s="1"/>
      <x:c r="Y238" s="1"/>
      <x:c r="Z238" s="1"/>
    </x:row>
    <x:row r="239">
      <x:c r="A239" s="1"/>
      <x:c r="B239" s="1"/>
      <x:c r="C239" s="1"/>
      <x:c r="D239" s="1"/>
      <x:c r="E239" s="1"/>
      <x:c r="F239" s="1"/>
      <x:c r="G239" s="1"/>
      <x:c r="H239" s="1"/>
      <x:c r="I239" s="1"/>
      <x:c r="J239" s="1"/>
      <x:c r="K239" s="1"/>
      <x:c r="L239" s="1"/>
      <x:c r="M239" s="1"/>
      <x:c r="N239" s="1"/>
      <x:c r="O239" s="1"/>
      <x:c r="P239" s="1"/>
      <x:c r="Q239" s="1"/>
      <x:c r="R239" s="1"/>
      <x:c r="S239" s="1"/>
      <x:c r="T239" s="1"/>
      <x:c r="U239" s="1"/>
      <x:c r="V239" s="1"/>
      <x:c r="W239" s="1"/>
      <x:c r="X239" s="1"/>
      <x:c r="Y239" s="1"/>
      <x:c r="Z239" s="1"/>
    </x:row>
    <x:row r="240">
      <x:c r="A240" s="1"/>
      <x:c r="B240" s="1"/>
      <x:c r="C240" s="1"/>
      <x:c r="D240" s="1"/>
      <x:c r="E240" s="1"/>
      <x:c r="F240" s="1"/>
      <x:c r="G240" s="1"/>
      <x:c r="H240" s="1"/>
      <x:c r="I240" s="1"/>
      <x:c r="J240" s="1"/>
      <x:c r="K240" s="1"/>
      <x:c r="L240" s="1"/>
      <x:c r="M240" s="1"/>
      <x:c r="N240" s="1"/>
      <x:c r="O240" s="1"/>
      <x:c r="P240" s="1"/>
      <x:c r="Q240" s="1"/>
      <x:c r="R240" s="1"/>
      <x:c r="S240" s="1"/>
      <x:c r="T240" s="1"/>
      <x:c r="U240" s="1"/>
      <x:c r="V240" s="1"/>
      <x:c r="W240" s="1"/>
      <x:c r="X240" s="1"/>
      <x:c r="Y240" s="1"/>
      <x:c r="Z240" s="1"/>
    </x:row>
    <x:row r="241">
      <x:c r="A241" s="1"/>
      <x:c r="B241" s="1"/>
      <x:c r="C241" s="1"/>
      <x:c r="D241" s="1"/>
      <x:c r="E241" s="1"/>
      <x:c r="F241" s="1"/>
      <x:c r="G241" s="1"/>
      <x:c r="H241" s="1"/>
      <x:c r="I241" s="1"/>
      <x:c r="J241" s="1"/>
      <x:c r="K241" s="1"/>
      <x:c r="L241" s="1"/>
      <x:c r="M241" s="1"/>
      <x:c r="N241" s="1"/>
      <x:c r="O241" s="1"/>
      <x:c r="P241" s="1"/>
      <x:c r="Q241" s="1"/>
      <x:c r="R241" s="1"/>
      <x:c r="S241" s="1"/>
      <x:c r="T241" s="1"/>
      <x:c r="U241" s="1"/>
      <x:c r="V241" s="1"/>
      <x:c r="W241" s="1"/>
      <x:c r="X241" s="1"/>
      <x:c r="Y241" s="1"/>
      <x:c r="Z241" s="1"/>
    </x:row>
    <x:row r="242">
      <x:c r="A242" s="1"/>
      <x:c r="B242" s="1"/>
      <x:c r="C242" s="1"/>
      <x:c r="D242" s="1"/>
      <x:c r="E242" s="1"/>
      <x:c r="F242" s="1"/>
      <x:c r="G242" s="1"/>
      <x:c r="H242" s="1"/>
      <x:c r="I242" s="1"/>
      <x:c r="J242" s="1"/>
      <x:c r="K242" s="1"/>
      <x:c r="L242" s="1"/>
      <x:c r="M242" s="1"/>
      <x:c r="N242" s="1"/>
      <x:c r="O242" s="1"/>
      <x:c r="P242" s="1"/>
      <x:c r="Q242" s="1"/>
      <x:c r="R242" s="1"/>
      <x:c r="S242" s="1"/>
      <x:c r="T242" s="1"/>
      <x:c r="U242" s="1"/>
      <x:c r="V242" s="1"/>
      <x:c r="W242" s="1"/>
      <x:c r="X242" s="1"/>
      <x:c r="Y242" s="1"/>
      <x:c r="Z242" s="1"/>
    </x:row>
    <x:row r="243">
      <x:c r="A243" s="1"/>
      <x:c r="B243" s="1"/>
      <x:c r="C243" s="1"/>
      <x:c r="D243" s="1"/>
      <x:c r="E243" s="1"/>
      <x:c r="F243" s="1"/>
      <x:c r="G243" s="1"/>
      <x:c r="H243" s="1"/>
      <x:c r="I243" s="1"/>
      <x:c r="J243" s="1"/>
      <x:c r="K243" s="1"/>
      <x:c r="L243" s="1"/>
      <x:c r="M243" s="1"/>
      <x:c r="N243" s="1"/>
      <x:c r="O243" s="1"/>
      <x:c r="P243" s="1"/>
      <x:c r="Q243" s="1"/>
      <x:c r="R243" s="1"/>
      <x:c r="S243" s="1"/>
      <x:c r="T243" s="1"/>
      <x:c r="U243" s="1"/>
      <x:c r="V243" s="1"/>
      <x:c r="W243" s="1"/>
      <x:c r="X243" s="1"/>
      <x:c r="Y243" s="1"/>
      <x:c r="Z243" s="1"/>
    </x:row>
    <x:row r="244">
      <x:c r="A244" s="1"/>
      <x:c r="B244" s="1"/>
      <x:c r="C244" s="1"/>
      <x:c r="D244" s="1"/>
      <x:c r="E244" s="1"/>
      <x:c r="F244" s="1"/>
      <x:c r="G244" s="1"/>
      <x:c r="H244" s="1"/>
      <x:c r="I244" s="1"/>
      <x:c r="J244" s="1"/>
      <x:c r="K244" s="1"/>
      <x:c r="L244" s="1"/>
      <x:c r="M244" s="1"/>
      <x:c r="N244" s="1"/>
      <x:c r="O244" s="1"/>
      <x:c r="P244" s="1"/>
      <x:c r="Q244" s="1"/>
      <x:c r="R244" s="1"/>
      <x:c r="S244" s="1"/>
      <x:c r="T244" s="1"/>
      <x:c r="U244" s="1"/>
      <x:c r="V244" s="1"/>
      <x:c r="W244" s="1"/>
      <x:c r="X244" s="1"/>
      <x:c r="Y244" s="1"/>
      <x:c r="Z244" s="1"/>
    </x:row>
    <x:row r="245">
      <x:c r="A245" s="1"/>
      <x:c r="B245" s="1"/>
      <x:c r="C245" s="1"/>
      <x:c r="D245" s="1"/>
      <x:c r="E245" s="1"/>
      <x:c r="F245" s="1"/>
      <x:c r="G245" s="1"/>
      <x:c r="H245" s="1"/>
      <x:c r="I245" s="1"/>
      <x:c r="J245" s="1"/>
      <x:c r="K245" s="1"/>
      <x:c r="L245" s="1"/>
      <x:c r="M245" s="1"/>
      <x:c r="N245" s="1"/>
      <x:c r="O245" s="1"/>
      <x:c r="P245" s="1"/>
      <x:c r="Q245" s="1"/>
      <x:c r="R245" s="1"/>
      <x:c r="S245" s="1"/>
      <x:c r="T245" s="1"/>
      <x:c r="U245" s="1"/>
      <x:c r="V245" s="1"/>
      <x:c r="W245" s="1"/>
      <x:c r="X245" s="1"/>
      <x:c r="Y245" s="1"/>
      <x:c r="Z245" s="1"/>
    </x:row>
    <x:row r="246">
      <x:c r="A246" s="1"/>
      <x:c r="B246" s="1"/>
      <x:c r="C246" s="1"/>
      <x:c r="D246" s="1"/>
      <x:c r="E246" s="1"/>
      <x:c r="F246" s="1"/>
      <x:c r="G246" s="1"/>
      <x:c r="H246" s="1"/>
      <x:c r="I246" s="1"/>
      <x:c r="J246" s="1"/>
      <x:c r="K246" s="1"/>
      <x:c r="L246" s="1"/>
      <x:c r="M246" s="1"/>
      <x:c r="N246" s="1"/>
      <x:c r="O246" s="1"/>
      <x:c r="P246" s="1"/>
      <x:c r="Q246" s="1"/>
      <x:c r="R246" s="1"/>
      <x:c r="S246" s="1"/>
      <x:c r="T246" s="1"/>
      <x:c r="U246" s="1"/>
      <x:c r="V246" s="1"/>
      <x:c r="W246" s="1"/>
      <x:c r="X246" s="1"/>
      <x:c r="Y246" s="1"/>
      <x:c r="Z246" s="1"/>
    </x:row>
    <x:row r="247">
      <x:c r="A247" s="1"/>
      <x:c r="B247" s="1"/>
      <x:c r="C247" s="1"/>
      <x:c r="D247" s="1"/>
      <x:c r="E247" s="1"/>
      <x:c r="F247" s="1"/>
      <x:c r="G247" s="1"/>
      <x:c r="H247" s="1"/>
      <x:c r="I247" s="1"/>
      <x:c r="J247" s="1"/>
      <x:c r="K247" s="1"/>
      <x:c r="L247" s="1"/>
      <x:c r="M247" s="1"/>
      <x:c r="N247" s="1"/>
      <x:c r="O247" s="1"/>
      <x:c r="P247" s="1"/>
      <x:c r="Q247" s="1"/>
      <x:c r="R247" s="1"/>
      <x:c r="S247" s="1"/>
      <x:c r="T247" s="1"/>
      <x:c r="U247" s="1"/>
      <x:c r="V247" s="1"/>
      <x:c r="W247" s="1"/>
      <x:c r="X247" s="1"/>
      <x:c r="Y247" s="1"/>
      <x:c r="Z247" s="1"/>
    </x:row>
    <x:row r="248">
      <x:c r="A248" s="1"/>
      <x:c r="B248" s="1"/>
      <x:c r="C248" s="1"/>
      <x:c r="D248" s="1"/>
      <x:c r="E248" s="1"/>
      <x:c r="F248" s="1"/>
      <x:c r="G248" s="1"/>
      <x:c r="H248" s="1"/>
      <x:c r="I248" s="1"/>
      <x:c r="J248" s="1"/>
      <x:c r="K248" s="1"/>
      <x:c r="L248" s="1"/>
      <x:c r="M248" s="1"/>
      <x:c r="N248" s="1"/>
      <x:c r="O248" s="1"/>
      <x:c r="P248" s="1"/>
      <x:c r="Q248" s="1"/>
      <x:c r="R248" s="1"/>
      <x:c r="S248" s="1"/>
      <x:c r="T248" s="1"/>
      <x:c r="U248" s="1"/>
      <x:c r="V248" s="1"/>
      <x:c r="W248" s="1"/>
      <x:c r="X248" s="1"/>
      <x:c r="Y248" s="1"/>
      <x:c r="Z248" s="1"/>
    </x:row>
    <x:row r="249">
      <x:c r="A249" s="1"/>
      <x:c r="B249" s="1"/>
      <x:c r="C249" s="1"/>
      <x:c r="D249" s="1"/>
      <x:c r="E249" s="1"/>
      <x:c r="F249" s="1"/>
      <x:c r="G249" s="1"/>
      <x:c r="H249" s="1"/>
      <x:c r="I249" s="1"/>
      <x:c r="J249" s="1"/>
      <x:c r="K249" s="1"/>
      <x:c r="L249" s="1"/>
      <x:c r="M249" s="1"/>
      <x:c r="N249" s="1"/>
      <x:c r="O249" s="1"/>
      <x:c r="P249" s="1"/>
      <x:c r="Q249" s="1"/>
      <x:c r="R249" s="1"/>
      <x:c r="S249" s="1"/>
      <x:c r="T249" s="1"/>
      <x:c r="U249" s="1"/>
      <x:c r="V249" s="1"/>
      <x:c r="W249" s="1"/>
      <x:c r="X249" s="1"/>
      <x:c r="Y249" s="1"/>
      <x:c r="Z249" s="1"/>
    </x:row>
    <x:row r="250">
      <x:c r="A250" s="1"/>
      <x:c r="B250" s="1"/>
      <x:c r="C250" s="1"/>
      <x:c r="D250" s="1"/>
      <x:c r="E250" s="1"/>
      <x:c r="F250" s="1"/>
      <x:c r="G250" s="1"/>
      <x:c r="H250" s="1"/>
      <x:c r="I250" s="1"/>
      <x:c r="J250" s="1"/>
      <x:c r="K250" s="1"/>
      <x:c r="L250" s="1"/>
      <x:c r="M250" s="1"/>
      <x:c r="N250" s="1"/>
      <x:c r="O250" s="1"/>
      <x:c r="P250" s="1"/>
      <x:c r="Q250" s="1"/>
      <x:c r="R250" s="1"/>
      <x:c r="S250" s="1"/>
      <x:c r="T250" s="1"/>
      <x:c r="U250" s="1"/>
      <x:c r="V250" s="1"/>
      <x:c r="W250" s="1"/>
      <x:c r="X250" s="1"/>
      <x:c r="Y250" s="1"/>
      <x:c r="Z250" s="1"/>
    </x:row>
    <x:row r="251">
      <x:c r="A251" s="1"/>
      <x:c r="B251" s="1"/>
      <x:c r="C251" s="1"/>
      <x:c r="D251" s="1"/>
      <x:c r="E251" s="1"/>
      <x:c r="F251" s="1"/>
      <x:c r="G251" s="1"/>
      <x:c r="H251" s="1"/>
      <x:c r="I251" s="1"/>
      <x:c r="J251" s="1"/>
      <x:c r="K251" s="1"/>
      <x:c r="L251" s="1"/>
      <x:c r="M251" s="1"/>
      <x:c r="N251" s="1"/>
      <x:c r="O251" s="1"/>
      <x:c r="P251" s="1"/>
      <x:c r="Q251" s="1"/>
      <x:c r="R251" s="1"/>
      <x:c r="S251" s="1"/>
      <x:c r="T251" s="1"/>
      <x:c r="U251" s="1"/>
      <x:c r="V251" s="1"/>
      <x:c r="W251" s="1"/>
      <x:c r="X251" s="1"/>
      <x:c r="Y251" s="1"/>
      <x:c r="Z251" s="1"/>
    </x:row>
    <x:row r="252">
      <x:c r="A252" s="1"/>
      <x:c r="B252" s="1"/>
      <x:c r="C252" s="1"/>
      <x:c r="D252" s="1"/>
      <x:c r="E252" s="1"/>
      <x:c r="F252" s="1"/>
      <x:c r="G252" s="1"/>
      <x:c r="H252" s="1"/>
      <x:c r="I252" s="1"/>
      <x:c r="J252" s="1"/>
      <x:c r="K252" s="1"/>
      <x:c r="L252" s="1"/>
      <x:c r="M252" s="1"/>
      <x:c r="N252" s="1"/>
      <x:c r="O252" s="1"/>
      <x:c r="P252" s="1"/>
      <x:c r="Q252" s="1"/>
      <x:c r="R252" s="1"/>
      <x:c r="S252" s="1"/>
      <x:c r="T252" s="1"/>
      <x:c r="U252" s="1"/>
      <x:c r="V252" s="1"/>
      <x:c r="W252" s="1"/>
      <x:c r="X252" s="1"/>
      <x:c r="Y252" s="1"/>
      <x:c r="Z252" s="1"/>
    </x:row>
    <x:row r="253">
      <x:c r="A253" s="1"/>
      <x:c r="B253" s="1"/>
      <x:c r="C253" s="1"/>
      <x:c r="D253" s="1"/>
      <x:c r="E253" s="1"/>
      <x:c r="F253" s="1"/>
      <x:c r="G253" s="1"/>
      <x:c r="H253" s="1"/>
      <x:c r="I253" s="1"/>
      <x:c r="J253" s="1"/>
      <x:c r="K253" s="1"/>
      <x:c r="L253" s="1"/>
      <x:c r="M253" s="1"/>
      <x:c r="N253" s="1"/>
      <x:c r="O253" s="1"/>
      <x:c r="P253" s="1"/>
      <x:c r="Q253" s="1"/>
      <x:c r="R253" s="1"/>
      <x:c r="S253" s="1"/>
      <x:c r="T253" s="1"/>
      <x:c r="U253" s="1"/>
      <x:c r="V253" s="1"/>
      <x:c r="W253" s="1"/>
      <x:c r="X253" s="1"/>
      <x:c r="Y253" s="1"/>
      <x:c r="Z253" s="1"/>
    </x:row>
    <x:row r="254">
      <x:c r="A254" s="1"/>
      <x:c r="B254" s="1"/>
      <x:c r="C254" s="1"/>
      <x:c r="D254" s="1"/>
      <x:c r="E254" s="1"/>
      <x:c r="F254" s="1"/>
      <x:c r="G254" s="1"/>
      <x:c r="H254" s="1"/>
      <x:c r="I254" s="1"/>
      <x:c r="J254" s="1"/>
      <x:c r="K254" s="1"/>
      <x:c r="L254" s="1"/>
      <x:c r="M254" s="1"/>
      <x:c r="N254" s="1"/>
      <x:c r="O254" s="1"/>
      <x:c r="P254" s="1"/>
      <x:c r="Q254" s="1"/>
      <x:c r="R254" s="1"/>
      <x:c r="S254" s="1"/>
      <x:c r="T254" s="1"/>
      <x:c r="U254" s="1"/>
      <x:c r="V254" s="1"/>
      <x:c r="W254" s="1"/>
      <x:c r="X254" s="1"/>
      <x:c r="Y254" s="1"/>
      <x:c r="Z254" s="1"/>
    </x:row>
    <x:row r="255">
      <x:c r="A255" s="1"/>
      <x:c r="B255" s="1"/>
      <x:c r="C255" s="1"/>
      <x:c r="D255" s="1"/>
      <x:c r="E255" s="1"/>
      <x:c r="F255" s="1"/>
      <x:c r="G255" s="1"/>
      <x:c r="H255" s="1"/>
      <x:c r="I255" s="1"/>
      <x:c r="J255" s="1"/>
      <x:c r="K255" s="1"/>
      <x:c r="L255" s="1"/>
      <x:c r="M255" s="1"/>
      <x:c r="N255" s="1"/>
      <x:c r="O255" s="1"/>
      <x:c r="P255" s="1"/>
      <x:c r="Q255" s="1"/>
      <x:c r="R255" s="1"/>
      <x:c r="S255" s="1"/>
      <x:c r="T255" s="1"/>
      <x:c r="U255" s="1"/>
      <x:c r="V255" s="1"/>
      <x:c r="W255" s="1"/>
      <x:c r="X255" s="1"/>
      <x:c r="Y255" s="1"/>
      <x:c r="Z255" s="1"/>
    </x:row>
    <x:row r="256">
      <x:c r="A256" s="1"/>
      <x:c r="B256" s="1"/>
      <x:c r="C256" s="1"/>
      <x:c r="D256" s="1"/>
      <x:c r="E256" s="1"/>
      <x:c r="F256" s="1"/>
      <x:c r="G256" s="1"/>
      <x:c r="H256" s="1"/>
      <x:c r="I256" s="1"/>
      <x:c r="J256" s="1"/>
      <x:c r="K256" s="1"/>
      <x:c r="L256" s="1"/>
      <x:c r="M256" s="1"/>
      <x:c r="N256" s="1"/>
      <x:c r="O256" s="1"/>
      <x:c r="P256" s="1"/>
      <x:c r="Q256" s="1"/>
      <x:c r="R256" s="1"/>
      <x:c r="S256" s="1"/>
      <x:c r="T256" s="1"/>
      <x:c r="U256" s="1"/>
      <x:c r="V256" s="1"/>
      <x:c r="W256" s="1"/>
      <x:c r="X256" s="1"/>
      <x:c r="Y256" s="1"/>
      <x:c r="Z256" s="1"/>
    </x:row>
    <x:row r="257">
      <x:c r="A257" s="1"/>
      <x:c r="B257" s="1"/>
      <x:c r="C257" s="1"/>
      <x:c r="D257" s="1"/>
      <x:c r="E257" s="1"/>
      <x:c r="F257" s="1"/>
      <x:c r="G257" s="1"/>
      <x:c r="H257" s="1"/>
      <x:c r="I257" s="1"/>
      <x:c r="J257" s="1"/>
      <x:c r="K257" s="1"/>
      <x:c r="L257" s="1"/>
      <x:c r="M257" s="1"/>
      <x:c r="N257" s="1"/>
      <x:c r="O257" s="1"/>
      <x:c r="P257" s="1"/>
      <x:c r="Q257" s="1"/>
      <x:c r="R257" s="1"/>
      <x:c r="S257" s="1"/>
      <x:c r="T257" s="1"/>
      <x:c r="U257" s="1"/>
      <x:c r="V257" s="1"/>
      <x:c r="W257" s="1"/>
      <x:c r="X257" s="1"/>
      <x:c r="Y257" s="1"/>
      <x:c r="Z257" s="1"/>
    </x:row>
    <x:row r="258">
      <x:c r="A258" s="1"/>
      <x:c r="B258" s="1"/>
      <x:c r="C258" s="1"/>
      <x:c r="D258" s="1"/>
      <x:c r="E258" s="1"/>
      <x:c r="F258" s="1"/>
      <x:c r="G258" s="1"/>
      <x:c r="H258" s="1"/>
      <x:c r="I258" s="1"/>
      <x:c r="J258" s="1"/>
      <x:c r="K258" s="1"/>
      <x:c r="L258" s="1"/>
      <x:c r="M258" s="1"/>
      <x:c r="N258" s="1"/>
      <x:c r="O258" s="1"/>
      <x:c r="P258" s="1"/>
      <x:c r="Q258" s="1"/>
      <x:c r="R258" s="1"/>
      <x:c r="S258" s="1"/>
      <x:c r="T258" s="1"/>
      <x:c r="U258" s="1"/>
      <x:c r="V258" s="1"/>
      <x:c r="W258" s="1"/>
      <x:c r="X258" s="1"/>
      <x:c r="Y258" s="1"/>
      <x:c r="Z258" s="1"/>
    </x:row>
    <x:row r="259">
      <x:c r="A259" s="1"/>
      <x:c r="B259" s="1"/>
      <x:c r="C259" s="1"/>
      <x:c r="D259" s="1"/>
      <x:c r="E259" s="1"/>
      <x:c r="F259" s="1"/>
      <x:c r="G259" s="1"/>
      <x:c r="H259" s="1"/>
      <x:c r="I259" s="1"/>
      <x:c r="J259" s="1"/>
      <x:c r="K259" s="1"/>
      <x:c r="L259" s="1"/>
      <x:c r="M259" s="1"/>
      <x:c r="N259" s="1"/>
      <x:c r="O259" s="1"/>
      <x:c r="P259" s="1"/>
      <x:c r="Q259" s="1"/>
      <x:c r="R259" s="1"/>
      <x:c r="S259" s="1"/>
      <x:c r="T259" s="1"/>
      <x:c r="U259" s="1"/>
      <x:c r="V259" s="1"/>
      <x:c r="W259" s="1"/>
      <x:c r="X259" s="1"/>
      <x:c r="Y259" s="1"/>
      <x:c r="Z259" s="1"/>
    </x:row>
    <x:row r="260">
      <x:c r="A260" s="1"/>
      <x:c r="B260" s="1"/>
      <x:c r="C260" s="1"/>
      <x:c r="D260" s="1"/>
      <x:c r="E260" s="1"/>
      <x:c r="F260" s="1"/>
      <x:c r="G260" s="1"/>
      <x:c r="H260" s="1"/>
      <x:c r="I260" s="1"/>
      <x:c r="J260" s="1"/>
      <x:c r="K260" s="1"/>
      <x:c r="L260" s="1"/>
      <x:c r="M260" s="1"/>
      <x:c r="N260" s="1"/>
      <x:c r="O260" s="1"/>
      <x:c r="P260" s="1"/>
      <x:c r="Q260" s="1"/>
      <x:c r="R260" s="1"/>
      <x:c r="S260" s="1"/>
      <x:c r="T260" s="1"/>
      <x:c r="U260" s="1"/>
      <x:c r="V260" s="1"/>
      <x:c r="W260" s="1"/>
      <x:c r="X260" s="1"/>
      <x:c r="Y260" s="1"/>
      <x:c r="Z260" s="1"/>
    </x:row>
    <x:row r="261">
      <x:c r="A261" s="1"/>
      <x:c r="B261" s="1"/>
      <x:c r="C261" s="1"/>
      <x:c r="D261" s="1"/>
      <x:c r="E261" s="1"/>
      <x:c r="F261" s="1"/>
      <x:c r="G261" s="1"/>
      <x:c r="H261" s="1"/>
      <x:c r="I261" s="1"/>
      <x:c r="J261" s="1"/>
      <x:c r="K261" s="1"/>
      <x:c r="L261" s="1"/>
      <x:c r="M261" s="1"/>
      <x:c r="N261" s="1"/>
      <x:c r="O261" s="1"/>
      <x:c r="P261" s="1"/>
      <x:c r="Q261" s="1"/>
      <x:c r="R261" s="1"/>
      <x:c r="S261" s="1"/>
      <x:c r="T261" s="1"/>
      <x:c r="U261" s="1"/>
      <x:c r="V261" s="1"/>
      <x:c r="W261" s="1"/>
      <x:c r="X261" s="1"/>
      <x:c r="Y261" s="1"/>
      <x:c r="Z261" s="1"/>
    </x:row>
    <x:row r="262">
      <x:c r="A262" s="1"/>
      <x:c r="B262" s="1"/>
      <x:c r="C262" s="1"/>
      <x:c r="D262" s="1"/>
      <x:c r="E262" s="1"/>
      <x:c r="F262" s="1"/>
      <x:c r="G262" s="1"/>
      <x:c r="H262" s="1"/>
      <x:c r="I262" s="1"/>
      <x:c r="J262" s="1"/>
      <x:c r="K262" s="1"/>
      <x:c r="L262" s="1"/>
      <x:c r="M262" s="1"/>
      <x:c r="N262" s="1"/>
      <x:c r="O262" s="1"/>
      <x:c r="P262" s="1"/>
      <x:c r="Q262" s="1"/>
      <x:c r="R262" s="1"/>
      <x:c r="S262" s="1"/>
      <x:c r="T262" s="1"/>
      <x:c r="U262" s="1"/>
      <x:c r="V262" s="1"/>
      <x:c r="W262" s="1"/>
      <x:c r="X262" s="1"/>
      <x:c r="Y262" s="1"/>
      <x:c r="Z262" s="1"/>
    </x:row>
    <x:row r="263">
      <x:c r="A263" s="1"/>
      <x:c r="B263" s="1"/>
      <x:c r="C263" s="1"/>
      <x:c r="D263" s="1"/>
      <x:c r="E263" s="1"/>
      <x:c r="F263" s="1"/>
      <x:c r="G263" s="1"/>
      <x:c r="H263" s="1"/>
      <x:c r="I263" s="1"/>
      <x:c r="J263" s="1"/>
      <x:c r="K263" s="1"/>
      <x:c r="L263" s="1"/>
      <x:c r="M263" s="1"/>
      <x:c r="N263" s="1"/>
      <x:c r="O263" s="1"/>
      <x:c r="P263" s="1"/>
      <x:c r="Q263" s="1"/>
      <x:c r="R263" s="1"/>
      <x:c r="S263" s="1"/>
      <x:c r="T263" s="1"/>
      <x:c r="U263" s="1"/>
      <x:c r="V263" s="1"/>
      <x:c r="W263" s="1"/>
      <x:c r="X263" s="1"/>
      <x:c r="Y263" s="1"/>
      <x:c r="Z263" s="1"/>
    </x:row>
    <x:row r="264">
      <x:c r="A264" s="1"/>
      <x:c r="B264" s="1"/>
      <x:c r="C264" s="1"/>
      <x:c r="D264" s="1"/>
      <x:c r="E264" s="1"/>
      <x:c r="F264" s="1"/>
      <x:c r="G264" s="1"/>
      <x:c r="H264" s="1"/>
      <x:c r="I264" s="1"/>
      <x:c r="J264" s="1"/>
      <x:c r="K264" s="1"/>
      <x:c r="L264" s="1"/>
      <x:c r="M264" s="1"/>
      <x:c r="N264" s="1"/>
      <x:c r="O264" s="1"/>
      <x:c r="P264" s="1"/>
      <x:c r="Q264" s="1"/>
      <x:c r="R264" s="1"/>
      <x:c r="S264" s="1"/>
      <x:c r="T264" s="1"/>
      <x:c r="U264" s="1"/>
      <x:c r="V264" s="1"/>
      <x:c r="W264" s="1"/>
      <x:c r="X264" s="1"/>
      <x:c r="Y264" s="1"/>
      <x:c r="Z264" s="1"/>
    </x:row>
    <x:row r="265">
      <x:c r="A265" s="1"/>
      <x:c r="B265" s="1"/>
      <x:c r="C265" s="1"/>
      <x:c r="D265" s="1"/>
      <x:c r="E265" s="1"/>
      <x:c r="F265" s="1"/>
      <x:c r="G265" s="1"/>
      <x:c r="H265" s="1"/>
      <x:c r="I265" s="1"/>
      <x:c r="J265" s="1"/>
      <x:c r="K265" s="1"/>
      <x:c r="L265" s="1"/>
      <x:c r="M265" s="1"/>
      <x:c r="N265" s="1"/>
      <x:c r="O265" s="1"/>
      <x:c r="P265" s="1"/>
      <x:c r="Q265" s="1"/>
      <x:c r="R265" s="1"/>
      <x:c r="S265" s="1"/>
      <x:c r="T265" s="1"/>
      <x:c r="U265" s="1"/>
      <x:c r="V265" s="1"/>
      <x:c r="W265" s="1"/>
      <x:c r="X265" s="1"/>
      <x:c r="Y265" s="1"/>
      <x:c r="Z265" s="1"/>
    </x:row>
    <x:row r="266">
      <x:c r="A266" s="1"/>
      <x:c r="B266" s="1"/>
      <x:c r="C266" s="1"/>
      <x:c r="D266" s="1"/>
      <x:c r="E266" s="1"/>
      <x:c r="F266" s="1"/>
      <x:c r="G266" s="1"/>
      <x:c r="H266" s="1"/>
      <x:c r="I266" s="1"/>
      <x:c r="J266" s="1"/>
      <x:c r="K266" s="1"/>
      <x:c r="L266" s="1"/>
      <x:c r="M266" s="1"/>
      <x:c r="N266" s="1"/>
      <x:c r="O266" s="1"/>
      <x:c r="P266" s="1"/>
      <x:c r="Q266" s="1"/>
      <x:c r="R266" s="1"/>
      <x:c r="S266" s="1"/>
      <x:c r="T266" s="1"/>
      <x:c r="U266" s="1"/>
      <x:c r="V266" s="1"/>
      <x:c r="W266" s="1"/>
      <x:c r="X266" s="1"/>
      <x:c r="Y266" s="1"/>
      <x:c r="Z266" s="1"/>
    </x:row>
    <x:row r="267">
      <x:c r="A267" s="1"/>
      <x:c r="B267" s="1"/>
      <x:c r="C267" s="1"/>
      <x:c r="D267" s="1"/>
      <x:c r="E267" s="1"/>
      <x:c r="F267" s="1"/>
      <x:c r="G267" s="1"/>
      <x:c r="H267" s="1"/>
      <x:c r="I267" s="1"/>
      <x:c r="J267" s="1"/>
      <x:c r="K267" s="1"/>
      <x:c r="L267" s="1"/>
      <x:c r="M267" s="1"/>
      <x:c r="N267" s="1"/>
      <x:c r="O267" s="1"/>
      <x:c r="P267" s="1"/>
      <x:c r="Q267" s="1"/>
      <x:c r="R267" s="1"/>
      <x:c r="S267" s="1"/>
      <x:c r="T267" s="1"/>
      <x:c r="U267" s="1"/>
      <x:c r="V267" s="1"/>
      <x:c r="W267" s="1"/>
      <x:c r="X267" s="1"/>
      <x:c r="Y267" s="1"/>
      <x:c r="Z267" s="1"/>
    </x:row>
    <x:row r="268">
      <x:c r="A268" s="1"/>
      <x:c r="B268" s="1"/>
      <x:c r="C268" s="1"/>
      <x:c r="D268" s="1"/>
      <x:c r="E268" s="1"/>
      <x:c r="F268" s="1"/>
      <x:c r="G268" s="1"/>
      <x:c r="H268" s="1"/>
      <x:c r="I268" s="1"/>
      <x:c r="J268" s="1"/>
      <x:c r="K268" s="1"/>
      <x:c r="L268" s="1"/>
      <x:c r="M268" s="1"/>
      <x:c r="N268" s="1"/>
      <x:c r="O268" s="1"/>
      <x:c r="P268" s="1"/>
      <x:c r="Q268" s="1"/>
      <x:c r="R268" s="1"/>
      <x:c r="S268" s="1"/>
      <x:c r="T268" s="1"/>
      <x:c r="U268" s="1"/>
      <x:c r="V268" s="1"/>
      <x:c r="W268" s="1"/>
      <x:c r="X268" s="1"/>
      <x:c r="Y268" s="1"/>
      <x:c r="Z268" s="1"/>
    </x:row>
    <x:row r="269">
      <x:c r="A269" s="1"/>
      <x:c r="B269" s="1"/>
      <x:c r="C269" s="1"/>
      <x:c r="D269" s="1"/>
      <x:c r="E269" s="1"/>
      <x:c r="F269" s="1"/>
      <x:c r="G269" s="1"/>
      <x:c r="H269" s="1"/>
      <x:c r="I269" s="1"/>
      <x:c r="J269" s="1"/>
      <x:c r="K269" s="1"/>
      <x:c r="L269" s="1"/>
      <x:c r="M269" s="1"/>
      <x:c r="N269" s="1"/>
      <x:c r="O269" s="1"/>
      <x:c r="P269" s="1"/>
      <x:c r="Q269" s="1"/>
      <x:c r="R269" s="1"/>
      <x:c r="S269" s="1"/>
      <x:c r="T269" s="1"/>
      <x:c r="U269" s="1"/>
      <x:c r="V269" s="1"/>
      <x:c r="W269" s="1"/>
      <x:c r="X269" s="1"/>
      <x:c r="Y269" s="1"/>
      <x:c r="Z269" s="1"/>
    </x:row>
    <x:row r="270">
      <x:c r="A270" s="1"/>
      <x:c r="B270" s="1"/>
      <x:c r="C270" s="1"/>
      <x:c r="D270" s="1"/>
      <x:c r="E270" s="1"/>
      <x:c r="F270" s="1"/>
      <x:c r="G270" s="1"/>
      <x:c r="H270" s="1"/>
      <x:c r="I270" s="1"/>
      <x:c r="J270" s="1"/>
      <x:c r="K270" s="1"/>
      <x:c r="L270" s="1"/>
      <x:c r="M270" s="1"/>
      <x:c r="N270" s="1"/>
      <x:c r="O270" s="1"/>
      <x:c r="P270" s="1"/>
      <x:c r="Q270" s="1"/>
      <x:c r="R270" s="1"/>
      <x:c r="S270" s="1"/>
      <x:c r="T270" s="1"/>
      <x:c r="U270" s="1"/>
      <x:c r="V270" s="1"/>
      <x:c r="W270" s="1"/>
      <x:c r="X270" s="1"/>
      <x:c r="Y270" s="1"/>
      <x:c r="Z270" s="1"/>
    </x:row>
    <x:row r="271">
      <x:c r="A271" s="1"/>
      <x:c r="B271" s="1"/>
      <x:c r="C271" s="1"/>
      <x:c r="D271" s="1"/>
      <x:c r="E271" s="1"/>
      <x:c r="F271" s="1"/>
      <x:c r="G271" s="1"/>
      <x:c r="H271" s="1"/>
      <x:c r="I271" s="1"/>
      <x:c r="J271" s="1"/>
      <x:c r="K271" s="1"/>
      <x:c r="L271" s="1"/>
      <x:c r="M271" s="1"/>
      <x:c r="N271" s="1"/>
      <x:c r="O271" s="1"/>
      <x:c r="P271" s="1"/>
      <x:c r="Q271" s="1"/>
      <x:c r="R271" s="1"/>
      <x:c r="S271" s="1"/>
      <x:c r="T271" s="1"/>
      <x:c r="U271" s="1"/>
      <x:c r="V271" s="1"/>
      <x:c r="W271" s="1"/>
      <x:c r="X271" s="1"/>
      <x:c r="Y271" s="1"/>
      <x:c r="Z271" s="1"/>
    </x:row>
    <x:row r="272">
      <x:c r="A272" s="1"/>
      <x:c r="B272" s="1"/>
      <x:c r="C272" s="1"/>
      <x:c r="D272" s="1"/>
      <x:c r="E272" s="1"/>
      <x:c r="F272" s="1"/>
      <x:c r="G272" s="1"/>
      <x:c r="H272" s="1"/>
      <x:c r="I272" s="1"/>
      <x:c r="J272" s="1"/>
      <x:c r="K272" s="1"/>
      <x:c r="L272" s="1"/>
      <x:c r="M272" s="1"/>
      <x:c r="N272" s="1"/>
      <x:c r="O272" s="1"/>
      <x:c r="P272" s="1"/>
      <x:c r="Q272" s="1"/>
      <x:c r="R272" s="1"/>
      <x:c r="S272" s="1"/>
      <x:c r="T272" s="1"/>
      <x:c r="U272" s="1"/>
      <x:c r="V272" s="1"/>
      <x:c r="W272" s="1"/>
      <x:c r="X272" s="1"/>
      <x:c r="Y272" s="1"/>
      <x:c r="Z272" s="1"/>
    </x:row>
    <x:row r="273">
      <x:c r="A273" s="1"/>
      <x:c r="B273" s="1"/>
      <x:c r="C273" s="1"/>
      <x:c r="D273" s="1"/>
      <x:c r="E273" s="1"/>
      <x:c r="F273" s="1"/>
      <x:c r="G273" s="1"/>
      <x:c r="H273" s="1"/>
      <x:c r="I273" s="1"/>
      <x:c r="J273" s="1"/>
      <x:c r="K273" s="1"/>
      <x:c r="L273" s="1"/>
      <x:c r="M273" s="1"/>
      <x:c r="N273" s="1"/>
      <x:c r="O273" s="1"/>
      <x:c r="P273" s="1"/>
      <x:c r="Q273" s="1"/>
      <x:c r="R273" s="1"/>
      <x:c r="S273" s="1"/>
      <x:c r="T273" s="1"/>
      <x:c r="U273" s="1"/>
      <x:c r="V273" s="1"/>
      <x:c r="W273" s="1"/>
      <x:c r="X273" s="1"/>
      <x:c r="Y273" s="1"/>
      <x:c r="Z273" s="1"/>
    </x:row>
    <x:row r="274">
      <x:c r="A274" s="1"/>
      <x:c r="B274" s="1"/>
      <x:c r="C274" s="1"/>
      <x:c r="D274" s="1"/>
      <x:c r="E274" s="1"/>
      <x:c r="F274" s="1"/>
      <x:c r="G274" s="1"/>
      <x:c r="H274" s="1"/>
      <x:c r="I274" s="1"/>
      <x:c r="J274" s="1"/>
      <x:c r="K274" s="1"/>
      <x:c r="L274" s="1"/>
      <x:c r="M274" s="1"/>
      <x:c r="N274" s="1"/>
      <x:c r="O274" s="1"/>
      <x:c r="P274" s="1"/>
      <x:c r="Q274" s="1"/>
      <x:c r="R274" s="1"/>
      <x:c r="S274" s="1"/>
      <x:c r="T274" s="1"/>
      <x:c r="U274" s="1"/>
      <x:c r="V274" s="1"/>
      <x:c r="W274" s="1"/>
      <x:c r="X274" s="1"/>
      <x:c r="Y274" s="1"/>
      <x:c r="Z274" s="1"/>
    </x:row>
    <x:row r="275">
      <x:c r="A275" s="1"/>
      <x:c r="B275" s="1"/>
      <x:c r="C275" s="1"/>
      <x:c r="D275" s="1"/>
      <x:c r="E275" s="1"/>
      <x:c r="F275" s="1"/>
      <x:c r="G275" s="1"/>
      <x:c r="H275" s="1"/>
      <x:c r="I275" s="1"/>
      <x:c r="J275" s="1"/>
      <x:c r="K275" s="1"/>
      <x:c r="L275" s="1"/>
      <x:c r="M275" s="1"/>
      <x:c r="N275" s="1"/>
      <x:c r="O275" s="1"/>
      <x:c r="P275" s="1"/>
      <x:c r="Q275" s="1"/>
      <x:c r="R275" s="1"/>
      <x:c r="S275" s="1"/>
      <x:c r="T275" s="1"/>
      <x:c r="U275" s="1"/>
      <x:c r="V275" s="1"/>
      <x:c r="W275" s="1"/>
      <x:c r="X275" s="1"/>
      <x:c r="Y275" s="1"/>
      <x:c r="Z275" s="1"/>
    </x:row>
    <x:row r="276">
      <x:c r="A276" s="1"/>
      <x:c r="B276" s="1"/>
      <x:c r="C276" s="1"/>
      <x:c r="D276" s="1"/>
      <x:c r="E276" s="1"/>
      <x:c r="F276" s="1"/>
      <x:c r="G276" s="1"/>
      <x:c r="H276" s="1"/>
      <x:c r="I276" s="1"/>
      <x:c r="J276" s="1"/>
      <x:c r="K276" s="1"/>
      <x:c r="L276" s="1"/>
      <x:c r="M276" s="1"/>
      <x:c r="N276" s="1"/>
      <x:c r="O276" s="1"/>
      <x:c r="P276" s="1"/>
      <x:c r="Q276" s="1"/>
      <x:c r="R276" s="1"/>
      <x:c r="S276" s="1"/>
      <x:c r="T276" s="1"/>
      <x:c r="U276" s="1"/>
      <x:c r="V276" s="1"/>
      <x:c r="W276" s="1"/>
      <x:c r="X276" s="1"/>
      <x:c r="Y276" s="1"/>
      <x:c r="Z276" s="1"/>
    </x:row>
    <x:row r="277">
      <x:c r="A277" s="1"/>
      <x:c r="B277" s="1"/>
      <x:c r="C277" s="1"/>
      <x:c r="D277" s="1"/>
      <x:c r="E277" s="1"/>
      <x:c r="F277" s="1"/>
      <x:c r="G277" s="1"/>
      <x:c r="H277" s="1"/>
      <x:c r="I277" s="1"/>
      <x:c r="J277" s="1"/>
      <x:c r="K277" s="1"/>
      <x:c r="L277" s="1"/>
      <x:c r="M277" s="1"/>
      <x:c r="N277" s="1"/>
      <x:c r="O277" s="1"/>
      <x:c r="P277" s="1"/>
      <x:c r="Q277" s="1"/>
      <x:c r="R277" s="1"/>
      <x:c r="S277" s="1"/>
      <x:c r="T277" s="1"/>
      <x:c r="U277" s="1"/>
      <x:c r="V277" s="1"/>
      <x:c r="W277" s="1"/>
      <x:c r="X277" s="1"/>
      <x:c r="Y277" s="1"/>
      <x:c r="Z277" s="1"/>
    </x:row>
    <x:row r="278">
      <x:c r="A278" s="1"/>
      <x:c r="B278" s="1"/>
      <x:c r="C278" s="1"/>
      <x:c r="D278" s="1"/>
      <x:c r="E278" s="1"/>
      <x:c r="F278" s="1"/>
      <x:c r="G278" s="1"/>
      <x:c r="H278" s="1"/>
      <x:c r="I278" s="1"/>
      <x:c r="J278" s="1"/>
      <x:c r="K278" s="1"/>
      <x:c r="L278" s="1"/>
      <x:c r="M278" s="1"/>
      <x:c r="N278" s="1"/>
      <x:c r="O278" s="1"/>
      <x:c r="P278" s="1"/>
      <x:c r="Q278" s="1"/>
      <x:c r="R278" s="1"/>
      <x:c r="S278" s="1"/>
      <x:c r="T278" s="1"/>
      <x:c r="U278" s="1"/>
      <x:c r="V278" s="1"/>
      <x:c r="W278" s="1"/>
      <x:c r="X278" s="1"/>
      <x:c r="Y278" s="1"/>
      <x:c r="Z278" s="1"/>
    </x:row>
    <x:row r="279">
      <x:c r="A279" s="1"/>
      <x:c r="B279" s="1"/>
      <x:c r="C279" s="1"/>
      <x:c r="D279" s="1"/>
      <x:c r="E279" s="1"/>
      <x:c r="F279" s="1"/>
      <x:c r="G279" s="1"/>
      <x:c r="H279" s="1"/>
      <x:c r="I279" s="1"/>
      <x:c r="J279" s="1"/>
      <x:c r="K279" s="1"/>
      <x:c r="L279" s="1"/>
      <x:c r="M279" s="1"/>
      <x:c r="N279" s="1"/>
      <x:c r="O279" s="1"/>
      <x:c r="P279" s="1"/>
      <x:c r="Q279" s="1"/>
      <x:c r="R279" s="1"/>
      <x:c r="S279" s="1"/>
      <x:c r="T279" s="1"/>
      <x:c r="U279" s="1"/>
      <x:c r="V279" s="1"/>
      <x:c r="W279" s="1"/>
      <x:c r="X279" s="1"/>
      <x:c r="Y279" s="1"/>
      <x:c r="Z279" s="1"/>
    </x:row>
    <x:row r="280">
      <x:c r="A280" s="1"/>
      <x:c r="B280" s="1"/>
      <x:c r="C280" s="1"/>
      <x:c r="D280" s="1"/>
      <x:c r="E280" s="1"/>
      <x:c r="F280" s="1"/>
      <x:c r="G280" s="1"/>
      <x:c r="H280" s="1"/>
      <x:c r="I280" s="1"/>
      <x:c r="J280" s="1"/>
      <x:c r="K280" s="1"/>
      <x:c r="L280" s="1"/>
      <x:c r="M280" s="1"/>
      <x:c r="N280" s="1"/>
      <x:c r="O280" s="1"/>
      <x:c r="P280" s="1"/>
      <x:c r="Q280" s="1"/>
      <x:c r="R280" s="1"/>
      <x:c r="S280" s="1"/>
      <x:c r="T280" s="1"/>
      <x:c r="U280" s="1"/>
      <x:c r="V280" s="1"/>
      <x:c r="W280" s="1"/>
      <x:c r="X280" s="1"/>
      <x:c r="Y280" s="1"/>
      <x:c r="Z280" s="1"/>
    </x:row>
    <x:row r="281">
      <x:c r="A281" s="1"/>
      <x:c r="B281" s="1"/>
      <x:c r="C281" s="1"/>
      <x:c r="D281" s="1"/>
      <x:c r="E281" s="1"/>
      <x:c r="F281" s="1"/>
      <x:c r="G281" s="1"/>
      <x:c r="H281" s="1"/>
      <x:c r="I281" s="1"/>
      <x:c r="J281" s="1"/>
      <x:c r="K281" s="1"/>
      <x:c r="L281" s="1"/>
      <x:c r="M281" s="1"/>
      <x:c r="N281" s="1"/>
      <x:c r="O281" s="1"/>
      <x:c r="P281" s="1"/>
      <x:c r="Q281" s="1"/>
      <x:c r="R281" s="1"/>
      <x:c r="S281" s="1"/>
      <x:c r="T281" s="1"/>
      <x:c r="U281" s="1"/>
      <x:c r="V281" s="1"/>
      <x:c r="W281" s="1"/>
      <x:c r="X281" s="1"/>
      <x:c r="Y281" s="1"/>
      <x:c r="Z281" s="1"/>
    </x:row>
    <x:row r="282">
      <x:c r="A282" s="1"/>
      <x:c r="B282" s="1"/>
      <x:c r="C282" s="1"/>
      <x:c r="D282" s="1"/>
      <x:c r="E282" s="1"/>
      <x:c r="F282" s="1"/>
      <x:c r="G282" s="1"/>
      <x:c r="H282" s="1"/>
      <x:c r="I282" s="1"/>
      <x:c r="J282" s="1"/>
      <x:c r="K282" s="1"/>
      <x:c r="L282" s="1"/>
      <x:c r="M282" s="1"/>
      <x:c r="N282" s="1"/>
      <x:c r="O282" s="1"/>
      <x:c r="P282" s="1"/>
      <x:c r="Q282" s="1"/>
      <x:c r="R282" s="1"/>
      <x:c r="S282" s="1"/>
      <x:c r="T282" s="1"/>
      <x:c r="U282" s="1"/>
      <x:c r="V282" s="1"/>
      <x:c r="W282" s="1"/>
      <x:c r="X282" s="1"/>
      <x:c r="Y282" s="1"/>
      <x:c r="Z282" s="1"/>
    </x:row>
    <x:row r="283">
      <x:c r="A283" s="1"/>
      <x:c r="B283" s="1"/>
      <x:c r="C283" s="1"/>
      <x:c r="D283" s="1"/>
      <x:c r="E283" s="1"/>
      <x:c r="F283" s="1"/>
      <x:c r="G283" s="1"/>
      <x:c r="H283" s="1"/>
      <x:c r="I283" s="1"/>
      <x:c r="J283" s="1"/>
      <x:c r="K283" s="1"/>
      <x:c r="L283" s="1"/>
      <x:c r="M283" s="1"/>
      <x:c r="N283" s="1"/>
      <x:c r="O283" s="1"/>
      <x:c r="P283" s="1"/>
      <x:c r="Q283" s="1"/>
      <x:c r="R283" s="1"/>
      <x:c r="S283" s="1"/>
      <x:c r="T283" s="1"/>
      <x:c r="U283" s="1"/>
      <x:c r="V283" s="1"/>
      <x:c r="W283" s="1"/>
      <x:c r="X283" s="1"/>
      <x:c r="Y283" s="1"/>
      <x:c r="Z283" s="1"/>
    </x:row>
    <x:row r="284">
      <x:c r="A284" s="1"/>
      <x:c r="B284" s="1"/>
      <x:c r="C284" s="1"/>
      <x:c r="D284" s="1"/>
      <x:c r="E284" s="1"/>
      <x:c r="F284" s="1"/>
      <x:c r="G284" s="1"/>
      <x:c r="H284" s="1"/>
      <x:c r="I284" s="1"/>
      <x:c r="J284" s="1"/>
      <x:c r="K284" s="1"/>
      <x:c r="L284" s="1"/>
      <x:c r="M284" s="1"/>
      <x:c r="N284" s="1"/>
      <x:c r="O284" s="1"/>
      <x:c r="P284" s="1"/>
      <x:c r="Q284" s="1"/>
      <x:c r="R284" s="1"/>
      <x:c r="S284" s="1"/>
      <x:c r="T284" s="1"/>
      <x:c r="U284" s="1"/>
      <x:c r="V284" s="1"/>
      <x:c r="W284" s="1"/>
      <x:c r="X284" s="1"/>
      <x:c r="Y284" s="1"/>
      <x:c r="Z284" s="1"/>
    </x:row>
    <x:row r="285">
      <x:c r="A285" s="1"/>
      <x:c r="B285" s="1"/>
      <x:c r="C285" s="1"/>
      <x:c r="D285" s="1"/>
      <x:c r="E285" s="1"/>
      <x:c r="F285" s="1"/>
      <x:c r="G285" s="1"/>
      <x:c r="H285" s="1"/>
      <x:c r="I285" s="1"/>
      <x:c r="J285" s="1"/>
      <x:c r="K285" s="1"/>
      <x:c r="L285" s="1"/>
      <x:c r="M285" s="1"/>
      <x:c r="N285" s="1"/>
      <x:c r="O285" s="1"/>
      <x:c r="P285" s="1"/>
      <x:c r="Q285" s="1"/>
      <x:c r="R285" s="1"/>
      <x:c r="S285" s="1"/>
      <x:c r="T285" s="1"/>
      <x:c r="U285" s="1"/>
      <x:c r="V285" s="1"/>
      <x:c r="W285" s="1"/>
      <x:c r="X285" s="1"/>
      <x:c r="Y285" s="1"/>
      <x:c r="Z285" s="1"/>
    </x:row>
    <x:row r="286">
      <x:c r="A286" s="1"/>
      <x:c r="B286" s="1"/>
      <x:c r="C286" s="1"/>
      <x:c r="D286" s="1"/>
      <x:c r="E286" s="1"/>
      <x:c r="F286" s="1"/>
      <x:c r="G286" s="1"/>
      <x:c r="H286" s="1"/>
      <x:c r="I286" s="1"/>
      <x:c r="J286" s="1"/>
      <x:c r="K286" s="1"/>
      <x:c r="L286" s="1"/>
      <x:c r="M286" s="1"/>
      <x:c r="N286" s="1"/>
      <x:c r="O286" s="1"/>
      <x:c r="P286" s="1"/>
      <x:c r="Q286" s="1"/>
      <x:c r="R286" s="1"/>
      <x:c r="S286" s="1"/>
      <x:c r="T286" s="1"/>
      <x:c r="U286" s="1"/>
      <x:c r="V286" s="1"/>
      <x:c r="W286" s="1"/>
      <x:c r="X286" s="1"/>
      <x:c r="Y286" s="1"/>
      <x:c r="Z286" s="1"/>
    </x:row>
    <x:row r="287">
      <x:c r="A287" s="1"/>
      <x:c r="B287" s="1"/>
      <x:c r="C287" s="1"/>
      <x:c r="D287" s="1"/>
      <x:c r="E287" s="1"/>
      <x:c r="F287" s="1"/>
      <x:c r="G287" s="1"/>
      <x:c r="H287" s="1"/>
      <x:c r="I287" s="1"/>
      <x:c r="J287" s="1"/>
      <x:c r="K287" s="1"/>
      <x:c r="L287" s="1"/>
      <x:c r="M287" s="1"/>
      <x:c r="N287" s="1"/>
      <x:c r="O287" s="1"/>
      <x:c r="P287" s="1"/>
      <x:c r="Q287" s="1"/>
      <x:c r="R287" s="1"/>
      <x:c r="S287" s="1"/>
      <x:c r="T287" s="1"/>
      <x:c r="U287" s="1"/>
      <x:c r="V287" s="1"/>
      <x:c r="W287" s="1"/>
      <x:c r="X287" s="1"/>
      <x:c r="Y287" s="1"/>
      <x:c r="Z287" s="1"/>
    </x:row>
    <x:row r="288">
      <x:c r="A288" s="1"/>
      <x:c r="B288" s="1"/>
      <x:c r="C288" s="1"/>
      <x:c r="D288" s="1"/>
      <x:c r="E288" s="1"/>
      <x:c r="F288" s="1"/>
      <x:c r="G288" s="1"/>
      <x:c r="H288" s="1"/>
      <x:c r="I288" s="1"/>
      <x:c r="J288" s="1"/>
      <x:c r="K288" s="1"/>
      <x:c r="L288" s="1"/>
      <x:c r="M288" s="1"/>
      <x:c r="N288" s="1"/>
      <x:c r="O288" s="1"/>
      <x:c r="P288" s="1"/>
      <x:c r="Q288" s="1"/>
      <x:c r="R288" s="1"/>
      <x:c r="S288" s="1"/>
      <x:c r="T288" s="1"/>
      <x:c r="U288" s="1"/>
      <x:c r="V288" s="1"/>
      <x:c r="W288" s="1"/>
      <x:c r="X288" s="1"/>
      <x:c r="Y288" s="1"/>
      <x:c r="Z288" s="1"/>
    </x:row>
    <x:row r="289">
      <x:c r="A289" s="1"/>
      <x:c r="B289" s="1"/>
      <x:c r="C289" s="1"/>
      <x:c r="D289" s="1"/>
      <x:c r="E289" s="1"/>
      <x:c r="F289" s="1"/>
      <x:c r="G289" s="1"/>
      <x:c r="H289" s="1"/>
      <x:c r="I289" s="1"/>
      <x:c r="J289" s="1"/>
      <x:c r="K289" s="1"/>
      <x:c r="L289" s="1"/>
      <x:c r="M289" s="1"/>
      <x:c r="N289" s="1"/>
      <x:c r="O289" s="1"/>
      <x:c r="P289" s="1"/>
      <x:c r="Q289" s="1"/>
      <x:c r="R289" s="1"/>
      <x:c r="S289" s="1"/>
      <x:c r="T289" s="1"/>
      <x:c r="U289" s="1"/>
      <x:c r="V289" s="1"/>
      <x:c r="W289" s="1"/>
      <x:c r="X289" s="1"/>
      <x:c r="Y289" s="1"/>
      <x:c r="Z289" s="1"/>
    </x:row>
    <x:row r="290">
      <x:c r="A290" s="1"/>
      <x:c r="B290" s="1"/>
      <x:c r="C290" s="1"/>
      <x:c r="D290" s="1"/>
      <x:c r="E290" s="1"/>
      <x:c r="F290" s="1"/>
      <x:c r="G290" s="1"/>
      <x:c r="H290" s="1"/>
      <x:c r="I290" s="1"/>
      <x:c r="J290" s="1"/>
      <x:c r="K290" s="1"/>
      <x:c r="L290" s="1"/>
      <x:c r="M290" s="1"/>
      <x:c r="N290" s="1"/>
      <x:c r="O290" s="1"/>
      <x:c r="P290" s="1"/>
      <x:c r="Q290" s="1"/>
      <x:c r="R290" s="1"/>
      <x:c r="S290" s="1"/>
      <x:c r="T290" s="1"/>
      <x:c r="U290" s="1"/>
      <x:c r="V290" s="1"/>
      <x:c r="W290" s="1"/>
      <x:c r="X290" s="1"/>
      <x:c r="Y290" s="1"/>
      <x:c r="Z290" s="1"/>
    </x:row>
    <x:row r="291">
      <x:c r="A291" s="1"/>
      <x:c r="B291" s="1"/>
      <x:c r="C291" s="1"/>
      <x:c r="D291" s="1"/>
      <x:c r="E291" s="1"/>
      <x:c r="F291" s="1"/>
      <x:c r="G291" s="1"/>
      <x:c r="H291" s="1"/>
      <x:c r="I291" s="1"/>
      <x:c r="J291" s="1"/>
      <x:c r="K291" s="1"/>
      <x:c r="L291" s="1"/>
      <x:c r="M291" s="1"/>
      <x:c r="N291" s="1"/>
      <x:c r="O291" s="1"/>
      <x:c r="P291" s="1"/>
      <x:c r="Q291" s="1"/>
      <x:c r="R291" s="1"/>
      <x:c r="S291" s="1"/>
      <x:c r="T291" s="1"/>
      <x:c r="U291" s="1"/>
      <x:c r="V291" s="1"/>
      <x:c r="W291" s="1"/>
      <x:c r="X291" s="1"/>
      <x:c r="Y291" s="1"/>
      <x:c r="Z291" s="1"/>
    </x:row>
    <x:row r="292">
      <x:c r="A292" s="1"/>
      <x:c r="B292" s="1"/>
      <x:c r="C292" s="1"/>
      <x:c r="D292" s="1"/>
      <x:c r="E292" s="1"/>
      <x:c r="F292" s="1"/>
      <x:c r="G292" s="1"/>
      <x:c r="H292" s="1"/>
      <x:c r="I292" s="1"/>
      <x:c r="J292" s="1"/>
      <x:c r="K292" s="1"/>
      <x:c r="L292" s="1"/>
      <x:c r="M292" s="1"/>
      <x:c r="N292" s="1"/>
      <x:c r="O292" s="1"/>
      <x:c r="P292" s="1"/>
      <x:c r="Q292" s="1"/>
      <x:c r="R292" s="1"/>
      <x:c r="S292" s="1"/>
      <x:c r="T292" s="1"/>
      <x:c r="U292" s="1"/>
      <x:c r="V292" s="1"/>
      <x:c r="W292" s="1"/>
      <x:c r="X292" s="1"/>
      <x:c r="Y292" s="1"/>
      <x:c r="Z292" s="1"/>
    </x:row>
    <x:row r="293">
      <x:c r="A293" s="1"/>
      <x:c r="B293" s="1"/>
      <x:c r="C293" s="1"/>
      <x:c r="D293" s="1"/>
      <x:c r="E293" s="1"/>
      <x:c r="F293" s="1"/>
      <x:c r="G293" s="1"/>
      <x:c r="H293" s="1"/>
      <x:c r="I293" s="1"/>
      <x:c r="J293" s="1"/>
      <x:c r="K293" s="1"/>
      <x:c r="L293" s="1"/>
      <x:c r="M293" s="1"/>
      <x:c r="N293" s="1"/>
      <x:c r="O293" s="1"/>
      <x:c r="P293" s="1"/>
      <x:c r="Q293" s="1"/>
      <x:c r="R293" s="1"/>
      <x:c r="S293" s="1"/>
      <x:c r="T293" s="1"/>
      <x:c r="U293" s="1"/>
      <x:c r="V293" s="1"/>
      <x:c r="W293" s="1"/>
      <x:c r="X293" s="1"/>
      <x:c r="Y293" s="1"/>
      <x:c r="Z293" s="1"/>
    </x:row>
    <x:row r="294">
      <x:c r="A294" s="1"/>
      <x:c r="B294" s="1"/>
      <x:c r="C294" s="1"/>
      <x:c r="D294" s="1"/>
      <x:c r="E294" s="1"/>
      <x:c r="F294" s="1"/>
      <x:c r="G294" s="1"/>
      <x:c r="H294" s="1"/>
      <x:c r="I294" s="1"/>
      <x:c r="J294" s="1"/>
      <x:c r="K294" s="1"/>
      <x:c r="L294" s="1"/>
      <x:c r="M294" s="1"/>
      <x:c r="N294" s="1"/>
      <x:c r="O294" s="1"/>
      <x:c r="P294" s="1"/>
      <x:c r="Q294" s="1"/>
      <x:c r="R294" s="1"/>
      <x:c r="S294" s="1"/>
      <x:c r="T294" s="1"/>
      <x:c r="U294" s="1"/>
      <x:c r="V294" s="1"/>
      <x:c r="W294" s="1"/>
      <x:c r="X294" s="1"/>
      <x:c r="Y294" s="1"/>
      <x:c r="Z294" s="1"/>
    </x:row>
    <x:row r="295">
      <x:c r="A295" s="1"/>
      <x:c r="B295" s="1"/>
      <x:c r="C295" s="1"/>
      <x:c r="D295" s="1"/>
      <x:c r="E295" s="1"/>
      <x:c r="F295" s="1"/>
      <x:c r="G295" s="1"/>
      <x:c r="H295" s="1"/>
      <x:c r="I295" s="1"/>
      <x:c r="J295" s="1"/>
      <x:c r="K295" s="1"/>
      <x:c r="L295" s="1"/>
      <x:c r="M295" s="1"/>
      <x:c r="N295" s="1"/>
      <x:c r="O295" s="1"/>
      <x:c r="P295" s="1"/>
      <x:c r="Q295" s="1"/>
      <x:c r="R295" s="1"/>
      <x:c r="S295" s="1"/>
      <x:c r="T295" s="1"/>
      <x:c r="U295" s="1"/>
      <x:c r="V295" s="1"/>
      <x:c r="W295" s="1"/>
      <x:c r="X295" s="1"/>
      <x:c r="Y295" s="1"/>
      <x:c r="Z295" s="1"/>
    </x:row>
    <x:row r="296">
      <x:c r="A296" s="1"/>
      <x:c r="B296" s="1"/>
      <x:c r="C296" s="1"/>
      <x:c r="D296" s="1"/>
      <x:c r="E296" s="1"/>
      <x:c r="F296" s="1"/>
      <x:c r="G296" s="1"/>
      <x:c r="H296" s="1"/>
      <x:c r="I296" s="1"/>
      <x:c r="J296" s="1"/>
      <x:c r="K296" s="1"/>
      <x:c r="L296" s="1"/>
      <x:c r="M296" s="1"/>
      <x:c r="N296" s="1"/>
      <x:c r="O296" s="1"/>
      <x:c r="P296" s="1"/>
      <x:c r="Q296" s="1"/>
      <x:c r="R296" s="1"/>
      <x:c r="S296" s="1"/>
      <x:c r="T296" s="1"/>
      <x:c r="U296" s="1"/>
      <x:c r="V296" s="1"/>
      <x:c r="W296" s="1"/>
      <x:c r="X296" s="1"/>
      <x:c r="Y296" s="1"/>
      <x:c r="Z296" s="1"/>
    </x:row>
    <x:row r="297">
      <x:c r="A297" s="1"/>
      <x:c r="B297" s="1"/>
      <x:c r="C297" s="1"/>
      <x:c r="D297" s="1"/>
      <x:c r="E297" s="1"/>
      <x:c r="F297" s="1"/>
      <x:c r="G297" s="1"/>
      <x:c r="H297" s="1"/>
      <x:c r="I297" s="1"/>
      <x:c r="J297" s="1"/>
      <x:c r="K297" s="1"/>
      <x:c r="L297" s="1"/>
      <x:c r="M297" s="1"/>
      <x:c r="N297" s="1"/>
      <x:c r="O297" s="1"/>
      <x:c r="P297" s="1"/>
      <x:c r="Q297" s="1"/>
      <x:c r="R297" s="1"/>
      <x:c r="S297" s="1"/>
      <x:c r="T297" s="1"/>
      <x:c r="U297" s="1"/>
      <x:c r="V297" s="1"/>
      <x:c r="W297" s="1"/>
      <x:c r="X297" s="1"/>
      <x:c r="Y297" s="1"/>
      <x:c r="Z297" s="1"/>
    </x:row>
    <x:row r="298">
      <x:c r="A298" s="1"/>
      <x:c r="B298" s="1"/>
      <x:c r="C298" s="1"/>
      <x:c r="D298" s="1"/>
      <x:c r="E298" s="1"/>
      <x:c r="F298" s="1"/>
      <x:c r="G298" s="1"/>
      <x:c r="H298" s="1"/>
      <x:c r="I298" s="1"/>
      <x:c r="J298" s="1"/>
      <x:c r="K298" s="1"/>
      <x:c r="L298" s="1"/>
      <x:c r="M298" s="1"/>
      <x:c r="N298" s="1"/>
      <x:c r="O298" s="1"/>
      <x:c r="P298" s="1"/>
      <x:c r="Q298" s="1"/>
      <x:c r="R298" s="1"/>
      <x:c r="S298" s="1"/>
      <x:c r="T298" s="1"/>
      <x:c r="U298" s="1"/>
      <x:c r="V298" s="1"/>
      <x:c r="W298" s="1"/>
      <x:c r="X298" s="1"/>
      <x:c r="Y298" s="1"/>
      <x:c r="Z298" s="1"/>
    </x:row>
    <x:row r="299">
      <x:c r="A299" s="1"/>
      <x:c r="B299" s="1"/>
      <x:c r="C299" s="1"/>
      <x:c r="D299" s="1"/>
      <x:c r="E299" s="1"/>
      <x:c r="F299" s="1"/>
      <x:c r="G299" s="1"/>
      <x:c r="H299" s="1"/>
      <x:c r="I299" s="1"/>
      <x:c r="J299" s="1"/>
      <x:c r="K299" s="1"/>
      <x:c r="L299" s="1"/>
      <x:c r="M299" s="1"/>
      <x:c r="N299" s="1"/>
      <x:c r="O299" s="1"/>
      <x:c r="P299" s="1"/>
      <x:c r="Q299" s="1"/>
      <x:c r="R299" s="1"/>
      <x:c r="S299" s="1"/>
      <x:c r="T299" s="1"/>
      <x:c r="U299" s="1"/>
      <x:c r="V299" s="1"/>
      <x:c r="W299" s="1"/>
      <x:c r="X299" s="1"/>
      <x:c r="Y299" s="1"/>
      <x:c r="Z299" s="1"/>
    </x:row>
    <x:row r="300">
      <x:c r="A300" s="1"/>
      <x:c r="B300" s="1"/>
      <x:c r="C300" s="1"/>
      <x:c r="D300" s="1"/>
      <x:c r="E300" s="1"/>
      <x:c r="F300" s="1"/>
      <x:c r="G300" s="1"/>
      <x:c r="H300" s="1"/>
      <x:c r="I300" s="1"/>
      <x:c r="J300" s="1"/>
      <x:c r="K300" s="1"/>
      <x:c r="L300" s="1"/>
      <x:c r="M300" s="1"/>
      <x:c r="N300" s="1"/>
      <x:c r="O300" s="1"/>
      <x:c r="P300" s="1"/>
      <x:c r="Q300" s="1"/>
      <x:c r="R300" s="1"/>
      <x:c r="S300" s="1"/>
      <x:c r="T300" s="1"/>
      <x:c r="U300" s="1"/>
      <x:c r="V300" s="1"/>
      <x:c r="W300" s="1"/>
      <x:c r="X300" s="1"/>
      <x:c r="Y300" s="1"/>
      <x:c r="Z300" s="1"/>
    </x:row>
  </x:sheetData>
  <x:mergeCells>
    <x:mergeCell ref="A1:G1"/>
    <x:mergeCell ref="A2:G3"/>
  </x:mergeCells>
  <x:pageMargins left="0.7" right="0.7" top="0.75" bottom="0.75" header="0.3" footer="0.3"/>
  <x:tableParts count="1">
    <x:tablePart xmlns:r="http://schemas.openxmlformats.org/officeDocument/2006/relationships" r:id="R35ad48803ddb4f87"/>
  </x:tableParts>
</x:worksheet>
</file>